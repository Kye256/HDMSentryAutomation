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eyune.PKAZIBWE-LAP\Documents\Msc. RoadMgtAndEng\Academics\IndividualProject\Analysis\Results\AnovaResults\"/>
    </mc:Choice>
  </mc:AlternateContent>
  <bookViews>
    <workbookView xWindow="0" yWindow="0" windowWidth="28800" windowHeight="12435"/>
  </bookViews>
  <sheets>
    <sheet name="GrvlUpgrd" sheetId="13" r:id="rId1"/>
    <sheet name="GrvlRegrvl" sheetId="2" r:id="rId2"/>
    <sheet name="SDoverlay" sheetId="4" r:id="rId3"/>
    <sheet name="SDreseal" sheetId="6" r:id="rId4"/>
    <sheet name="SDminmaint" sheetId="7" r:id="rId5"/>
    <sheet name="SDreconst" sheetId="8" r:id="rId6"/>
    <sheet name="ACoverlay" sheetId="9" r:id="rId7"/>
    <sheet name="ACreseal" sheetId="10" r:id="rId8"/>
    <sheet name="ACminmaint" sheetId="11" r:id="rId9"/>
    <sheet name="ACreconst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3" l="1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3" i="8" l="1"/>
  <c r="D24" i="11"/>
  <c r="D26" i="9"/>
  <c r="D2" i="9"/>
  <c r="D4" i="10"/>
  <c r="D3" i="10"/>
  <c r="D24" i="8"/>
  <c r="D4" i="8"/>
  <c r="D23" i="4"/>
  <c r="D4" i="6"/>
  <c r="D24" i="2"/>
  <c r="D2" i="2"/>
  <c r="D3" i="2"/>
  <c r="D9" i="4"/>
  <c r="D26" i="4"/>
  <c r="D2" i="4"/>
  <c r="D3" i="4"/>
  <c r="D24" i="4" l="1"/>
  <c r="D25" i="4"/>
  <c r="D27" i="4"/>
  <c r="D28" i="4"/>
  <c r="D29" i="4"/>
  <c r="D30" i="4"/>
  <c r="D31" i="4"/>
  <c r="D32" i="4"/>
  <c r="D33" i="4"/>
  <c r="D34" i="4"/>
  <c r="D35" i="4"/>
  <c r="D36" i="4"/>
  <c r="D37" i="4"/>
  <c r="D38" i="4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24" i="9"/>
  <c r="D25" i="9"/>
  <c r="D27" i="9"/>
  <c r="D28" i="9"/>
  <c r="D29" i="9"/>
  <c r="D30" i="9"/>
  <c r="D31" i="9"/>
  <c r="D32" i="9"/>
  <c r="D33" i="9"/>
  <c r="D34" i="9"/>
  <c r="D35" i="9"/>
  <c r="D36" i="9"/>
  <c r="D37" i="9"/>
  <c r="D38" i="9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3" i="6"/>
  <c r="D23" i="7"/>
  <c r="D23" i="9"/>
  <c r="D23" i="10"/>
  <c r="D23" i="11"/>
  <c r="D23" i="12"/>
  <c r="D23" i="2"/>
  <c r="D4" i="4"/>
  <c r="D5" i="4"/>
  <c r="D6" i="4"/>
  <c r="D7" i="4"/>
  <c r="D8" i="4"/>
  <c r="D10" i="4"/>
  <c r="D11" i="4"/>
  <c r="D12" i="4"/>
  <c r="D13" i="4"/>
  <c r="D14" i="4"/>
  <c r="D15" i="4"/>
  <c r="D16" i="4"/>
  <c r="D17" i="4"/>
  <c r="D3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3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6"/>
  <c r="D2" i="7"/>
  <c r="D2" i="8"/>
  <c r="D2" i="10"/>
  <c r="D2" i="11"/>
  <c r="D2" i="12"/>
</calcChain>
</file>

<file path=xl/sharedStrings.xml><?xml version="1.0" encoding="utf-8"?>
<sst xmlns="http://schemas.openxmlformats.org/spreadsheetml/2006/main" count="434" uniqueCount="24">
  <si>
    <t>Source</t>
  </si>
  <si>
    <t>Sum Sq.</t>
  </si>
  <si>
    <t>d.f.</t>
  </si>
  <si>
    <t>Singular?</t>
  </si>
  <si>
    <t>Mean Sq.</t>
  </si>
  <si>
    <t>F</t>
  </si>
  <si>
    <t>Prob&gt;F</t>
  </si>
  <si>
    <t>TG</t>
  </si>
  <si>
    <t>Co</t>
  </si>
  <si>
    <t>Tv</t>
  </si>
  <si>
    <t>Ge</t>
  </si>
  <si>
    <t>TG*Co</t>
  </si>
  <si>
    <t>TG*Tv</t>
  </si>
  <si>
    <t>TG*Ge</t>
  </si>
  <si>
    <t>Co*Tv</t>
  </si>
  <si>
    <t>Co*Ge</t>
  </si>
  <si>
    <t>Tv*Ge</t>
  </si>
  <si>
    <t>TG*Co*Tv</t>
  </si>
  <si>
    <t>TG*Co*Ge</t>
  </si>
  <si>
    <t>TG*Tv*Ge</t>
  </si>
  <si>
    <t>Co*Tv*Ge</t>
  </si>
  <si>
    <t>Error</t>
  </si>
  <si>
    <t>Total</t>
  </si>
  <si>
    <t>S.I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</si>
</sst>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g"/><Relationship Id="rId1" Type="http://schemas.openxmlformats.org/officeDocument/2006/relationships/image" Target="../media/image12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g"/><Relationship Id="rId1" Type="http://schemas.openxmlformats.org/officeDocument/2006/relationships/image" Target="../media/image14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g"/><Relationship Id="rId1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514350</xdr:colOff>
      <xdr:row>21</xdr:row>
      <xdr:rowOff>66675</xdr:rowOff>
    </xdr:from>
    <xdr:to>
      <xdr:col>16</xdr:col>
      <xdr:colOff>9525</xdr:colOff>
      <xdr:row>36</xdr:row>
      <xdr:rowOff>85725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90" r="18035" b="21905"/>
        <a:stretch/>
      </xdr:blipFill>
      <xdr:spPr>
        <a:xfrm>
          <a:off x="5391150" y="4067175"/>
          <a:ext cx="4371975" cy="287655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0</xdr:row>
      <xdr:rowOff>0</xdr:rowOff>
    </xdr:from>
    <xdr:to>
      <xdr:col>16</xdr:col>
      <xdr:colOff>57150</xdr:colOff>
      <xdr:row>14</xdr:row>
      <xdr:rowOff>104776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76" r="10893" b="25238"/>
        <a:stretch/>
      </xdr:blipFill>
      <xdr:spPr>
        <a:xfrm>
          <a:off x="5057775" y="0"/>
          <a:ext cx="4752975" cy="2771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114300</xdr:rowOff>
    </xdr:from>
    <xdr:to>
      <xdr:col>15</xdr:col>
      <xdr:colOff>295275</xdr:colOff>
      <xdr:row>35</xdr:row>
      <xdr:rowOff>57150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08" r="23572" b="28254"/>
        <a:stretch/>
      </xdr:blipFill>
      <xdr:spPr bwMode="auto">
        <a:xfrm>
          <a:off x="5362575" y="4114800"/>
          <a:ext cx="4076700" cy="26098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295275</xdr:colOff>
      <xdr:row>0</xdr:row>
      <xdr:rowOff>114300</xdr:rowOff>
    </xdr:from>
    <xdr:to>
      <xdr:col>16</xdr:col>
      <xdr:colOff>34925</xdr:colOff>
      <xdr:row>14</xdr:row>
      <xdr:rowOff>76200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4" r="13453" b="28571"/>
        <a:stretch/>
      </xdr:blipFill>
      <xdr:spPr bwMode="auto">
        <a:xfrm>
          <a:off x="5172075" y="114300"/>
          <a:ext cx="4616450" cy="26289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0</xdr:row>
      <xdr:rowOff>104775</xdr:rowOff>
    </xdr:from>
    <xdr:to>
      <xdr:col>16</xdr:col>
      <xdr:colOff>415925</xdr:colOff>
      <xdr:row>14</xdr:row>
      <xdr:rowOff>98425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66" r="8452" b="26826"/>
        <a:stretch/>
      </xdr:blipFill>
      <xdr:spPr bwMode="auto">
        <a:xfrm>
          <a:off x="5286375" y="104775"/>
          <a:ext cx="4883150" cy="26606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15</xdr:col>
      <xdr:colOff>552450</xdr:colOff>
      <xdr:row>34</xdr:row>
      <xdr:rowOff>146050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49" r="21071" b="28094"/>
        <a:stretch/>
      </xdr:blipFill>
      <xdr:spPr bwMode="auto">
        <a:xfrm>
          <a:off x="5486400" y="4000500"/>
          <a:ext cx="4210050" cy="2622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16</xdr:col>
      <xdr:colOff>31750</xdr:colOff>
      <xdr:row>35</xdr:row>
      <xdr:rowOff>6350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5" r="19404" b="27461"/>
        <a:stretch/>
      </xdr:blipFill>
      <xdr:spPr bwMode="auto">
        <a:xfrm>
          <a:off x="5486400" y="4000500"/>
          <a:ext cx="4298950" cy="26733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12700</xdr:colOff>
      <xdr:row>15</xdr:row>
      <xdr:rowOff>0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90" r="8333" b="27143"/>
        <a:stretch/>
      </xdr:blipFill>
      <xdr:spPr bwMode="auto">
        <a:xfrm>
          <a:off x="5486400" y="190500"/>
          <a:ext cx="4889500" cy="2667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16</xdr:col>
      <xdr:colOff>57150</xdr:colOff>
      <xdr:row>35</xdr:row>
      <xdr:rowOff>12700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4" r="18929" b="27302"/>
        <a:stretch/>
      </xdr:blipFill>
      <xdr:spPr bwMode="auto">
        <a:xfrm>
          <a:off x="5486400" y="4000500"/>
          <a:ext cx="4324350" cy="2679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13970</xdr:colOff>
      <xdr:row>14</xdr:row>
      <xdr:rowOff>162560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53" r="8301" b="27757"/>
        <a:stretch/>
      </xdr:blipFill>
      <xdr:spPr bwMode="auto">
        <a:xfrm>
          <a:off x="5486400" y="190500"/>
          <a:ext cx="4890770" cy="26390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15</xdr:col>
      <xdr:colOff>577850</xdr:colOff>
      <xdr:row>35</xdr:row>
      <xdr:rowOff>93345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22" r="20590" b="25171"/>
        <a:stretch/>
      </xdr:blipFill>
      <xdr:spPr bwMode="auto">
        <a:xfrm>
          <a:off x="5486400" y="4000500"/>
          <a:ext cx="4235450" cy="27603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22</xdr:row>
      <xdr:rowOff>0</xdr:rowOff>
    </xdr:from>
    <xdr:to>
      <xdr:col>15</xdr:col>
      <xdr:colOff>525780</xdr:colOff>
      <xdr:row>35</xdr:row>
      <xdr:rowOff>171450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38" r="21555" b="27749"/>
        <a:stretch/>
      </xdr:blipFill>
      <xdr:spPr bwMode="auto">
        <a:xfrm>
          <a:off x="5486400" y="4191000"/>
          <a:ext cx="4183380" cy="26479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31115</xdr:colOff>
      <xdr:row>15</xdr:row>
      <xdr:rowOff>33020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22" r="7975" b="26675"/>
        <a:stretch/>
      </xdr:blipFill>
      <xdr:spPr bwMode="auto">
        <a:xfrm>
          <a:off x="5486400" y="190500"/>
          <a:ext cx="4907915" cy="27000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15</xdr:col>
      <xdr:colOff>594995</xdr:colOff>
      <xdr:row>35</xdr:row>
      <xdr:rowOff>24130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38" r="20261" b="26674"/>
        <a:stretch/>
      </xdr:blipFill>
      <xdr:spPr bwMode="auto">
        <a:xfrm>
          <a:off x="5486400" y="4000500"/>
          <a:ext cx="4252595" cy="26911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16</xdr:col>
      <xdr:colOff>158115</xdr:colOff>
      <xdr:row>15</xdr:row>
      <xdr:rowOff>50165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07" r="17024" b="26460"/>
        <a:stretch/>
      </xdr:blipFill>
      <xdr:spPr bwMode="auto">
        <a:xfrm>
          <a:off x="5486400" y="190500"/>
          <a:ext cx="4425315" cy="27171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15</xdr:col>
      <xdr:colOff>551815</xdr:colOff>
      <xdr:row>34</xdr:row>
      <xdr:rowOff>180340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38" r="21070" b="27536"/>
        <a:stretch/>
      </xdr:blipFill>
      <xdr:spPr bwMode="auto">
        <a:xfrm>
          <a:off x="5486400" y="4000500"/>
          <a:ext cx="4209415" cy="2656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15</xdr:col>
      <xdr:colOff>499745</xdr:colOff>
      <xdr:row>35</xdr:row>
      <xdr:rowOff>24130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39" r="22040" b="26667"/>
        <a:stretch/>
      </xdr:blipFill>
      <xdr:spPr bwMode="auto">
        <a:xfrm>
          <a:off x="5486400" y="4000500"/>
          <a:ext cx="4157345" cy="26911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16</xdr:col>
      <xdr:colOff>606425</xdr:colOff>
      <xdr:row>15</xdr:row>
      <xdr:rowOff>6985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53" r="8624" b="26896"/>
        <a:stretch/>
      </xdr:blipFill>
      <xdr:spPr bwMode="auto">
        <a:xfrm>
          <a:off x="5486400" y="190500"/>
          <a:ext cx="4873625" cy="26739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D28" sqref="D2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4.4231118037291622E+17</v>
      </c>
      <c r="C2" s="1">
        <v>3</v>
      </c>
      <c r="D2" s="2">
        <f>B2/$B$17</f>
        <v>4.2551731047617565E-2</v>
      </c>
      <c r="E2" s="1">
        <v>0</v>
      </c>
      <c r="F2" s="1">
        <v>1.4743706012430541E+17</v>
      </c>
      <c r="G2" s="1">
        <v>11181397.775175387</v>
      </c>
      <c r="H2" s="1">
        <v>0</v>
      </c>
    </row>
    <row r="3" spans="1:8" x14ac:dyDescent="0.25">
      <c r="A3" s="1" t="s">
        <v>8</v>
      </c>
      <c r="B3" s="1">
        <v>3753212922404864</v>
      </c>
      <c r="C3" s="1">
        <v>4</v>
      </c>
      <c r="D3" s="2">
        <f>B3/$B$17</f>
        <v>3.6107092455579646E-4</v>
      </c>
      <c r="E3" s="1">
        <v>0</v>
      </c>
      <c r="F3" s="1">
        <v>938303230601216</v>
      </c>
      <c r="G3" s="1">
        <v>71159.460492760845</v>
      </c>
      <c r="H3" s="1">
        <v>3.4699276901114133E-236</v>
      </c>
    </row>
    <row r="4" spans="1:8" x14ac:dyDescent="0.25">
      <c r="A4" s="1" t="s">
        <v>9</v>
      </c>
      <c r="B4" s="1">
        <v>9.4585100530931732E+18</v>
      </c>
      <c r="C4" s="1">
        <v>2</v>
      </c>
      <c r="D4" s="2">
        <f t="shared" ref="D4:D17" si="0">B4/$B$17</f>
        <v>0.90993850879165394</v>
      </c>
      <c r="E4" s="1">
        <v>0</v>
      </c>
      <c r="F4" s="1">
        <v>4.7292550265465866E+18</v>
      </c>
      <c r="G4" s="1">
        <v>358659360.05154824</v>
      </c>
      <c r="H4" s="1">
        <v>0</v>
      </c>
    </row>
    <row r="5" spans="1:8" x14ac:dyDescent="0.25">
      <c r="A5" s="1" t="s">
        <v>10</v>
      </c>
      <c r="B5" s="1">
        <v>6.2317352439478272E+16</v>
      </c>
      <c r="C5" s="1">
        <v>6</v>
      </c>
      <c r="D5" s="2">
        <f t="shared" si="0"/>
        <v>5.995125916483943E-3</v>
      </c>
      <c r="E5" s="1">
        <v>0</v>
      </c>
      <c r="F5" s="1">
        <v>1.0386225406579712E+16</v>
      </c>
      <c r="G5" s="1">
        <v>787675.21243090567</v>
      </c>
      <c r="H5" s="1">
        <v>0</v>
      </c>
    </row>
    <row r="6" spans="1:8" x14ac:dyDescent="0.25">
      <c r="A6" s="1" t="s">
        <v>11</v>
      </c>
      <c r="B6" s="1">
        <v>307893790480384</v>
      </c>
      <c r="C6" s="1">
        <v>12</v>
      </c>
      <c r="D6" s="2">
        <f t="shared" si="0"/>
        <v>2.9620354051884701E-5</v>
      </c>
      <c r="E6" s="1">
        <v>0</v>
      </c>
      <c r="F6" s="1">
        <v>25657815873365.332</v>
      </c>
      <c r="G6" s="1">
        <v>1945.8489275384854</v>
      </c>
      <c r="H6" s="1">
        <v>9.4519414741474053E-153</v>
      </c>
    </row>
    <row r="7" spans="1:8" x14ac:dyDescent="0.25">
      <c r="A7" s="1" t="s">
        <v>12</v>
      </c>
      <c r="B7" s="1">
        <v>3.6459810425197773E+17</v>
      </c>
      <c r="C7" s="1">
        <v>6</v>
      </c>
      <c r="D7" s="2">
        <f t="shared" si="0"/>
        <v>3.5075487939330789E-2</v>
      </c>
      <c r="E7" s="1">
        <v>0</v>
      </c>
      <c r="F7" s="1">
        <v>6.0766350708662952E+16</v>
      </c>
      <c r="G7" s="1">
        <v>4608425.7109204363</v>
      </c>
      <c r="H7" s="1">
        <v>0</v>
      </c>
    </row>
    <row r="8" spans="1:8" x14ac:dyDescent="0.25">
      <c r="A8" s="1" t="s">
        <v>13</v>
      </c>
      <c r="B8" s="1">
        <v>2603914353534976</v>
      </c>
      <c r="C8" s="1">
        <v>18</v>
      </c>
      <c r="D8" s="2">
        <f t="shared" si="0"/>
        <v>2.5050477618321555E-4</v>
      </c>
      <c r="E8" s="1">
        <v>0</v>
      </c>
      <c r="F8" s="1">
        <v>144661908529720.88</v>
      </c>
      <c r="G8" s="1">
        <v>10970.93458607422</v>
      </c>
      <c r="H8" s="1">
        <v>3.6463494940167848E-216</v>
      </c>
    </row>
    <row r="9" spans="1:8" x14ac:dyDescent="0.25">
      <c r="A9" s="1" t="s">
        <v>14</v>
      </c>
      <c r="B9" s="1">
        <v>4935716704278528</v>
      </c>
      <c r="C9" s="1">
        <v>8</v>
      </c>
      <c r="D9" s="2">
        <f t="shared" si="0"/>
        <v>4.7483151918208561E-4</v>
      </c>
      <c r="E9" s="1">
        <v>0</v>
      </c>
      <c r="F9" s="1">
        <v>616964588034816</v>
      </c>
      <c r="G9" s="1">
        <v>46789.636650366512</v>
      </c>
      <c r="H9" s="1">
        <v>8.8264751969641717E-242</v>
      </c>
    </row>
    <row r="10" spans="1:8" x14ac:dyDescent="0.25">
      <c r="A10" s="1" t="s">
        <v>15</v>
      </c>
      <c r="B10" s="1">
        <v>48752159668224</v>
      </c>
      <c r="C10" s="1">
        <v>24</v>
      </c>
      <c r="D10" s="2">
        <f t="shared" si="0"/>
        <v>4.6901115735843652E-6</v>
      </c>
      <c r="E10" s="1">
        <v>0</v>
      </c>
      <c r="F10" s="1">
        <v>2031339986176</v>
      </c>
      <c r="G10" s="1">
        <v>154.05367132865661</v>
      </c>
      <c r="H10" s="1">
        <v>2.227113077870711E-90</v>
      </c>
    </row>
    <row r="11" spans="1:8" x14ac:dyDescent="0.25">
      <c r="A11" s="1" t="s">
        <v>16</v>
      </c>
      <c r="B11" s="1">
        <v>5.2593875875971072E+16</v>
      </c>
      <c r="C11" s="1">
        <v>12</v>
      </c>
      <c r="D11" s="2">
        <f t="shared" si="0"/>
        <v>5.059696793418742E-3</v>
      </c>
      <c r="E11" s="1">
        <v>0</v>
      </c>
      <c r="F11" s="1">
        <v>4382822989664256</v>
      </c>
      <c r="G11" s="1">
        <v>332386.49213638698</v>
      </c>
      <c r="H11" s="1">
        <v>0</v>
      </c>
    </row>
    <row r="12" spans="1:8" x14ac:dyDescent="0.25">
      <c r="A12" s="1" t="s">
        <v>17</v>
      </c>
      <c r="B12" s="1">
        <v>453748251549696</v>
      </c>
      <c r="C12" s="1">
        <v>24</v>
      </c>
      <c r="D12" s="2">
        <f t="shared" si="0"/>
        <v>4.3652013378885973E-5</v>
      </c>
      <c r="E12" s="1">
        <v>0</v>
      </c>
      <c r="F12" s="1">
        <v>18906177147904</v>
      </c>
      <c r="G12" s="1">
        <v>1433.8151270814446</v>
      </c>
      <c r="H12" s="1">
        <v>6.5627069149838786E-159</v>
      </c>
    </row>
    <row r="13" spans="1:8" x14ac:dyDescent="0.25">
      <c r="A13" s="1" t="s">
        <v>18</v>
      </c>
      <c r="B13" s="1">
        <v>2071127543808</v>
      </c>
      <c r="C13" s="1">
        <v>72</v>
      </c>
      <c r="D13" s="2">
        <f t="shared" si="0"/>
        <v>1.9924900414031498E-7</v>
      </c>
      <c r="E13" s="1">
        <v>0</v>
      </c>
      <c r="F13" s="1">
        <v>28765660330.666668</v>
      </c>
      <c r="G13" s="1">
        <v>2.1815430269132441</v>
      </c>
      <c r="H13" s="1">
        <v>3.7755915115086986E-5</v>
      </c>
    </row>
    <row r="14" spans="1:8" x14ac:dyDescent="0.25">
      <c r="A14" s="1" t="s">
        <v>19</v>
      </c>
      <c r="B14" s="1">
        <v>2186675574253568</v>
      </c>
      <c r="C14" s="1">
        <v>36</v>
      </c>
      <c r="D14" s="2">
        <f t="shared" si="0"/>
        <v>2.103650892242515E-4</v>
      </c>
      <c r="E14" s="1">
        <v>0</v>
      </c>
      <c r="F14" s="1">
        <v>60740988173710.219</v>
      </c>
      <c r="G14" s="1">
        <v>4606.5022556395579</v>
      </c>
      <c r="H14" s="1">
        <v>2.7024317306587101E-203</v>
      </c>
    </row>
    <row r="15" spans="1:8" x14ac:dyDescent="0.25">
      <c r="A15" s="1" t="s">
        <v>20</v>
      </c>
      <c r="B15" s="1">
        <v>45038090469376</v>
      </c>
      <c r="C15" s="1">
        <v>48</v>
      </c>
      <c r="D15" s="2">
        <f t="shared" si="0"/>
        <v>4.3328063987335381E-6</v>
      </c>
      <c r="E15" s="1">
        <v>0</v>
      </c>
      <c r="F15" s="1">
        <v>938293551445.33337</v>
      </c>
      <c r="G15" s="1">
        <v>71.15872644060353</v>
      </c>
      <c r="H15" s="1">
        <v>1.2852135416969203E-79</v>
      </c>
    </row>
    <row r="16" spans="1:8" x14ac:dyDescent="0.25">
      <c r="A16" s="1" t="s">
        <v>21</v>
      </c>
      <c r="B16" s="1">
        <v>1898773041152</v>
      </c>
      <c r="C16" s="1">
        <v>144</v>
      </c>
      <c r="D16" s="2">
        <f t="shared" si="0"/>
        <v>1.8266795720480532E-7</v>
      </c>
      <c r="E16" s="1">
        <v>0</v>
      </c>
      <c r="F16" s="1">
        <v>13185923896.888889</v>
      </c>
      <c r="G16" s="1"/>
      <c r="H16" s="1"/>
    </row>
    <row r="17" spans="1:8" x14ac:dyDescent="0.25">
      <c r="A17" s="1" t="s">
        <v>22</v>
      </c>
      <c r="B17" s="1">
        <v>1.0394669487780588E+19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2.087219820083817</v>
      </c>
      <c r="C23" s="1">
        <v>3</v>
      </c>
      <c r="D23" s="2">
        <f>B23/$B$38</f>
        <v>5.2109691626603767E-3</v>
      </c>
      <c r="E23" s="1">
        <v>0</v>
      </c>
      <c r="F23" s="1">
        <v>0.69573994002793904</v>
      </c>
      <c r="G23" s="1">
        <v>78621.932163315432</v>
      </c>
      <c r="H23" s="1">
        <v>3.4227830044687978E-231</v>
      </c>
    </row>
    <row r="24" spans="1:8" x14ac:dyDescent="0.25">
      <c r="A24" s="1" t="s">
        <v>8</v>
      </c>
      <c r="B24" s="1">
        <v>134.8555840502782</v>
      </c>
      <c r="C24" s="1">
        <v>4</v>
      </c>
      <c r="D24" s="2">
        <f>B24/$B$38</f>
        <v>0.33668149522954155</v>
      </c>
      <c r="E24" s="1">
        <v>0</v>
      </c>
      <c r="F24" s="1">
        <v>33.713896012569549</v>
      </c>
      <c r="G24" s="1">
        <v>3809831.0773345437</v>
      </c>
      <c r="H24" s="1">
        <v>0</v>
      </c>
    </row>
    <row r="25" spans="1:8" x14ac:dyDescent="0.25">
      <c r="A25" s="1" t="s">
        <v>9</v>
      </c>
      <c r="B25" s="1">
        <v>239.98977486633549</v>
      </c>
      <c r="C25" s="1">
        <v>2</v>
      </c>
      <c r="D25" s="2">
        <f t="shared" ref="D25:D38" si="1">B25/$B$38</f>
        <v>0.59916032999919522</v>
      </c>
      <c r="E25" s="1">
        <v>0</v>
      </c>
      <c r="F25" s="1">
        <v>119.99488743316775</v>
      </c>
      <c r="G25" s="1">
        <v>13559994.700514581</v>
      </c>
      <c r="H25" s="1">
        <v>0</v>
      </c>
    </row>
    <row r="26" spans="1:8" x14ac:dyDescent="0.25">
      <c r="A26" s="1" t="s">
        <v>10</v>
      </c>
      <c r="B26" s="1">
        <v>14.068307554340663</v>
      </c>
      <c r="C26" s="1">
        <v>6</v>
      </c>
      <c r="D26" s="2">
        <f t="shared" si="1"/>
        <v>3.5123045560935366E-2</v>
      </c>
      <c r="E26" s="1">
        <v>0</v>
      </c>
      <c r="F26" s="1">
        <v>2.3447179257234438</v>
      </c>
      <c r="G26" s="1">
        <v>264964.31078965426</v>
      </c>
      <c r="H26" s="1">
        <v>2.1593984837715533E-288</v>
      </c>
    </row>
    <row r="27" spans="1:8" x14ac:dyDescent="0.25">
      <c r="A27" s="1" t="s">
        <v>11</v>
      </c>
      <c r="B27" s="1">
        <v>0.3499131785409304</v>
      </c>
      <c r="C27" s="1">
        <v>12</v>
      </c>
      <c r="D27" s="2">
        <f t="shared" si="1"/>
        <v>8.7359595067089814E-4</v>
      </c>
      <c r="E27" s="1">
        <v>0</v>
      </c>
      <c r="F27" s="1">
        <v>2.9159431545077535E-2</v>
      </c>
      <c r="G27" s="1">
        <v>3295.1548660062012</v>
      </c>
      <c r="H27" s="1">
        <v>3.8750483588373352E-169</v>
      </c>
    </row>
    <row r="28" spans="1:8" x14ac:dyDescent="0.25">
      <c r="A28" s="1" t="s">
        <v>12</v>
      </c>
      <c r="B28" s="1">
        <v>2.2237296623208067</v>
      </c>
      <c r="C28" s="1">
        <v>6</v>
      </c>
      <c r="D28" s="2">
        <f t="shared" si="1"/>
        <v>5.5517806916865918E-3</v>
      </c>
      <c r="E28" s="1">
        <v>0</v>
      </c>
      <c r="F28" s="1">
        <v>0.37062161038680114</v>
      </c>
      <c r="G28" s="1">
        <v>41882.009977635695</v>
      </c>
      <c r="H28" s="1">
        <v>1.0054228364232151E-230</v>
      </c>
    </row>
    <row r="29" spans="1:8" x14ac:dyDescent="0.25">
      <c r="A29" s="1" t="s">
        <v>13</v>
      </c>
      <c r="B29" s="1">
        <v>1.0099830719241254E-3</v>
      </c>
      <c r="C29" s="1">
        <v>18</v>
      </c>
      <c r="D29" s="2">
        <f t="shared" si="1"/>
        <v>2.5215315569369536E-6</v>
      </c>
      <c r="E29" s="1">
        <v>0</v>
      </c>
      <c r="F29" s="1">
        <v>5.6110170662451412E-5</v>
      </c>
      <c r="G29" s="1">
        <v>6.3407169513915687</v>
      </c>
      <c r="H29" s="1">
        <v>2.7498233705907391E-11</v>
      </c>
    </row>
    <row r="30" spans="1:8" x14ac:dyDescent="0.25">
      <c r="A30" s="1" t="s">
        <v>14</v>
      </c>
      <c r="B30" s="1">
        <v>4.1015324284741155</v>
      </c>
      <c r="C30" s="1">
        <v>8</v>
      </c>
      <c r="D30" s="2">
        <f t="shared" si="1"/>
        <v>1.0239917616138709E-2</v>
      </c>
      <c r="E30" s="1">
        <v>0</v>
      </c>
      <c r="F30" s="1">
        <v>0.51269155355926443</v>
      </c>
      <c r="G30" s="1">
        <v>57936.5912829765</v>
      </c>
      <c r="H30" s="1">
        <v>1.8465487241307175E-248</v>
      </c>
    </row>
    <row r="31" spans="1:8" x14ac:dyDescent="0.25">
      <c r="A31" s="1" t="s">
        <v>15</v>
      </c>
      <c r="B31" s="1">
        <v>0.39215815840805135</v>
      </c>
      <c r="C31" s="1">
        <v>24</v>
      </c>
      <c r="D31" s="2">
        <f t="shared" si="1"/>
        <v>9.7906509447959179E-4</v>
      </c>
      <c r="E31" s="1">
        <v>0</v>
      </c>
      <c r="F31" s="1">
        <v>1.6339923267002138E-2</v>
      </c>
      <c r="G31" s="1">
        <v>1846.4892767266349</v>
      </c>
      <c r="H31" s="1">
        <v>8.7326723642147424E-167</v>
      </c>
    </row>
    <row r="32" spans="1:8" x14ac:dyDescent="0.25">
      <c r="A32" s="1" t="s">
        <v>16</v>
      </c>
      <c r="B32" s="1">
        <v>1.864284806462706</v>
      </c>
      <c r="C32" s="1">
        <v>12</v>
      </c>
      <c r="D32" s="2">
        <f t="shared" si="1"/>
        <v>4.6543878816287364E-3</v>
      </c>
      <c r="E32" s="1">
        <v>0</v>
      </c>
      <c r="F32" s="1">
        <v>0.15535706720522549</v>
      </c>
      <c r="G32" s="1">
        <v>17556.089705602317</v>
      </c>
      <c r="H32" s="1">
        <v>2.3722382901617823E-221</v>
      </c>
    </row>
    <row r="33" spans="1:8" x14ac:dyDescent="0.25">
      <c r="A33" s="1" t="s">
        <v>17</v>
      </c>
      <c r="B33" s="1">
        <v>0.60397230474870867</v>
      </c>
      <c r="C33" s="1">
        <v>24</v>
      </c>
      <c r="D33" s="2">
        <f t="shared" si="1"/>
        <v>1.5078819321579892E-3</v>
      </c>
      <c r="E33" s="1">
        <v>0</v>
      </c>
      <c r="F33" s="1">
        <v>2.5165512697862862E-2</v>
      </c>
      <c r="G33" s="1">
        <v>2843.8229837818039</v>
      </c>
      <c r="H33" s="1">
        <v>3.0062488642902621E-180</v>
      </c>
    </row>
    <row r="34" spans="1:8" x14ac:dyDescent="0.25">
      <c r="A34" s="1" t="s">
        <v>18</v>
      </c>
      <c r="B34" s="1">
        <v>6.399873567488612E-4</v>
      </c>
      <c r="C34" s="1">
        <v>72</v>
      </c>
      <c r="D34" s="2">
        <f t="shared" si="1"/>
        <v>1.5977973898201669E-6</v>
      </c>
      <c r="E34" s="1">
        <v>0</v>
      </c>
      <c r="F34" s="1">
        <v>8.8887132881786274E-6</v>
      </c>
      <c r="G34" s="1">
        <v>1.0044670040565395</v>
      </c>
      <c r="H34" s="1">
        <v>0.48225245646880477</v>
      </c>
    </row>
    <row r="35" spans="1:8" x14ac:dyDescent="0.25">
      <c r="A35" s="1" t="s">
        <v>19</v>
      </c>
      <c r="B35" s="1">
        <v>4.9000980396840532E-4</v>
      </c>
      <c r="C35" s="1">
        <v>36</v>
      </c>
      <c r="D35" s="2">
        <f t="shared" si="1"/>
        <v>1.2233622703803561E-6</v>
      </c>
      <c r="E35" s="1">
        <v>0</v>
      </c>
      <c r="F35" s="1">
        <v>1.3611383443566814E-5</v>
      </c>
      <c r="G35" s="1">
        <v>1.5381512605212952</v>
      </c>
      <c r="H35" s="1">
        <v>4.0097095029805907E-2</v>
      </c>
    </row>
    <row r="36" spans="1:8" x14ac:dyDescent="0.25">
      <c r="A36" s="1" t="s">
        <v>20</v>
      </c>
      <c r="B36" s="1">
        <v>3.6076176504593604E-3</v>
      </c>
      <c r="C36" s="1">
        <v>48</v>
      </c>
      <c r="D36" s="2">
        <f t="shared" si="1"/>
        <v>9.006806157320835E-6</v>
      </c>
      <c r="E36" s="1">
        <v>0</v>
      </c>
      <c r="F36" s="1">
        <v>7.5158701051236676E-5</v>
      </c>
      <c r="G36" s="1">
        <v>8.4932917539503912</v>
      </c>
      <c r="H36" s="1">
        <v>6.9940666377877146E-24</v>
      </c>
    </row>
    <row r="37" spans="1:8" x14ac:dyDescent="0.25">
      <c r="A37" s="1" t="s">
        <v>21</v>
      </c>
      <c r="B37" s="1">
        <v>1.2742824884526271E-3</v>
      </c>
      <c r="C37" s="1">
        <v>144</v>
      </c>
      <c r="D37" s="2">
        <f t="shared" si="1"/>
        <v>3.1813835265219522E-6</v>
      </c>
      <c r="E37" s="1">
        <v>0</v>
      </c>
      <c r="F37" s="1">
        <v>8.8491839475876878E-6</v>
      </c>
      <c r="G37" s="1"/>
      <c r="H37" s="1"/>
    </row>
    <row r="38" spans="1:8" x14ac:dyDescent="0.25">
      <c r="A38" s="1" t="s">
        <v>22</v>
      </c>
      <c r="B38" s="1">
        <v>400.54349871036663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26" sqref="D2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1.6021968271818957E+17</v>
      </c>
      <c r="C2" s="1">
        <v>3</v>
      </c>
      <c r="D2" s="2">
        <f>B2/$B$17</f>
        <v>2.0623816652888993E-2</v>
      </c>
      <c r="E2" s="1">
        <v>0</v>
      </c>
      <c r="F2" s="1">
        <v>5.3406560906063192E+16</v>
      </c>
      <c r="G2" s="1">
        <v>275684.66788446362</v>
      </c>
      <c r="H2" s="1">
        <v>2.0775553111135202E-270</v>
      </c>
    </row>
    <row r="3" spans="1:8" x14ac:dyDescent="0.25">
      <c r="A3" s="1" t="s">
        <v>8</v>
      </c>
      <c r="B3" s="1">
        <v>1.154636127926272E+17</v>
      </c>
      <c r="C3" s="1">
        <v>4</v>
      </c>
      <c r="D3" s="2">
        <f>B3/$B$17</f>
        <v>1.4862720609076358E-2</v>
      </c>
      <c r="E3" s="1">
        <v>0</v>
      </c>
      <c r="F3" s="1">
        <v>2.88659031981568E+16</v>
      </c>
      <c r="G3" s="1">
        <v>149005.79257230327</v>
      </c>
      <c r="H3" s="1">
        <v>2.7467474913952887E-259</v>
      </c>
    </row>
    <row r="4" spans="1:8" x14ac:dyDescent="0.25">
      <c r="A4" s="1" t="s">
        <v>9</v>
      </c>
      <c r="B4" s="1">
        <v>7.2589666135156838E+18</v>
      </c>
      <c r="C4" s="1">
        <v>2</v>
      </c>
      <c r="D4" s="2">
        <f t="shared" ref="D4:D17" si="0">B4/$B$17</f>
        <v>0.93438954557106879</v>
      </c>
      <c r="E4" s="1">
        <v>0</v>
      </c>
      <c r="F4" s="1">
        <v>3.6294833067578419E+18</v>
      </c>
      <c r="G4" s="1">
        <v>18735392.862605091</v>
      </c>
      <c r="H4" s="1">
        <v>0</v>
      </c>
    </row>
    <row r="5" spans="1:8" x14ac:dyDescent="0.25">
      <c r="A5" s="1" t="s">
        <v>10</v>
      </c>
      <c r="B5" s="1">
        <v>2.2375759736305664E+16</v>
      </c>
      <c r="C5" s="1">
        <v>6</v>
      </c>
      <c r="D5" s="2">
        <f t="shared" si="0"/>
        <v>2.8802551499390351E-3</v>
      </c>
      <c r="E5" s="1">
        <v>0</v>
      </c>
      <c r="F5" s="1">
        <v>3729293289384277.5</v>
      </c>
      <c r="G5" s="1">
        <v>19250.611993833572</v>
      </c>
      <c r="H5" s="1">
        <v>1.935085800809577E-206</v>
      </c>
    </row>
    <row r="6" spans="1:8" x14ac:dyDescent="0.25">
      <c r="A6" s="1" t="s">
        <v>11</v>
      </c>
      <c r="B6" s="1">
        <v>243714980255744</v>
      </c>
      <c r="C6" s="1">
        <v>12</v>
      </c>
      <c r="D6" s="2">
        <f t="shared" si="0"/>
        <v>3.1371508063698658E-5</v>
      </c>
      <c r="E6" s="1">
        <v>0</v>
      </c>
      <c r="F6" s="1">
        <v>20309581687978.668</v>
      </c>
      <c r="G6" s="1">
        <v>104.83806085868243</v>
      </c>
      <c r="H6" s="1">
        <v>7.9213982743070612E-65</v>
      </c>
    </row>
    <row r="7" spans="1:8" x14ac:dyDescent="0.25">
      <c r="A7" s="1" t="s">
        <v>12</v>
      </c>
      <c r="B7" s="1">
        <v>1.005705472433193E+17</v>
      </c>
      <c r="C7" s="1">
        <v>6</v>
      </c>
      <c r="D7" s="2">
        <f t="shared" si="0"/>
        <v>1.2945653691470278E-2</v>
      </c>
      <c r="E7" s="1">
        <v>0</v>
      </c>
      <c r="F7" s="1">
        <v>1.676175787388655E+16</v>
      </c>
      <c r="G7" s="1">
        <v>86524.194297962997</v>
      </c>
      <c r="H7" s="1">
        <v>2.1082376900792701E-253</v>
      </c>
    </row>
    <row r="8" spans="1:8" x14ac:dyDescent="0.25">
      <c r="A8" s="1" t="s">
        <v>13</v>
      </c>
      <c r="B8" s="1">
        <v>526343696457728</v>
      </c>
      <c r="C8" s="1">
        <v>18</v>
      </c>
      <c r="D8" s="2">
        <f t="shared" si="0"/>
        <v>6.7752074576513054E-5</v>
      </c>
      <c r="E8" s="1">
        <v>0</v>
      </c>
      <c r="F8" s="1">
        <v>29241316469873.777</v>
      </c>
      <c r="G8" s="1">
        <v>150.94367588433218</v>
      </c>
      <c r="H8" s="1">
        <v>6.5807795625866014E-84</v>
      </c>
    </row>
    <row r="9" spans="1:8" x14ac:dyDescent="0.25">
      <c r="A9" s="1" t="s">
        <v>14</v>
      </c>
      <c r="B9" s="1">
        <v>7.3161357347058688E+16</v>
      </c>
      <c r="C9" s="1">
        <v>8</v>
      </c>
      <c r="D9" s="2">
        <f t="shared" si="0"/>
        <v>9.4174847584499143E-3</v>
      </c>
      <c r="E9" s="1">
        <v>0</v>
      </c>
      <c r="F9" s="1">
        <v>9145169668382336</v>
      </c>
      <c r="G9" s="1">
        <v>47207.36591164452</v>
      </c>
      <c r="H9" s="1">
        <v>4.6555521913087056E-242</v>
      </c>
    </row>
    <row r="10" spans="1:8" x14ac:dyDescent="0.25">
      <c r="A10" s="1" t="s">
        <v>15</v>
      </c>
      <c r="B10" s="1">
        <v>1.0784910895935488E+16</v>
      </c>
      <c r="C10" s="1">
        <v>24</v>
      </c>
      <c r="D10" s="2">
        <f t="shared" si="0"/>
        <v>1.3882565560109331E-3</v>
      </c>
      <c r="E10" s="1">
        <v>0</v>
      </c>
      <c r="F10" s="1">
        <v>449371287330645.31</v>
      </c>
      <c r="G10" s="1">
        <v>2319.6545893015609</v>
      </c>
      <c r="H10" s="1">
        <v>6.782913293704222E-174</v>
      </c>
    </row>
    <row r="11" spans="1:8" x14ac:dyDescent="0.25">
      <c r="A11" s="1" t="s">
        <v>16</v>
      </c>
      <c r="B11" s="1">
        <v>1.4995093675953152E+16</v>
      </c>
      <c r="C11" s="1">
        <v>12</v>
      </c>
      <c r="D11" s="2">
        <f t="shared" si="0"/>
        <v>1.9302001940030276E-3</v>
      </c>
      <c r="E11" s="1">
        <v>0</v>
      </c>
      <c r="F11" s="1">
        <v>1249591139662762.8</v>
      </c>
      <c r="G11" s="1">
        <v>6450.3894743424144</v>
      </c>
      <c r="H11" s="1">
        <v>4.4106517547338082E-190</v>
      </c>
    </row>
    <row r="12" spans="1:8" x14ac:dyDescent="0.25">
      <c r="A12" s="1" t="s">
        <v>17</v>
      </c>
      <c r="B12" s="1">
        <v>205452226570240</v>
      </c>
      <c r="C12" s="1">
        <v>24</v>
      </c>
      <c r="D12" s="2">
        <f t="shared" si="0"/>
        <v>2.6446245428941873E-5</v>
      </c>
      <c r="E12" s="1">
        <v>0</v>
      </c>
      <c r="F12" s="1">
        <v>8560509440426.667</v>
      </c>
      <c r="G12" s="1">
        <v>44.189349809602</v>
      </c>
      <c r="H12" s="1">
        <v>1.55430016093422E-54</v>
      </c>
    </row>
    <row r="13" spans="1:8" x14ac:dyDescent="0.25">
      <c r="A13" s="1" t="s">
        <v>18</v>
      </c>
      <c r="B13" s="1">
        <v>48113929975808</v>
      </c>
      <c r="C13" s="1">
        <v>72</v>
      </c>
      <c r="D13" s="2">
        <f t="shared" si="0"/>
        <v>6.1933268961488836E-6</v>
      </c>
      <c r="E13" s="1">
        <v>0</v>
      </c>
      <c r="F13" s="1">
        <v>668249027441.77783</v>
      </c>
      <c r="G13" s="1">
        <v>3.4495014857526116</v>
      </c>
      <c r="H13" s="1">
        <v>1.3546006978317212E-10</v>
      </c>
    </row>
    <row r="14" spans="1:8" x14ac:dyDescent="0.25">
      <c r="A14" s="1" t="s">
        <v>19</v>
      </c>
      <c r="B14" s="1">
        <v>380928591005696</v>
      </c>
      <c r="C14" s="1">
        <v>36</v>
      </c>
      <c r="D14" s="2">
        <f t="shared" si="0"/>
        <v>4.9033934442143959E-5</v>
      </c>
      <c r="E14" s="1">
        <v>0</v>
      </c>
      <c r="F14" s="1">
        <v>10581349750158.223</v>
      </c>
      <c r="G14" s="1">
        <v>54.620927506877614</v>
      </c>
      <c r="H14" s="1">
        <v>2.5931310617940276E-67</v>
      </c>
    </row>
    <row r="15" spans="1:8" x14ac:dyDescent="0.25">
      <c r="A15" s="1" t="s">
        <v>20</v>
      </c>
      <c r="B15" s="1">
        <v>1.070273634873344E+16</v>
      </c>
      <c r="C15" s="1">
        <v>48</v>
      </c>
      <c r="D15" s="2">
        <f t="shared" si="0"/>
        <v>1.3776788743785826E-3</v>
      </c>
      <c r="E15" s="1">
        <v>0</v>
      </c>
      <c r="F15" s="1">
        <v>222973673931946.66</v>
      </c>
      <c r="G15" s="1">
        <v>1150.990106871471</v>
      </c>
      <c r="H15" s="1">
        <v>4.6040992416431375E-165</v>
      </c>
    </row>
    <row r="16" spans="1:8" x14ac:dyDescent="0.25">
      <c r="A16" s="1" t="s">
        <v>21</v>
      </c>
      <c r="B16" s="1">
        <v>27896164228096</v>
      </c>
      <c r="C16" s="1">
        <v>144</v>
      </c>
      <c r="D16" s="2">
        <f t="shared" si="0"/>
        <v>3.5908532996602697E-6</v>
      </c>
      <c r="E16" s="1">
        <v>0</v>
      </c>
      <c r="F16" s="1">
        <v>193723362695.11111</v>
      </c>
      <c r="G16" s="1"/>
      <c r="H16" s="1"/>
    </row>
    <row r="17" spans="1:8" x14ac:dyDescent="0.25">
      <c r="A17" s="1" t="s">
        <v>22</v>
      </c>
      <c r="B17" s="1">
        <v>7.7686727638623539E+18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18.439004897455447</v>
      </c>
      <c r="C23" s="1">
        <v>3</v>
      </c>
      <c r="D23" s="2">
        <f>B23/$B$38</f>
        <v>3.385994832907091E-2</v>
      </c>
      <c r="E23" s="1">
        <v>0</v>
      </c>
      <c r="F23" s="1">
        <v>6.1463349658184825</v>
      </c>
      <c r="G23" s="1">
        <v>5866.610261634044</v>
      </c>
      <c r="H23" s="1">
        <v>2.8334482486538185E-150</v>
      </c>
    </row>
    <row r="24" spans="1:8" x14ac:dyDescent="0.25">
      <c r="A24" s="1" t="s">
        <v>8</v>
      </c>
      <c r="B24" s="1">
        <v>12.270373762929694</v>
      </c>
      <c r="C24" s="1">
        <v>4</v>
      </c>
      <c r="D24" s="2">
        <f>B24/$B$38</f>
        <v>2.2532355943379653E-2</v>
      </c>
      <c r="E24" s="1">
        <v>0</v>
      </c>
      <c r="F24" s="1">
        <v>3.0675934407324235</v>
      </c>
      <c r="G24" s="1">
        <v>2927.9847678340152</v>
      </c>
      <c r="H24" s="1">
        <v>8.6456817726288974E-137</v>
      </c>
    </row>
    <row r="25" spans="1:8" x14ac:dyDescent="0.25">
      <c r="A25" s="1" t="s">
        <v>9</v>
      </c>
      <c r="B25" s="1">
        <v>479.27412092107795</v>
      </c>
      <c r="C25" s="1">
        <v>2</v>
      </c>
      <c r="D25" s="2">
        <f t="shared" ref="D25:D38" si="1">B25/$B$38</f>
        <v>0.88010155971529935</v>
      </c>
      <c r="E25" s="1">
        <v>0</v>
      </c>
      <c r="F25" s="1">
        <v>239.63706046053898</v>
      </c>
      <c r="G25" s="1">
        <v>228730.98290021418</v>
      </c>
      <c r="H25" s="1">
        <v>7.0258461527441356E-253</v>
      </c>
    </row>
    <row r="26" spans="1:8" x14ac:dyDescent="0.25">
      <c r="A26" s="1" t="s">
        <v>10</v>
      </c>
      <c r="B26" s="1">
        <v>8.5826254836320004</v>
      </c>
      <c r="C26" s="1">
        <v>6</v>
      </c>
      <c r="D26" s="2">
        <f t="shared" si="1"/>
        <v>1.5760463052084232E-2</v>
      </c>
      <c r="E26" s="1">
        <v>0</v>
      </c>
      <c r="F26" s="1">
        <v>1.4304375806053333</v>
      </c>
      <c r="G26" s="1">
        <v>1365.3372026867264</v>
      </c>
      <c r="H26" s="1">
        <v>3.2333727199212565E-124</v>
      </c>
    </row>
    <row r="27" spans="1:8" x14ac:dyDescent="0.25">
      <c r="A27" s="1" t="s">
        <v>11</v>
      </c>
      <c r="B27" s="1">
        <v>4.1085537177423248E-3</v>
      </c>
      <c r="C27" s="1">
        <v>12</v>
      </c>
      <c r="D27" s="2">
        <f t="shared" si="1"/>
        <v>7.544627129480561E-6</v>
      </c>
      <c r="E27" s="1">
        <v>0</v>
      </c>
      <c r="F27" s="1">
        <v>3.4237947647852707E-4</v>
      </c>
      <c r="G27" s="1">
        <v>0.32679750798683338</v>
      </c>
      <c r="H27" s="1">
        <v>0.9833982270899535</v>
      </c>
    </row>
    <row r="28" spans="1:8" x14ac:dyDescent="0.25">
      <c r="A28" s="1" t="s">
        <v>12</v>
      </c>
      <c r="B28" s="1">
        <v>12.915753069240282</v>
      </c>
      <c r="C28" s="1">
        <v>6</v>
      </c>
      <c r="D28" s="2">
        <f t="shared" si="1"/>
        <v>2.3717480091122775E-2</v>
      </c>
      <c r="E28" s="1">
        <v>0</v>
      </c>
      <c r="F28" s="1">
        <v>2.1526255115400468</v>
      </c>
      <c r="G28" s="1">
        <v>2054.6577734027501</v>
      </c>
      <c r="H28" s="1">
        <v>8.2491732680268792E-137</v>
      </c>
    </row>
    <row r="29" spans="1:8" x14ac:dyDescent="0.25">
      <c r="A29" s="1" t="s">
        <v>13</v>
      </c>
      <c r="B29" s="1">
        <v>0.1558237425514335</v>
      </c>
      <c r="C29" s="1">
        <v>18</v>
      </c>
      <c r="D29" s="2">
        <f t="shared" si="1"/>
        <v>2.8614254948010185E-4</v>
      </c>
      <c r="E29" s="1">
        <v>0</v>
      </c>
      <c r="F29" s="1">
        <v>8.6568745861907506E-3</v>
      </c>
      <c r="G29" s="1">
        <v>8.2628931816218696</v>
      </c>
      <c r="H29" s="1">
        <v>9.4151931257224066E-15</v>
      </c>
    </row>
    <row r="30" spans="1:8" x14ac:dyDescent="0.25">
      <c r="A30" s="1" t="s">
        <v>14</v>
      </c>
      <c r="B30" s="1">
        <v>0.3667019121028261</v>
      </c>
      <c r="C30" s="1">
        <v>8</v>
      </c>
      <c r="D30" s="2">
        <f t="shared" si="1"/>
        <v>6.7338274841971827E-4</v>
      </c>
      <c r="E30" s="1">
        <v>0</v>
      </c>
      <c r="F30" s="1">
        <v>4.5837739012853262E-2</v>
      </c>
      <c r="G30" s="1">
        <v>43.751626222522056</v>
      </c>
      <c r="H30" s="1">
        <v>6.9310614553407566E-35</v>
      </c>
    </row>
    <row r="31" spans="1:8" x14ac:dyDescent="0.25">
      <c r="A31" s="1" t="s">
        <v>15</v>
      </c>
      <c r="B31" s="1">
        <v>6.3679484333324581</v>
      </c>
      <c r="C31" s="1">
        <v>24</v>
      </c>
      <c r="D31" s="2">
        <f t="shared" si="1"/>
        <v>1.1693603104611141E-2</v>
      </c>
      <c r="E31" s="1">
        <v>0</v>
      </c>
      <c r="F31" s="1">
        <v>0.26533118472218575</v>
      </c>
      <c r="G31" s="1">
        <v>253.25574666518483</v>
      </c>
      <c r="H31" s="1">
        <v>2.1681613802176666E-105</v>
      </c>
    </row>
    <row r="32" spans="1:8" x14ac:dyDescent="0.25">
      <c r="A32" s="1" t="s">
        <v>16</v>
      </c>
      <c r="B32" s="1">
        <v>3.7482942499472074</v>
      </c>
      <c r="C32" s="1">
        <v>12</v>
      </c>
      <c r="D32" s="2">
        <f t="shared" si="1"/>
        <v>6.8830747825703101E-3</v>
      </c>
      <c r="E32" s="1">
        <v>0</v>
      </c>
      <c r="F32" s="1">
        <v>0.3123578541622673</v>
      </c>
      <c r="G32" s="1">
        <v>298.14219412402679</v>
      </c>
      <c r="H32" s="1">
        <v>3.310687790759757E-95</v>
      </c>
    </row>
    <row r="33" spans="1:8" x14ac:dyDescent="0.25">
      <c r="A33" s="1" t="s">
        <v>17</v>
      </c>
      <c r="B33" s="1">
        <v>1.0717191516960156E-2</v>
      </c>
      <c r="C33" s="1">
        <v>24</v>
      </c>
      <c r="D33" s="2">
        <f t="shared" si="1"/>
        <v>1.9680213385436289E-5</v>
      </c>
      <c r="E33" s="1">
        <v>0</v>
      </c>
      <c r="F33" s="1">
        <v>4.4654964654000651E-4</v>
      </c>
      <c r="G33" s="1">
        <v>0.42622680886898234</v>
      </c>
      <c r="H33" s="1">
        <v>0.99146025896373891</v>
      </c>
    </row>
    <row r="34" spans="1:8" x14ac:dyDescent="0.25">
      <c r="A34" s="1" t="s">
        <v>18</v>
      </c>
      <c r="B34" s="1">
        <v>7.6088343959781923E-2</v>
      </c>
      <c r="C34" s="1">
        <v>72</v>
      </c>
      <c r="D34" s="2">
        <f t="shared" si="1"/>
        <v>1.3972269161218793E-4</v>
      </c>
      <c r="E34" s="1">
        <v>0</v>
      </c>
      <c r="F34" s="1">
        <v>1.0567825549969712E-3</v>
      </c>
      <c r="G34" s="1">
        <v>1.0086875212528352</v>
      </c>
      <c r="H34" s="1">
        <v>0.47408418034238287</v>
      </c>
    </row>
    <row r="35" spans="1:8" x14ac:dyDescent="0.25">
      <c r="A35" s="1" t="s">
        <v>19</v>
      </c>
      <c r="B35" s="1">
        <v>0.25281418517943166</v>
      </c>
      <c r="C35" s="1">
        <v>36</v>
      </c>
      <c r="D35" s="2">
        <f t="shared" si="1"/>
        <v>4.6424822243054041E-4</v>
      </c>
      <c r="E35" s="1">
        <v>0</v>
      </c>
      <c r="F35" s="1">
        <v>7.0226162549842097E-3</v>
      </c>
      <c r="G35" s="1">
        <v>6.7030112764968921</v>
      </c>
      <c r="H35" s="1">
        <v>5.1606080868801135E-17</v>
      </c>
    </row>
    <row r="36" spans="1:8" x14ac:dyDescent="0.25">
      <c r="A36" s="1" t="s">
        <v>20</v>
      </c>
      <c r="B36" s="1">
        <v>1.9515942949932423</v>
      </c>
      <c r="C36" s="1">
        <v>48</v>
      </c>
      <c r="D36" s="2">
        <f t="shared" si="1"/>
        <v>3.5837553249362065E-3</v>
      </c>
      <c r="E36" s="1">
        <v>0</v>
      </c>
      <c r="F36" s="1">
        <v>4.065821447902588E-2</v>
      </c>
      <c r="G36" s="1">
        <v>38.807826063643049</v>
      </c>
      <c r="H36" s="1">
        <v>5.0548293740764978E-62</v>
      </c>
    </row>
    <row r="37" spans="1:8" x14ac:dyDescent="0.25">
      <c r="A37" s="1" t="s">
        <v>21</v>
      </c>
      <c r="B37" s="1">
        <v>0.15086603602526338</v>
      </c>
      <c r="C37" s="1">
        <v>144</v>
      </c>
      <c r="D37" s="2">
        <f t="shared" si="1"/>
        <v>2.7703860446027145E-4</v>
      </c>
      <c r="E37" s="1">
        <v>0</v>
      </c>
      <c r="F37" s="1">
        <v>1.0476808057309956E-3</v>
      </c>
      <c r="G37" s="1"/>
      <c r="H37" s="1"/>
    </row>
    <row r="38" spans="1:8" x14ac:dyDescent="0.25">
      <c r="A38" s="1" t="s">
        <v>22</v>
      </c>
      <c r="B38" s="1">
        <v>544.56683507766593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30" sqref="D30"/>
    </sheetView>
  </sheetViews>
  <sheetFormatPr defaultRowHeight="15" x14ac:dyDescent="0.25"/>
  <cols>
    <col min="2" max="2" width="1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9.4504961665507E+18</v>
      </c>
      <c r="C2" s="1">
        <v>3</v>
      </c>
      <c r="D2" s="2">
        <f>B2/$B$17</f>
        <v>3.3027848982524054E-2</v>
      </c>
      <c r="E2" s="1">
        <v>0</v>
      </c>
      <c r="F2" s="1">
        <v>3.1501653888502333E+18</v>
      </c>
      <c r="G2" s="1">
        <v>37380.875711048757</v>
      </c>
      <c r="H2" s="1">
        <v>5.7753564520395651E-208</v>
      </c>
    </row>
    <row r="3" spans="1:8" x14ac:dyDescent="0.25">
      <c r="A3" s="1" t="s">
        <v>8</v>
      </c>
      <c r="B3" s="1">
        <v>7.6164778694821741E+19</v>
      </c>
      <c r="C3" s="1">
        <v>4</v>
      </c>
      <c r="D3" s="2">
        <f>B3/$B$17</f>
        <v>0.26618272355091405</v>
      </c>
      <c r="E3" s="1">
        <v>0</v>
      </c>
      <c r="F3" s="1">
        <v>1.9041194673705435E+19</v>
      </c>
      <c r="G3" s="1">
        <v>225948.94033403593</v>
      </c>
      <c r="H3" s="1">
        <v>2.6503960106884778E-272</v>
      </c>
    </row>
    <row r="4" spans="1:8" x14ac:dyDescent="0.25">
      <c r="A4" s="1" t="s">
        <v>9</v>
      </c>
      <c r="B4" s="1">
        <v>1.33701566962002E+20</v>
      </c>
      <c r="C4" s="1">
        <v>2</v>
      </c>
      <c r="D4" s="2">
        <f t="shared" ref="D4:D17" si="0">B4/$B$17</f>
        <v>0.46726384356172512</v>
      </c>
      <c r="E4" s="1">
        <v>0</v>
      </c>
      <c r="F4" s="1">
        <v>6.6850783481001001E+19</v>
      </c>
      <c r="G4" s="1">
        <v>793272.89841172704</v>
      </c>
      <c r="H4" s="1">
        <v>9.261329610401503E-292</v>
      </c>
    </row>
    <row r="5" spans="1:8" x14ac:dyDescent="0.25">
      <c r="A5" s="1" t="s">
        <v>10</v>
      </c>
      <c r="B5" s="1">
        <v>3.4382772720707502E+18</v>
      </c>
      <c r="C5" s="1">
        <v>6</v>
      </c>
      <c r="D5" s="2">
        <f t="shared" si="0"/>
        <v>1.2016184177073204E-2</v>
      </c>
      <c r="E5" s="1">
        <v>0</v>
      </c>
      <c r="F5" s="1">
        <v>5.7304621201179168E+17</v>
      </c>
      <c r="G5" s="1">
        <v>6799.9506640882864</v>
      </c>
      <c r="H5" s="1">
        <v>5.6641208584928934E-174</v>
      </c>
    </row>
    <row r="6" spans="1:8" x14ac:dyDescent="0.25">
      <c r="A6" s="1" t="s">
        <v>11</v>
      </c>
      <c r="B6" s="1">
        <v>6.3792672180220723E+17</v>
      </c>
      <c r="C6" s="1">
        <v>12</v>
      </c>
      <c r="D6" s="2">
        <f t="shared" si="0"/>
        <v>2.2294435189734543E-3</v>
      </c>
      <c r="E6" s="1">
        <v>0</v>
      </c>
      <c r="F6" s="1">
        <v>5.3160560150183936E+16</v>
      </c>
      <c r="G6" s="1">
        <v>630.82030509802951</v>
      </c>
      <c r="H6" s="1">
        <v>5.9427143270524422E-118</v>
      </c>
    </row>
    <row r="7" spans="1:8" x14ac:dyDescent="0.25">
      <c r="A7" s="1" t="s">
        <v>12</v>
      </c>
      <c r="B7" s="1">
        <v>4.5768344955569766E+18</v>
      </c>
      <c r="C7" s="1">
        <v>6</v>
      </c>
      <c r="D7" s="2">
        <f t="shared" si="0"/>
        <v>1.5995244680622401E-2</v>
      </c>
      <c r="E7" s="1">
        <v>0</v>
      </c>
      <c r="F7" s="1">
        <v>7.6280574925949606E+17</v>
      </c>
      <c r="G7" s="1">
        <v>9051.6983665895659</v>
      </c>
      <c r="H7" s="1">
        <v>6.8722938219308978E-183</v>
      </c>
    </row>
    <row r="8" spans="1:8" x14ac:dyDescent="0.25">
      <c r="A8" s="1" t="s">
        <v>13</v>
      </c>
      <c r="B8" s="1">
        <v>1.6943420732450406E+17</v>
      </c>
      <c r="C8" s="1">
        <v>18</v>
      </c>
      <c r="D8" s="2">
        <f t="shared" si="0"/>
        <v>5.9214323918718335E-4</v>
      </c>
      <c r="E8" s="1">
        <v>0</v>
      </c>
      <c r="F8" s="1">
        <v>9413011518028004</v>
      </c>
      <c r="G8" s="1">
        <v>111.6978222373593</v>
      </c>
      <c r="H8" s="1">
        <v>4.222470349485224E-75</v>
      </c>
    </row>
    <row r="9" spans="1:8" x14ac:dyDescent="0.25">
      <c r="A9" s="1" t="s">
        <v>14</v>
      </c>
      <c r="B9" s="1">
        <v>5.2484751384923439E+19</v>
      </c>
      <c r="C9" s="1">
        <v>8</v>
      </c>
      <c r="D9" s="2">
        <f>B9/$B$17</f>
        <v>0.18342512520792437</v>
      </c>
      <c r="E9" s="1">
        <v>0</v>
      </c>
      <c r="F9" s="1">
        <v>6.5605939231154299E+18</v>
      </c>
      <c r="G9" s="1">
        <v>77850.117615617986</v>
      </c>
      <c r="H9" s="1">
        <v>1.0737203694202275E-257</v>
      </c>
    </row>
    <row r="10" spans="1:8" x14ac:dyDescent="0.25">
      <c r="A10" s="1" t="s">
        <v>15</v>
      </c>
      <c r="B10" s="1">
        <v>1.5360965297558979E+18</v>
      </c>
      <c r="C10" s="1">
        <v>24</v>
      </c>
      <c r="D10" s="2">
        <f t="shared" si="0"/>
        <v>5.3683915969328679E-3</v>
      </c>
      <c r="E10" s="1">
        <v>0</v>
      </c>
      <c r="F10" s="1">
        <v>6.4004022073162408E+16</v>
      </c>
      <c r="G10" s="1">
        <v>759.49231192503964</v>
      </c>
      <c r="H10" s="1">
        <v>3.5811984430536246E-139</v>
      </c>
    </row>
    <row r="11" spans="1:8" x14ac:dyDescent="0.25">
      <c r="A11" s="1" t="s">
        <v>16</v>
      </c>
      <c r="B11" s="1">
        <v>2.3029961649330913E+18</v>
      </c>
      <c r="C11" s="1">
        <v>12</v>
      </c>
      <c r="D11" s="2">
        <f t="shared" si="0"/>
        <v>8.0485731333304316E-3</v>
      </c>
      <c r="E11" s="1">
        <v>0</v>
      </c>
      <c r="F11" s="1">
        <v>1.919163470777576E+17</v>
      </c>
      <c r="G11" s="1">
        <v>2277.3411016526225</v>
      </c>
      <c r="H11" s="1">
        <v>1.2200479259893033E-157</v>
      </c>
    </row>
    <row r="12" spans="1:8" x14ac:dyDescent="0.25">
      <c r="A12" s="1" t="s">
        <v>17</v>
      </c>
      <c r="B12" s="1">
        <v>4.3675096822933094E+17</v>
      </c>
      <c r="C12" s="1">
        <v>24</v>
      </c>
      <c r="D12" s="2">
        <f t="shared" si="0"/>
        <v>1.5263690675528211E-3</v>
      </c>
      <c r="E12" s="1">
        <v>0</v>
      </c>
      <c r="F12" s="1">
        <v>1.8197957009555456E+16</v>
      </c>
      <c r="G12" s="1">
        <v>215.9428109955474</v>
      </c>
      <c r="H12" s="1">
        <v>1.5010006249932352E-100</v>
      </c>
    </row>
    <row r="13" spans="1:8" x14ac:dyDescent="0.25">
      <c r="A13" s="1" t="s">
        <v>18</v>
      </c>
      <c r="B13" s="1">
        <v>1.7147409157685248E+16</v>
      </c>
      <c r="C13" s="1">
        <v>72</v>
      </c>
      <c r="D13" s="2">
        <f t="shared" si="0"/>
        <v>5.9927228170950657E-5</v>
      </c>
      <c r="E13" s="1">
        <v>0</v>
      </c>
      <c r="F13" s="1">
        <v>238158460523406.22</v>
      </c>
      <c r="G13" s="1">
        <v>2.8260648929323278</v>
      </c>
      <c r="H13" s="1">
        <v>6.0825486903702621E-8</v>
      </c>
    </row>
    <row r="14" spans="1:8" x14ac:dyDescent="0.25">
      <c r="A14" s="1" t="s">
        <v>19</v>
      </c>
      <c r="B14" s="1">
        <v>9.0215827399770112E+16</v>
      </c>
      <c r="C14" s="1">
        <v>36</v>
      </c>
      <c r="D14" s="2">
        <f t="shared" si="0"/>
        <v>3.1528870767010616E-4</v>
      </c>
      <c r="E14" s="1">
        <v>0</v>
      </c>
      <c r="F14" s="1">
        <v>2505995205549170</v>
      </c>
      <c r="G14" s="1">
        <v>29.736945127604283</v>
      </c>
      <c r="H14" s="1">
        <v>1.933586537819186E-50</v>
      </c>
    </row>
    <row r="15" spans="1:8" x14ac:dyDescent="0.25">
      <c r="A15" s="1" t="s">
        <v>20</v>
      </c>
      <c r="B15" s="1">
        <v>1.1177900936529183E+18</v>
      </c>
      <c r="C15" s="1">
        <v>48</v>
      </c>
      <c r="D15" s="2">
        <f t="shared" si="0"/>
        <v>3.9064829778989937E-3</v>
      </c>
      <c r="E15" s="1">
        <v>0</v>
      </c>
      <c r="F15" s="1">
        <v>2.3287293617769132E+16</v>
      </c>
      <c r="G15" s="1">
        <v>276.33451610305673</v>
      </c>
      <c r="H15" s="1">
        <v>8.7095966963454426E-121</v>
      </c>
    </row>
    <row r="16" spans="1:8" x14ac:dyDescent="0.25">
      <c r="A16" s="1" t="s">
        <v>21</v>
      </c>
      <c r="B16" s="1">
        <v>1.2135184298541056E+16</v>
      </c>
      <c r="C16" s="1">
        <v>144</v>
      </c>
      <c r="D16" s="2">
        <f t="shared" si="0"/>
        <v>4.2410369500588576E-5</v>
      </c>
      <c r="E16" s="1">
        <v>0</v>
      </c>
      <c r="F16" s="1">
        <v>84272113184312.891</v>
      </c>
      <c r="G16" s="1"/>
      <c r="H16" s="1"/>
    </row>
    <row r="17" spans="1:8" x14ac:dyDescent="0.25">
      <c r="A17" s="1" t="s">
        <v>22</v>
      </c>
      <c r="B17" s="1">
        <v>2.8613719808247939E+20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4.3425295646369477</v>
      </c>
      <c r="C23" s="1">
        <v>3</v>
      </c>
      <c r="D23" s="2">
        <f>B23/$B$38</f>
        <v>6.9995589101885516E-3</v>
      </c>
      <c r="E23" s="1">
        <v>0</v>
      </c>
      <c r="F23" s="1">
        <v>1.4475098548789826</v>
      </c>
      <c r="G23" s="1">
        <v>178081.42687037808</v>
      </c>
      <c r="H23" s="1">
        <v>9.5436813468591315E-257</v>
      </c>
    </row>
    <row r="24" spans="1:8" x14ac:dyDescent="0.25">
      <c r="A24" s="1" t="s">
        <v>8</v>
      </c>
      <c r="B24" s="1">
        <v>464.53292401361102</v>
      </c>
      <c r="C24" s="1">
        <v>4</v>
      </c>
      <c r="D24" s="2">
        <f t="shared" ref="D24:D38" si="1">B24/$B$38</f>
        <v>0.74876302370718639</v>
      </c>
      <c r="E24" s="1">
        <v>0</v>
      </c>
      <c r="F24" s="1">
        <v>116.13323100340276</v>
      </c>
      <c r="G24" s="1">
        <v>14287413.252797658</v>
      </c>
      <c r="H24" s="1">
        <v>0</v>
      </c>
    </row>
    <row r="25" spans="1:8" x14ac:dyDescent="0.25">
      <c r="A25" s="1" t="s">
        <v>9</v>
      </c>
      <c r="B25" s="1">
        <v>71.152942448923682</v>
      </c>
      <c r="C25" s="1">
        <v>2</v>
      </c>
      <c r="D25" s="2">
        <f t="shared" si="1"/>
        <v>0.11468873265947126</v>
      </c>
      <c r="E25" s="1">
        <v>0</v>
      </c>
      <c r="F25" s="1">
        <v>35.576471224461841</v>
      </c>
      <c r="G25" s="1">
        <v>4376832.9019043427</v>
      </c>
      <c r="H25" s="1">
        <v>0</v>
      </c>
    </row>
    <row r="26" spans="1:8" x14ac:dyDescent="0.25">
      <c r="A26" s="1" t="s">
        <v>10</v>
      </c>
      <c r="B26" s="1">
        <v>3.2061399878784869E-2</v>
      </c>
      <c r="C26" s="1">
        <v>6</v>
      </c>
      <c r="D26" s="2">
        <f t="shared" si="1"/>
        <v>5.1678555978565638E-5</v>
      </c>
      <c r="E26" s="1">
        <v>0</v>
      </c>
      <c r="F26" s="1">
        <v>5.3435666464641445E-3</v>
      </c>
      <c r="G26" s="1">
        <v>657.3979235940003</v>
      </c>
      <c r="H26" s="1">
        <v>5.9042589193275422E-102</v>
      </c>
    </row>
    <row r="27" spans="1:8" x14ac:dyDescent="0.25">
      <c r="A27" s="1" t="s">
        <v>11</v>
      </c>
      <c r="B27" s="1">
        <v>1.9624065088280531</v>
      </c>
      <c r="C27" s="1">
        <v>12</v>
      </c>
      <c r="D27" s="2">
        <f t="shared" si="1"/>
        <v>3.1631287156079014E-3</v>
      </c>
      <c r="E27" s="1">
        <v>0</v>
      </c>
      <c r="F27" s="1">
        <v>0.1635338757356711</v>
      </c>
      <c r="G27" s="1">
        <v>20118.927573785775</v>
      </c>
      <c r="H27" s="1">
        <v>1.3101437788481386E-225</v>
      </c>
    </row>
    <row r="28" spans="1:8" x14ac:dyDescent="0.25">
      <c r="A28" s="1" t="s">
        <v>12</v>
      </c>
      <c r="B28" s="1">
        <v>2.3579573261708902</v>
      </c>
      <c r="C28" s="1">
        <v>6</v>
      </c>
      <c r="D28" s="2">
        <f t="shared" si="1"/>
        <v>3.8007020946151421E-3</v>
      </c>
      <c r="E28" s="1">
        <v>0</v>
      </c>
      <c r="F28" s="1">
        <v>0.39299288769514834</v>
      </c>
      <c r="G28" s="1">
        <v>48348.364575737723</v>
      </c>
      <c r="H28" s="1">
        <v>3.2756838579230495E-235</v>
      </c>
    </row>
    <row r="29" spans="1:8" x14ac:dyDescent="0.25">
      <c r="A29" s="1" t="s">
        <v>13</v>
      </c>
      <c r="B29" s="1">
        <v>9.6332377768248989E-4</v>
      </c>
      <c r="C29" s="1">
        <v>18</v>
      </c>
      <c r="D29" s="2">
        <f t="shared" si="1"/>
        <v>1.5527451065350882E-6</v>
      </c>
      <c r="E29" s="1">
        <v>0</v>
      </c>
      <c r="F29" s="1">
        <v>5.3517987649027215E-5</v>
      </c>
      <c r="G29" s="1">
        <v>6.5841068864894376</v>
      </c>
      <c r="H29" s="1">
        <v>9.6162194644877971E-12</v>
      </c>
    </row>
    <row r="30" spans="1:8" x14ac:dyDescent="0.25">
      <c r="A30" s="1" t="s">
        <v>14</v>
      </c>
      <c r="B30" s="1">
        <v>73.853765246208013</v>
      </c>
      <c r="C30" s="1">
        <v>8</v>
      </c>
      <c r="D30" s="2">
        <f t="shared" si="1"/>
        <v>0.11904208661922774</v>
      </c>
      <c r="E30" s="1">
        <v>0</v>
      </c>
      <c r="F30" s="1">
        <v>9.2317206557760016</v>
      </c>
      <c r="G30" s="1">
        <v>1135742.1721918276</v>
      </c>
      <c r="H30" s="1">
        <v>0</v>
      </c>
    </row>
    <row r="31" spans="1:8" x14ac:dyDescent="0.25">
      <c r="A31" s="1" t="s">
        <v>15</v>
      </c>
      <c r="B31" s="1">
        <v>1.4147619125424171E-3</v>
      </c>
      <c r="C31" s="1">
        <v>24</v>
      </c>
      <c r="D31" s="2">
        <f t="shared" si="1"/>
        <v>2.280401135636155E-6</v>
      </c>
      <c r="E31" s="1">
        <v>0</v>
      </c>
      <c r="F31" s="1">
        <v>5.8948413022600711E-5</v>
      </c>
      <c r="G31" s="1">
        <v>7.2521906966130825</v>
      </c>
      <c r="H31" s="1">
        <v>4.0464813802407761E-15</v>
      </c>
    </row>
    <row r="32" spans="1:8" x14ac:dyDescent="0.25">
      <c r="A32" s="1" t="s">
        <v>16</v>
      </c>
      <c r="B32" s="1">
        <v>1.4307145429256707E-2</v>
      </c>
      <c r="C32" s="1">
        <v>12</v>
      </c>
      <c r="D32" s="2">
        <f t="shared" si="1"/>
        <v>2.3061145762651727E-5</v>
      </c>
      <c r="E32" s="1">
        <v>0</v>
      </c>
      <c r="F32" s="1">
        <v>1.1922621191047256E-3</v>
      </c>
      <c r="G32" s="1">
        <v>146.67930491666388</v>
      </c>
      <c r="H32" s="1">
        <v>2.4604133554089322E-74</v>
      </c>
    </row>
    <row r="33" spans="1:8" x14ac:dyDescent="0.25">
      <c r="A33" s="1" t="s">
        <v>17</v>
      </c>
      <c r="B33" s="1">
        <v>2.1458201971738617</v>
      </c>
      <c r="C33" s="1">
        <v>24</v>
      </c>
      <c r="D33" s="2">
        <f t="shared" si="1"/>
        <v>3.4587662921407359E-3</v>
      </c>
      <c r="E33" s="1">
        <v>0</v>
      </c>
      <c r="F33" s="1">
        <v>8.9409174882244244E-2</v>
      </c>
      <c r="G33" s="1">
        <v>10999.65805736388</v>
      </c>
      <c r="H33" s="1">
        <v>1.7215537036274142E-222</v>
      </c>
    </row>
    <row r="34" spans="1:8" x14ac:dyDescent="0.25">
      <c r="A34" s="1" t="s">
        <v>18</v>
      </c>
      <c r="B34" s="1">
        <v>6.9381414505187422E-4</v>
      </c>
      <c r="C34" s="1">
        <v>72</v>
      </c>
      <c r="D34" s="2">
        <f t="shared" si="1"/>
        <v>1.1183327387245345E-6</v>
      </c>
      <c r="E34" s="1">
        <v>0</v>
      </c>
      <c r="F34" s="1">
        <v>9.6363075701649195E-6</v>
      </c>
      <c r="G34" s="1">
        <v>1.1855169041320708</v>
      </c>
      <c r="H34" s="1">
        <v>0.19438429718647843</v>
      </c>
    </row>
    <row r="35" spans="1:8" x14ac:dyDescent="0.25">
      <c r="A35" s="1" t="s">
        <v>19</v>
      </c>
      <c r="B35" s="1">
        <v>5.3666033556964976E-4</v>
      </c>
      <c r="C35" s="1">
        <v>36</v>
      </c>
      <c r="D35" s="2">
        <f t="shared" si="1"/>
        <v>8.6502246620751984E-7</v>
      </c>
      <c r="E35" s="1">
        <v>0</v>
      </c>
      <c r="F35" s="1">
        <v>1.4907231543601381E-5</v>
      </c>
      <c r="G35" s="1">
        <v>1.8339778862462983</v>
      </c>
      <c r="H35" s="1">
        <v>6.5664683931497174E-3</v>
      </c>
    </row>
    <row r="36" spans="1:8" x14ac:dyDescent="0.25">
      <c r="A36" s="1" t="s">
        <v>20</v>
      </c>
      <c r="B36" s="1">
        <v>9.6667073103162693E-4</v>
      </c>
      <c r="C36" s="1">
        <v>48</v>
      </c>
      <c r="D36" s="2">
        <f t="shared" si="1"/>
        <v>1.5581399338559464E-6</v>
      </c>
      <c r="E36" s="1">
        <v>0</v>
      </c>
      <c r="F36" s="1">
        <v>2.0138973563158895E-5</v>
      </c>
      <c r="G36" s="1">
        <v>2.4776184671516401</v>
      </c>
      <c r="H36" s="1">
        <v>1.837819734272444E-5</v>
      </c>
    </row>
    <row r="37" spans="1:8" x14ac:dyDescent="0.25">
      <c r="A37" s="1" t="s">
        <v>21</v>
      </c>
      <c r="B37" s="1">
        <v>1.1704837655770461E-3</v>
      </c>
      <c r="C37" s="1">
        <v>144</v>
      </c>
      <c r="D37" s="2">
        <f t="shared" si="1"/>
        <v>1.8866584438005588E-6</v>
      </c>
      <c r="E37" s="1">
        <v>0</v>
      </c>
      <c r="F37" s="1">
        <v>8.1283594831739319E-6</v>
      </c>
      <c r="G37" s="1"/>
      <c r="H37" s="1"/>
    </row>
    <row r="38" spans="1:8" x14ac:dyDescent="0.25">
      <c r="A38" s="1" t="s">
        <v>22</v>
      </c>
      <c r="B38" s="1">
        <v>620.40045956552569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30" sqref="D3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3.0193967101000909E+18</v>
      </c>
      <c r="C2" s="1">
        <v>3</v>
      </c>
      <c r="D2" s="2">
        <f>B2/$B$17</f>
        <v>3.8085115660465359E-2</v>
      </c>
      <c r="E2" s="1">
        <v>0</v>
      </c>
      <c r="F2" s="1">
        <v>1.0064655700333636E+18</v>
      </c>
      <c r="G2" s="1">
        <v>11470.533214981779</v>
      </c>
      <c r="H2" s="1">
        <v>4.0855516530400109E-171</v>
      </c>
    </row>
    <row r="3" spans="1:8" x14ac:dyDescent="0.25">
      <c r="A3" s="1" t="s">
        <v>8</v>
      </c>
      <c r="B3" s="1">
        <v>1.698744237641121E+19</v>
      </c>
      <c r="C3" s="1">
        <v>4</v>
      </c>
      <c r="D3" s="2">
        <f t="shared" ref="D3:D17" si="0">B3/$B$17</f>
        <v>0.21427085268953108</v>
      </c>
      <c r="E3" s="1">
        <v>0</v>
      </c>
      <c r="F3" s="1">
        <v>4.2468605941028024E+18</v>
      </c>
      <c r="G3" s="1">
        <v>48400.81663443154</v>
      </c>
      <c r="H3" s="1">
        <v>3.8383251591780384E-224</v>
      </c>
    </row>
    <row r="4" spans="1:8" x14ac:dyDescent="0.25">
      <c r="A4" s="1" t="s">
        <v>9</v>
      </c>
      <c r="B4" s="1">
        <v>4.0591020856407761E+19</v>
      </c>
      <c r="C4" s="1">
        <v>2</v>
      </c>
      <c r="D4" s="2">
        <f>B4/$B$17</f>
        <v>0.51199424008162386</v>
      </c>
      <c r="E4" s="1">
        <v>0</v>
      </c>
      <c r="F4" s="1">
        <v>2.029551042820388E+19</v>
      </c>
      <c r="G4" s="1">
        <v>231304.80903982092</v>
      </c>
      <c r="H4" s="1">
        <v>3.1398736651852292E-253</v>
      </c>
    </row>
    <row r="5" spans="1:8" x14ac:dyDescent="0.25">
      <c r="A5" s="1" t="s">
        <v>10</v>
      </c>
      <c r="B5" s="1">
        <v>1.2914339980010947E+18</v>
      </c>
      <c r="C5" s="1">
        <v>6</v>
      </c>
      <c r="D5" s="2">
        <f t="shared" si="0"/>
        <v>1.6289483596906497E-2</v>
      </c>
      <c r="E5" s="1">
        <v>0</v>
      </c>
      <c r="F5" s="1">
        <v>2.1523899966684912E+17</v>
      </c>
      <c r="G5" s="1">
        <v>2453.0457557094601</v>
      </c>
      <c r="H5" s="1">
        <v>2.7236014614523895E-142</v>
      </c>
    </row>
    <row r="6" spans="1:8" x14ac:dyDescent="0.25">
      <c r="A6" s="1" t="s">
        <v>11</v>
      </c>
      <c r="B6" s="1">
        <v>6.8606715735310336E+17</v>
      </c>
      <c r="C6" s="1">
        <v>12</v>
      </c>
      <c r="D6" s="2">
        <f t="shared" si="0"/>
        <v>8.6536979229117159E-3</v>
      </c>
      <c r="E6" s="1">
        <v>0</v>
      </c>
      <c r="F6" s="1">
        <v>5.7172263112758616E+16</v>
      </c>
      <c r="G6" s="1">
        <v>651.58348435986352</v>
      </c>
      <c r="H6" s="1">
        <v>6.0426608331992171E-119</v>
      </c>
    </row>
    <row r="7" spans="1:8" x14ac:dyDescent="0.25">
      <c r="A7" s="1" t="s">
        <v>12</v>
      </c>
      <c r="B7" s="1">
        <v>1.4012328984221942E+18</v>
      </c>
      <c r="C7" s="1">
        <v>6</v>
      </c>
      <c r="D7" s="2">
        <f t="shared" si="0"/>
        <v>1.7674430400332959E-2</v>
      </c>
      <c r="E7" s="1">
        <v>0</v>
      </c>
      <c r="F7" s="1">
        <v>2.3353881640369904E+17</v>
      </c>
      <c r="G7" s="1">
        <v>2661.6059508695967</v>
      </c>
      <c r="H7" s="1">
        <v>8.0909458184057711E-145</v>
      </c>
    </row>
    <row r="8" spans="1:8" x14ac:dyDescent="0.25">
      <c r="A8" s="1" t="s">
        <v>13</v>
      </c>
      <c r="B8" s="1">
        <v>5.9437759905660928E+16</v>
      </c>
      <c r="C8" s="1">
        <v>18</v>
      </c>
      <c r="D8" s="2">
        <f t="shared" si="0"/>
        <v>7.4971730380239666E-4</v>
      </c>
      <c r="E8" s="1">
        <v>0</v>
      </c>
      <c r="F8" s="1">
        <v>3302097772536718</v>
      </c>
      <c r="G8" s="1">
        <v>37.63350014819104</v>
      </c>
      <c r="H8" s="1">
        <v>2.2739886808657562E-45</v>
      </c>
    </row>
    <row r="9" spans="1:8" x14ac:dyDescent="0.25">
      <c r="A9" s="1" t="s">
        <v>14</v>
      </c>
      <c r="B9" s="1">
        <v>1.304349207309756E+19</v>
      </c>
      <c r="C9" s="1">
        <v>8</v>
      </c>
      <c r="D9" s="2">
        <f t="shared" si="0"/>
        <v>0.16452389398139614</v>
      </c>
      <c r="E9" s="1">
        <v>0</v>
      </c>
      <c r="F9" s="1">
        <v>1.630436509137195E+18</v>
      </c>
      <c r="G9" s="1">
        <v>18581.833984005218</v>
      </c>
      <c r="H9" s="1">
        <v>6.3560585077925675E-213</v>
      </c>
    </row>
    <row r="10" spans="1:8" x14ac:dyDescent="0.25">
      <c r="A10" s="1" t="s">
        <v>15</v>
      </c>
      <c r="B10" s="1">
        <v>4.0610910177353728E+17</v>
      </c>
      <c r="C10" s="1">
        <v>24</v>
      </c>
      <c r="D10" s="2">
        <f t="shared" si="0"/>
        <v>5.122451137366495E-3</v>
      </c>
      <c r="E10" s="1">
        <v>0</v>
      </c>
      <c r="F10" s="1">
        <v>1.6921212573897386E+16</v>
      </c>
      <c r="G10" s="1">
        <v>192.8484556706924</v>
      </c>
      <c r="H10" s="1">
        <v>3.9529044731146497E-97</v>
      </c>
    </row>
    <row r="11" spans="1:8" x14ac:dyDescent="0.25">
      <c r="A11" s="1" t="s">
        <v>16</v>
      </c>
      <c r="B11" s="1">
        <v>8.2310943593927475E+17</v>
      </c>
      <c r="C11" s="1">
        <v>12</v>
      </c>
      <c r="D11" s="2">
        <f t="shared" si="0"/>
        <v>1.0382278673122258E-2</v>
      </c>
      <c r="E11" s="1">
        <v>0</v>
      </c>
      <c r="F11" s="1">
        <v>6.859245299493956E+16</v>
      </c>
      <c r="G11" s="1">
        <v>781.73763097474762</v>
      </c>
      <c r="H11" s="1">
        <v>1.5396561429131084E-124</v>
      </c>
    </row>
    <row r="12" spans="1:8" x14ac:dyDescent="0.25">
      <c r="A12" s="1" t="s">
        <v>17</v>
      </c>
      <c r="B12" s="1">
        <v>6.2424188776818278E+17</v>
      </c>
      <c r="C12" s="1">
        <v>24</v>
      </c>
      <c r="D12" s="2">
        <f t="shared" si="0"/>
        <v>7.873865801148858E-3</v>
      </c>
      <c r="E12" s="1">
        <v>0</v>
      </c>
      <c r="F12" s="1">
        <v>2.6010078657007616E+16</v>
      </c>
      <c r="G12" s="1">
        <v>296.43286371892924</v>
      </c>
      <c r="H12" s="1">
        <v>3.4288908379956998E-110</v>
      </c>
    </row>
    <row r="13" spans="1:8" x14ac:dyDescent="0.25">
      <c r="A13" s="1" t="s">
        <v>18</v>
      </c>
      <c r="B13" s="1">
        <v>1.3870858266279936E+16</v>
      </c>
      <c r="C13" s="1">
        <v>72</v>
      </c>
      <c r="D13" s="2">
        <f t="shared" si="0"/>
        <v>1.7495986519892626E-4</v>
      </c>
      <c r="E13" s="1">
        <v>0</v>
      </c>
      <c r="F13" s="1">
        <v>192650809253888</v>
      </c>
      <c r="G13" s="1">
        <v>2.1956116257077607</v>
      </c>
      <c r="H13" s="1">
        <v>3.2858028143384327E-5</v>
      </c>
    </row>
    <row r="14" spans="1:8" x14ac:dyDescent="0.25">
      <c r="A14" s="1" t="s">
        <v>19</v>
      </c>
      <c r="B14" s="1">
        <v>2.7569173878226944E+16</v>
      </c>
      <c r="C14" s="1">
        <v>36</v>
      </c>
      <c r="D14" s="2">
        <f t="shared" si="0"/>
        <v>3.4774336618421616E-4</v>
      </c>
      <c r="E14" s="1">
        <v>0</v>
      </c>
      <c r="F14" s="1">
        <v>765810385506304</v>
      </c>
      <c r="G14" s="1">
        <v>8.7278231117601663</v>
      </c>
      <c r="H14" s="1">
        <v>8.888206038161381E-22</v>
      </c>
    </row>
    <row r="15" spans="1:8" x14ac:dyDescent="0.25">
      <c r="A15" s="1" t="s">
        <v>20</v>
      </c>
      <c r="B15" s="1">
        <v>2.9317013826052096E+17</v>
      </c>
      <c r="C15" s="1">
        <v>48</v>
      </c>
      <c r="D15" s="2">
        <f t="shared" si="0"/>
        <v>3.6978971946605966E-3</v>
      </c>
      <c r="E15" s="1">
        <v>0</v>
      </c>
      <c r="F15" s="1">
        <v>6107711213760853</v>
      </c>
      <c r="G15" s="1">
        <v>69.608644777225862</v>
      </c>
      <c r="H15" s="1">
        <v>5.7628075472911736E-79</v>
      </c>
    </row>
    <row r="16" spans="1:8" x14ac:dyDescent="0.25">
      <c r="A16" s="1" t="s">
        <v>21</v>
      </c>
      <c r="B16" s="1">
        <v>1.2635074531278848E+16</v>
      </c>
      <c r="C16" s="1">
        <v>144</v>
      </c>
      <c r="D16" s="2">
        <f t="shared" si="0"/>
        <v>1.5937232536972703E-4</v>
      </c>
      <c r="E16" s="1">
        <v>0</v>
      </c>
      <c r="F16" s="1">
        <v>87743573133880.891</v>
      </c>
      <c r="G16" s="1"/>
      <c r="H16" s="1"/>
    </row>
    <row r="17" spans="1:8" x14ac:dyDescent="0.25">
      <c r="A17" s="1" t="s">
        <v>22</v>
      </c>
      <c r="B17" s="1">
        <v>7.9280229500114305E+19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1.5441032981298122</v>
      </c>
      <c r="C23" s="1">
        <v>3</v>
      </c>
      <c r="D23" s="2">
        <f>B23/$B$38</f>
        <v>3.0656087761650604E-4</v>
      </c>
      <c r="E23" s="1">
        <v>0</v>
      </c>
      <c r="F23" s="1">
        <v>0.51470109937660402</v>
      </c>
      <c r="G23" s="1">
        <v>254313.48404667436</v>
      </c>
      <c r="H23" s="1">
        <v>6.9215649649140952E-268</v>
      </c>
    </row>
    <row r="24" spans="1:8" x14ac:dyDescent="0.25">
      <c r="A24" s="1" t="s">
        <v>8</v>
      </c>
      <c r="B24" s="1">
        <v>4868.6690877301598</v>
      </c>
      <c r="C24" s="1">
        <v>4</v>
      </c>
      <c r="D24" s="2">
        <f t="shared" ref="D24:D38" si="1">B24/$B$38</f>
        <v>0.96660856185376409</v>
      </c>
      <c r="E24" s="1">
        <v>0</v>
      </c>
      <c r="F24" s="1">
        <v>1217.16727193254</v>
      </c>
      <c r="G24" s="1">
        <v>601401570.67405045</v>
      </c>
      <c r="H24" s="1">
        <v>0</v>
      </c>
    </row>
    <row r="25" spans="1:8" x14ac:dyDescent="0.25">
      <c r="A25" s="1" t="s">
        <v>9</v>
      </c>
      <c r="B25" s="1">
        <v>59.74780264448691</v>
      </c>
      <c r="C25" s="1">
        <v>2</v>
      </c>
      <c r="D25" s="2">
        <f t="shared" si="1"/>
        <v>1.1862120129227171E-2</v>
      </c>
      <c r="E25" s="1">
        <v>0</v>
      </c>
      <c r="F25" s="1">
        <v>29.873901322243455</v>
      </c>
      <c r="G25" s="1">
        <v>14760675.53873118</v>
      </c>
      <c r="H25" s="1">
        <v>0</v>
      </c>
    </row>
    <row r="26" spans="1:8" x14ac:dyDescent="0.25">
      <c r="A26" s="1" t="s">
        <v>10</v>
      </c>
      <c r="B26" s="1">
        <v>6.2858614910510369E-5</v>
      </c>
      <c r="C26" s="1">
        <v>6</v>
      </c>
      <c r="D26" s="2">
        <f t="shared" si="1"/>
        <v>1.2479729935208021E-8</v>
      </c>
      <c r="E26" s="1">
        <v>0</v>
      </c>
      <c r="F26" s="1">
        <v>1.0476435818418395E-5</v>
      </c>
      <c r="G26" s="1">
        <v>5.1764002381193697</v>
      </c>
      <c r="H26" s="1">
        <v>7.5410716983712254E-5</v>
      </c>
    </row>
    <row r="27" spans="1:8" x14ac:dyDescent="0.25">
      <c r="A27" s="1" t="s">
        <v>11</v>
      </c>
      <c r="B27" s="1">
        <v>0.97251752187912643</v>
      </c>
      <c r="C27" s="1">
        <v>12</v>
      </c>
      <c r="D27" s="2">
        <f t="shared" si="1"/>
        <v>1.9308023327570825E-4</v>
      </c>
      <c r="E27" s="1">
        <v>0</v>
      </c>
      <c r="F27" s="1">
        <v>8.1043126823260536E-2</v>
      </c>
      <c r="G27" s="1">
        <v>40043.35713567106</v>
      </c>
      <c r="H27" s="1">
        <v>4.0233064096681673E-247</v>
      </c>
    </row>
    <row r="28" spans="1:8" x14ac:dyDescent="0.25">
      <c r="A28" s="1" t="s">
        <v>12</v>
      </c>
      <c r="B28" s="1">
        <v>0.48006603413796256</v>
      </c>
      <c r="C28" s="1">
        <v>6</v>
      </c>
      <c r="D28" s="2">
        <f t="shared" si="1"/>
        <v>9.53106342803996E-5</v>
      </c>
      <c r="E28" s="1">
        <v>0</v>
      </c>
      <c r="F28" s="1">
        <v>8.0011005689660422E-2</v>
      </c>
      <c r="G28" s="1">
        <v>39533.386743608637</v>
      </c>
      <c r="H28" s="1">
        <v>6.3948055958765619E-229</v>
      </c>
    </row>
    <row r="29" spans="1:8" x14ac:dyDescent="0.25">
      <c r="A29" s="1" t="s">
        <v>13</v>
      </c>
      <c r="B29" s="1">
        <v>2.2857238946016878E-5</v>
      </c>
      <c r="C29" s="1">
        <v>18</v>
      </c>
      <c r="D29" s="2">
        <f t="shared" si="1"/>
        <v>4.5379964149212178E-9</v>
      </c>
      <c r="E29" s="1">
        <v>0</v>
      </c>
      <c r="F29" s="1">
        <v>1.2698466081120487E-6</v>
      </c>
      <c r="G29" s="1">
        <v>0.6274303969915056</v>
      </c>
      <c r="H29" s="1">
        <v>0.87352986673279753</v>
      </c>
    </row>
    <row r="30" spans="1:8" x14ac:dyDescent="0.25">
      <c r="A30" s="1" t="s">
        <v>14</v>
      </c>
      <c r="B30" s="1">
        <v>104.19426663164268</v>
      </c>
      <c r="C30" s="1">
        <v>8</v>
      </c>
      <c r="D30" s="2">
        <f t="shared" si="1"/>
        <v>2.0686365905630794E-2</v>
      </c>
      <c r="E30" s="1">
        <v>0</v>
      </c>
      <c r="F30" s="1">
        <v>13.024283328955335</v>
      </c>
      <c r="G30" s="1">
        <v>6435290.0637076227</v>
      </c>
      <c r="H30" s="1">
        <v>0</v>
      </c>
    </row>
    <row r="31" spans="1:8" x14ac:dyDescent="0.25">
      <c r="A31" s="1" t="s">
        <v>15</v>
      </c>
      <c r="B31" s="1">
        <v>4.9048323489842005E-5</v>
      </c>
      <c r="C31" s="1">
        <v>24</v>
      </c>
      <c r="D31" s="2">
        <f t="shared" si="1"/>
        <v>9.7378828948010954E-9</v>
      </c>
      <c r="E31" s="1">
        <v>0</v>
      </c>
      <c r="F31" s="1">
        <v>2.0436801454100837E-6</v>
      </c>
      <c r="G31" s="1">
        <v>1.0097810528979749</v>
      </c>
      <c r="H31" s="1">
        <v>0.45796176713792713</v>
      </c>
    </row>
    <row r="32" spans="1:8" x14ac:dyDescent="0.25">
      <c r="A32" s="1" t="s">
        <v>16</v>
      </c>
      <c r="B32" s="1">
        <v>1.0000637303164694E-5</v>
      </c>
      <c r="C32" s="1">
        <v>12</v>
      </c>
      <c r="D32" s="2">
        <f t="shared" si="1"/>
        <v>1.9854916132202938E-9</v>
      </c>
      <c r="E32" s="1">
        <v>0</v>
      </c>
      <c r="F32" s="1">
        <v>8.3338644193039124E-7</v>
      </c>
      <c r="G32" s="1">
        <v>0.41177570800077673</v>
      </c>
      <c r="H32" s="1">
        <v>0.95712792892052756</v>
      </c>
    </row>
    <row r="33" spans="1:8" x14ac:dyDescent="0.25">
      <c r="A33" s="1" t="s">
        <v>17</v>
      </c>
      <c r="B33" s="1">
        <v>1.2482566384833262</v>
      </c>
      <c r="C33" s="1">
        <v>24</v>
      </c>
      <c r="D33" s="2">
        <f t="shared" si="1"/>
        <v>2.478245147507661E-4</v>
      </c>
      <c r="E33" s="1">
        <v>0</v>
      </c>
      <c r="F33" s="1">
        <v>5.2010693270138596E-2</v>
      </c>
      <c r="G33" s="1">
        <v>25698.450283537721</v>
      </c>
      <c r="H33" s="1">
        <v>5.1658771633048638E-249</v>
      </c>
    </row>
    <row r="34" spans="1:8" x14ac:dyDescent="0.25">
      <c r="A34" s="1" t="s">
        <v>18</v>
      </c>
      <c r="B34" s="1">
        <v>2.5571902187948581E-4</v>
      </c>
      <c r="C34" s="1">
        <v>72</v>
      </c>
      <c r="D34" s="2">
        <f t="shared" si="1"/>
        <v>5.0769561768023097E-8</v>
      </c>
      <c r="E34" s="1">
        <v>0</v>
      </c>
      <c r="F34" s="1">
        <v>3.551653081659525E-6</v>
      </c>
      <c r="G34" s="1">
        <v>1.7548695163385508</v>
      </c>
      <c r="H34" s="1">
        <v>2.2423418566834634E-3</v>
      </c>
    </row>
    <row r="35" spans="1:8" x14ac:dyDescent="0.25">
      <c r="A35" s="1" t="s">
        <v>19</v>
      </c>
      <c r="B35" s="1">
        <v>8.714549767319113E-5</v>
      </c>
      <c r="C35" s="1">
        <v>36</v>
      </c>
      <c r="D35" s="2">
        <f t="shared" si="1"/>
        <v>1.7301562841927629E-8</v>
      </c>
      <c r="E35" s="1">
        <v>0</v>
      </c>
      <c r="F35" s="1">
        <v>2.4207082686997537E-6</v>
      </c>
      <c r="G35" s="1">
        <v>1.1960704075030208</v>
      </c>
      <c r="H35" s="1">
        <v>0.2290725744416465</v>
      </c>
    </row>
    <row r="36" spans="1:8" x14ac:dyDescent="0.25">
      <c r="A36" s="1" t="s">
        <v>20</v>
      </c>
      <c r="B36" s="1">
        <v>1.0666990419849753E-4</v>
      </c>
      <c r="C36" s="1">
        <v>48</v>
      </c>
      <c r="D36" s="2">
        <f t="shared" si="1"/>
        <v>2.11778703445337E-8</v>
      </c>
      <c r="E36" s="1">
        <v>0</v>
      </c>
      <c r="F36" s="1">
        <v>2.2222896708020321E-6</v>
      </c>
      <c r="G36" s="1">
        <v>1.0980319051719736</v>
      </c>
      <c r="H36" s="1">
        <v>0.33069646248520429</v>
      </c>
    </row>
    <row r="37" spans="1:8" x14ac:dyDescent="0.25">
      <c r="A37" s="1" t="s">
        <v>21</v>
      </c>
      <c r="B37" s="1">
        <v>2.9143935717002023E-4</v>
      </c>
      <c r="C37" s="1">
        <v>144</v>
      </c>
      <c r="D37" s="2">
        <f t="shared" si="1"/>
        <v>5.7861352420037806E-8</v>
      </c>
      <c r="E37" s="1">
        <v>0</v>
      </c>
      <c r="F37" s="1">
        <v>2.0238844247918073E-6</v>
      </c>
      <c r="G37" s="1"/>
      <c r="H37" s="1"/>
    </row>
    <row r="38" spans="1:8" x14ac:dyDescent="0.25">
      <c r="A38" s="1" t="s">
        <v>22</v>
      </c>
      <c r="B38" s="1">
        <v>5036.8569862375471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10" workbookViewId="0">
      <selection activeCell="D26" sqref="D26"/>
    </sheetView>
  </sheetViews>
  <sheetFormatPr defaultRowHeight="15" x14ac:dyDescent="0.25"/>
  <sheetData>
    <row r="1" spans="1:8" x14ac:dyDescent="0.25">
      <c r="A1" s="1"/>
      <c r="B1" s="1"/>
      <c r="C1" s="1"/>
      <c r="D1" s="1" t="s">
        <v>23</v>
      </c>
      <c r="E1" s="1"/>
      <c r="F1" s="1"/>
      <c r="G1" s="1"/>
      <c r="H1" s="1"/>
    </row>
    <row r="2" spans="1:8" x14ac:dyDescent="0.25">
      <c r="A2" s="1"/>
      <c r="B2" s="1"/>
      <c r="C2" s="1"/>
      <c r="D2" s="2" t="e">
        <f>B2/$B$17</f>
        <v>#DIV/0!</v>
      </c>
      <c r="E2" s="1"/>
      <c r="F2" s="1"/>
      <c r="G2" s="1"/>
      <c r="H2" s="1"/>
    </row>
    <row r="3" spans="1:8" x14ac:dyDescent="0.25">
      <c r="A3" s="1"/>
      <c r="B3" s="1"/>
      <c r="C3" s="1"/>
      <c r="D3" s="2" t="e">
        <f t="shared" ref="D3:D17" si="0">B3/$B$17</f>
        <v>#DIV/0!</v>
      </c>
      <c r="E3" s="1"/>
      <c r="F3" s="1"/>
      <c r="G3" s="1"/>
      <c r="H3" s="1"/>
    </row>
    <row r="4" spans="1:8" x14ac:dyDescent="0.25">
      <c r="A4" s="1"/>
      <c r="B4" s="1"/>
      <c r="C4" s="1"/>
      <c r="D4" s="2" t="e">
        <f t="shared" si="0"/>
        <v>#DIV/0!</v>
      </c>
      <c r="E4" s="1"/>
      <c r="F4" s="1"/>
      <c r="G4" s="1"/>
      <c r="H4" s="1"/>
    </row>
    <row r="5" spans="1:8" x14ac:dyDescent="0.25">
      <c r="A5" s="1"/>
      <c r="B5" s="1"/>
      <c r="C5" s="1"/>
      <c r="D5" s="2" t="e">
        <f t="shared" si="0"/>
        <v>#DIV/0!</v>
      </c>
      <c r="E5" s="1"/>
      <c r="F5" s="1"/>
      <c r="G5" s="1"/>
      <c r="H5" s="1"/>
    </row>
    <row r="6" spans="1:8" x14ac:dyDescent="0.25">
      <c r="A6" s="1"/>
      <c r="B6" s="1"/>
      <c r="C6" s="1"/>
      <c r="D6" s="2" t="e">
        <f t="shared" si="0"/>
        <v>#DIV/0!</v>
      </c>
      <c r="E6" s="1"/>
      <c r="F6" s="1"/>
      <c r="G6" s="1"/>
      <c r="H6" s="1"/>
    </row>
    <row r="7" spans="1:8" x14ac:dyDescent="0.25">
      <c r="A7" s="1"/>
      <c r="B7" s="1"/>
      <c r="C7" s="1"/>
      <c r="D7" s="2" t="e">
        <f t="shared" si="0"/>
        <v>#DIV/0!</v>
      </c>
      <c r="E7" s="1"/>
      <c r="F7" s="1"/>
      <c r="G7" s="1"/>
      <c r="H7" s="1"/>
    </row>
    <row r="8" spans="1:8" x14ac:dyDescent="0.25">
      <c r="A8" s="1"/>
      <c r="B8" s="1"/>
      <c r="C8" s="1"/>
      <c r="D8" s="2" t="e">
        <f t="shared" si="0"/>
        <v>#DIV/0!</v>
      </c>
      <c r="E8" s="1"/>
      <c r="F8" s="1"/>
      <c r="G8" s="1"/>
      <c r="H8" s="1"/>
    </row>
    <row r="9" spans="1:8" x14ac:dyDescent="0.25">
      <c r="A9" s="1"/>
      <c r="B9" s="1"/>
      <c r="C9" s="1"/>
      <c r="D9" s="2" t="e">
        <f t="shared" si="0"/>
        <v>#DIV/0!</v>
      </c>
      <c r="E9" s="1"/>
      <c r="F9" s="1"/>
      <c r="G9" s="1"/>
      <c r="H9" s="1"/>
    </row>
    <row r="10" spans="1:8" x14ac:dyDescent="0.25">
      <c r="A10" s="1"/>
      <c r="B10" s="1"/>
      <c r="C10" s="1"/>
      <c r="D10" s="2" t="e">
        <f t="shared" si="0"/>
        <v>#DIV/0!</v>
      </c>
      <c r="E10" s="1"/>
      <c r="F10" s="1"/>
      <c r="G10" s="1"/>
      <c r="H10" s="1"/>
    </row>
    <row r="11" spans="1:8" x14ac:dyDescent="0.25">
      <c r="A11" s="1"/>
      <c r="B11" s="1"/>
      <c r="C11" s="1"/>
      <c r="D11" s="2" t="e">
        <f t="shared" si="0"/>
        <v>#DIV/0!</v>
      </c>
      <c r="E11" s="1"/>
      <c r="F11" s="1"/>
      <c r="G11" s="1"/>
      <c r="H11" s="1"/>
    </row>
    <row r="12" spans="1:8" x14ac:dyDescent="0.25">
      <c r="A12" s="1"/>
      <c r="B12" s="1"/>
      <c r="C12" s="1"/>
      <c r="D12" s="2" t="e">
        <f t="shared" si="0"/>
        <v>#DIV/0!</v>
      </c>
      <c r="E12" s="1"/>
      <c r="F12" s="1"/>
      <c r="G12" s="1"/>
      <c r="H12" s="1"/>
    </row>
    <row r="13" spans="1:8" x14ac:dyDescent="0.25">
      <c r="A13" s="1"/>
      <c r="B13" s="1"/>
      <c r="C13" s="1"/>
      <c r="D13" s="2" t="e">
        <f t="shared" si="0"/>
        <v>#DIV/0!</v>
      </c>
      <c r="E13" s="1"/>
      <c r="F13" s="1"/>
      <c r="G13" s="1"/>
      <c r="H13" s="1"/>
    </row>
    <row r="14" spans="1:8" x14ac:dyDescent="0.25">
      <c r="A14" s="1"/>
      <c r="B14" s="1"/>
      <c r="C14" s="1"/>
      <c r="D14" s="2" t="e">
        <f t="shared" si="0"/>
        <v>#DIV/0!</v>
      </c>
      <c r="E14" s="1"/>
      <c r="F14" s="1"/>
      <c r="G14" s="1"/>
      <c r="H14" s="1"/>
    </row>
    <row r="15" spans="1:8" x14ac:dyDescent="0.25">
      <c r="A15" s="1"/>
      <c r="B15" s="1"/>
      <c r="C15" s="1"/>
      <c r="D15" s="2" t="e">
        <f t="shared" si="0"/>
        <v>#DIV/0!</v>
      </c>
      <c r="E15" s="1"/>
      <c r="F15" s="1"/>
      <c r="G15" s="1"/>
      <c r="H15" s="1"/>
    </row>
    <row r="16" spans="1:8" x14ac:dyDescent="0.25">
      <c r="A16" s="1"/>
      <c r="B16" s="1"/>
      <c r="C16" s="1"/>
      <c r="D16" s="2" t="e">
        <f t="shared" si="0"/>
        <v>#DIV/0!</v>
      </c>
      <c r="E16" s="1"/>
      <c r="F16" s="1"/>
      <c r="G16" s="1"/>
      <c r="H16" s="1"/>
    </row>
    <row r="17" spans="1:8" x14ac:dyDescent="0.25">
      <c r="A17" s="1"/>
      <c r="B17" s="1"/>
      <c r="C17" s="1"/>
      <c r="D17" s="2" t="e">
        <f t="shared" si="0"/>
        <v>#DIV/0!</v>
      </c>
      <c r="E17" s="1"/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26.230839629012735</v>
      </c>
      <c r="C23" s="1">
        <v>3</v>
      </c>
      <c r="D23" s="2">
        <f>B23/$B$38</f>
        <v>4.8148167298651479E-3</v>
      </c>
      <c r="E23" s="1">
        <v>0</v>
      </c>
      <c r="F23" s="1">
        <v>8.7436132096709116</v>
      </c>
      <c r="G23" s="1">
        <v>1713637.2916710093</v>
      </c>
      <c r="H23" s="1">
        <v>0</v>
      </c>
    </row>
    <row r="24" spans="1:8" x14ac:dyDescent="0.25">
      <c r="A24" s="1" t="s">
        <v>8</v>
      </c>
      <c r="B24" s="1">
        <v>5183.8481834705171</v>
      </c>
      <c r="C24" s="1">
        <v>4</v>
      </c>
      <c r="D24" s="2">
        <f t="shared" ref="D24:D38" si="1">B24/$B$38</f>
        <v>0.95152421012282751</v>
      </c>
      <c r="E24" s="1">
        <v>0</v>
      </c>
      <c r="F24" s="1">
        <v>1295.9620458676293</v>
      </c>
      <c r="G24" s="1">
        <v>253992123.98058608</v>
      </c>
      <c r="H24" s="1">
        <v>0</v>
      </c>
    </row>
    <row r="25" spans="1:8" x14ac:dyDescent="0.25">
      <c r="A25" s="1" t="s">
        <v>9</v>
      </c>
      <c r="B25" s="1">
        <v>160.34014930171179</v>
      </c>
      <c r="C25" s="1">
        <v>2</v>
      </c>
      <c r="D25" s="2">
        <f t="shared" si="1"/>
        <v>2.9431327561206783E-2</v>
      </c>
      <c r="E25" s="1">
        <v>0</v>
      </c>
      <c r="F25" s="1">
        <v>80.170074650855895</v>
      </c>
      <c r="G25" s="1">
        <v>15712317.814539518</v>
      </c>
      <c r="H25" s="1">
        <v>0</v>
      </c>
    </row>
    <row r="26" spans="1:8" x14ac:dyDescent="0.25">
      <c r="A26" s="1" t="s">
        <v>10</v>
      </c>
      <c r="B26" s="1">
        <v>3.4475564461899921E-4</v>
      </c>
      <c r="C26" s="1">
        <v>6</v>
      </c>
      <c r="D26" s="2">
        <f t="shared" si="1"/>
        <v>6.3281818992596114E-8</v>
      </c>
      <c r="E26" s="1">
        <v>0</v>
      </c>
      <c r="F26" s="1">
        <v>5.7459274103166535E-5</v>
      </c>
      <c r="G26" s="1">
        <v>11.261288953933315</v>
      </c>
      <c r="H26" s="1">
        <v>2.7238259365012647E-10</v>
      </c>
    </row>
    <row r="27" spans="1:8" x14ac:dyDescent="0.25">
      <c r="A27" s="1" t="s">
        <v>11</v>
      </c>
      <c r="B27" s="1">
        <v>19.233339129347769</v>
      </c>
      <c r="C27" s="1">
        <v>12</v>
      </c>
      <c r="D27" s="2">
        <f t="shared" si="1"/>
        <v>3.5303865343573465E-3</v>
      </c>
      <c r="E27" s="1">
        <v>0</v>
      </c>
      <c r="F27" s="1">
        <v>1.6027782607789807</v>
      </c>
      <c r="G27" s="1">
        <v>314124.2106767252</v>
      </c>
      <c r="H27" s="1">
        <v>0</v>
      </c>
    </row>
    <row r="28" spans="1:8" x14ac:dyDescent="0.25">
      <c r="A28" s="1" t="s">
        <v>12</v>
      </c>
      <c r="B28" s="1">
        <v>1.6923959220357574</v>
      </c>
      <c r="C28" s="1">
        <v>6</v>
      </c>
      <c r="D28" s="2">
        <f t="shared" si="1"/>
        <v>3.1064869879195742E-4</v>
      </c>
      <c r="E28" s="1">
        <v>0</v>
      </c>
      <c r="F28" s="1">
        <v>0.28206598700595958</v>
      </c>
      <c r="G28" s="1">
        <v>55281.355939988462</v>
      </c>
      <c r="H28" s="1">
        <v>2.1238524284440966E-239</v>
      </c>
    </row>
    <row r="29" spans="1:8" x14ac:dyDescent="0.25">
      <c r="A29" s="1" t="s">
        <v>13</v>
      </c>
      <c r="B29" s="1">
        <v>1.1618713961070171E-4</v>
      </c>
      <c r="C29" s="1">
        <v>18</v>
      </c>
      <c r="D29" s="2">
        <f t="shared" si="1"/>
        <v>2.1326796683017174E-8</v>
      </c>
      <c r="E29" s="1">
        <v>0</v>
      </c>
      <c r="F29" s="1">
        <v>6.4548410894834278E-6</v>
      </c>
      <c r="G29" s="1">
        <v>1.2650669851812264</v>
      </c>
      <c r="H29" s="1">
        <v>0.21945810158956081</v>
      </c>
    </row>
    <row r="30" spans="1:8" x14ac:dyDescent="0.25">
      <c r="A30" s="1" t="s">
        <v>14</v>
      </c>
      <c r="B30" s="1">
        <v>54.043839676499374</v>
      </c>
      <c r="C30" s="1">
        <v>8</v>
      </c>
      <c r="D30" s="2">
        <f t="shared" si="1"/>
        <v>9.9200478177889264E-3</v>
      </c>
      <c r="E30" s="1">
        <v>0</v>
      </c>
      <c r="F30" s="1">
        <v>6.7554799595624218</v>
      </c>
      <c r="G30" s="1">
        <v>1323988.3906390269</v>
      </c>
      <c r="H30" s="1">
        <v>0</v>
      </c>
    </row>
    <row r="31" spans="1:8" x14ac:dyDescent="0.25">
      <c r="A31" s="1" t="s">
        <v>15</v>
      </c>
      <c r="B31" s="1">
        <v>1.4333143280964578E-4</v>
      </c>
      <c r="C31" s="1">
        <v>24</v>
      </c>
      <c r="D31" s="2">
        <f t="shared" si="1"/>
        <v>2.6309282903934217E-8</v>
      </c>
      <c r="E31" s="1">
        <v>0</v>
      </c>
      <c r="F31" s="1">
        <v>5.9721430337352404E-6</v>
      </c>
      <c r="G31" s="1">
        <v>1.1704642884342693</v>
      </c>
      <c r="H31" s="1">
        <v>0.27876286857215921</v>
      </c>
    </row>
    <row r="32" spans="1:8" x14ac:dyDescent="0.25">
      <c r="A32" s="1" t="s">
        <v>16</v>
      </c>
      <c r="B32" s="1">
        <v>9.8096778856415767E-5</v>
      </c>
      <c r="C32" s="1">
        <v>12</v>
      </c>
      <c r="D32" s="2">
        <f t="shared" si="1"/>
        <v>1.8006210196235693E-8</v>
      </c>
      <c r="E32" s="1">
        <v>0</v>
      </c>
      <c r="F32" s="1">
        <v>8.17473157136798E-6</v>
      </c>
      <c r="G32" s="1">
        <v>1.6021437058311692</v>
      </c>
      <c r="H32" s="1">
        <v>9.7035624721311303E-2</v>
      </c>
    </row>
    <row r="33" spans="1:8" x14ac:dyDescent="0.25">
      <c r="A33" s="1" t="s">
        <v>17</v>
      </c>
      <c r="B33" s="1">
        <v>2.5506155778666653</v>
      </c>
      <c r="C33" s="1">
        <v>24</v>
      </c>
      <c r="D33" s="2">
        <f t="shared" si="1"/>
        <v>4.6817969723637475E-4</v>
      </c>
      <c r="E33" s="1">
        <v>0</v>
      </c>
      <c r="F33" s="1">
        <v>0.10627564907777771</v>
      </c>
      <c r="G33" s="1">
        <v>20828.67929871249</v>
      </c>
      <c r="H33" s="1">
        <v>1.909127704812014E-242</v>
      </c>
    </row>
    <row r="34" spans="1:8" x14ac:dyDescent="0.25">
      <c r="A34" s="1" t="s">
        <v>18</v>
      </c>
      <c r="B34" s="1">
        <v>2.0523931289062602E-4</v>
      </c>
      <c r="C34" s="1">
        <v>72</v>
      </c>
      <c r="D34" s="2">
        <f t="shared" si="1"/>
        <v>3.7672819143723572E-8</v>
      </c>
      <c r="E34" s="1">
        <v>0</v>
      </c>
      <c r="F34" s="1">
        <v>2.8505460123698058E-6</v>
      </c>
      <c r="G34" s="1">
        <v>0.55867086423929779</v>
      </c>
      <c r="H34" s="1">
        <v>0.99671534127969863</v>
      </c>
    </row>
    <row r="35" spans="1:8" x14ac:dyDescent="0.25">
      <c r="A35" s="1" t="s">
        <v>19</v>
      </c>
      <c r="B35" s="1">
        <v>8.6665768321836367E-5</v>
      </c>
      <c r="C35" s="1">
        <v>36</v>
      </c>
      <c r="D35" s="2">
        <f t="shared" si="1"/>
        <v>1.5907984537447309E-8</v>
      </c>
      <c r="E35" s="1">
        <v>0</v>
      </c>
      <c r="F35" s="1">
        <v>2.4073824533843435E-6</v>
      </c>
      <c r="G35" s="1">
        <v>0.47181642743196384</v>
      </c>
      <c r="H35" s="1">
        <v>0.99497291732284154</v>
      </c>
    </row>
    <row r="36" spans="1:8" x14ac:dyDescent="0.25">
      <c r="A36" s="1" t="s">
        <v>20</v>
      </c>
      <c r="B36" s="1">
        <v>3.5666114217747236E-4</v>
      </c>
      <c r="C36" s="1">
        <v>48</v>
      </c>
      <c r="D36" s="2">
        <f t="shared" si="1"/>
        <v>6.5467139387697119E-8</v>
      </c>
      <c r="E36" s="1">
        <v>0</v>
      </c>
      <c r="F36" s="1">
        <v>7.4304404620306741E-6</v>
      </c>
      <c r="G36" s="1">
        <v>1.45627208843061</v>
      </c>
      <c r="H36" s="1">
        <v>4.6795714503055412E-2</v>
      </c>
    </row>
    <row r="37" spans="1:8" x14ac:dyDescent="0.25">
      <c r="A37" s="1" t="s">
        <v>21</v>
      </c>
      <c r="B37" s="1">
        <v>7.3474142300256062E-4</v>
      </c>
      <c r="C37" s="1">
        <v>144</v>
      </c>
      <c r="D37" s="2">
        <f t="shared" si="1"/>
        <v>1.3486588098708156E-7</v>
      </c>
      <c r="E37" s="1">
        <v>0</v>
      </c>
      <c r="F37" s="1">
        <v>5.1023709930733376E-6</v>
      </c>
      <c r="G37" s="1"/>
      <c r="H37" s="1"/>
    </row>
    <row r="38" spans="1:8" x14ac:dyDescent="0.25">
      <c r="A38" s="1" t="s">
        <v>22</v>
      </c>
      <c r="B38" s="1">
        <v>5447.9414483855962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G11" sqref="G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1.1064825081833849E+19</v>
      </c>
      <c r="C2" s="1">
        <v>3</v>
      </c>
      <c r="D2" s="2">
        <f>B2/$B$17</f>
        <v>5.4184189548177664E-2</v>
      </c>
      <c r="E2" s="1">
        <v>0</v>
      </c>
      <c r="F2" s="1">
        <v>3.6882750272779494E+18</v>
      </c>
      <c r="G2" s="1">
        <v>43053.119288091977</v>
      </c>
      <c r="H2" s="1">
        <v>2.2352587116918265E-212</v>
      </c>
    </row>
    <row r="3" spans="1:8" x14ac:dyDescent="0.25">
      <c r="A3" s="1" t="s">
        <v>8</v>
      </c>
      <c r="B3" s="1">
        <v>4.8773549554833719E+19</v>
      </c>
      <c r="C3" s="1">
        <v>4</v>
      </c>
      <c r="D3" s="2">
        <f t="shared" ref="D3:D17" si="0">B3/$B$17</f>
        <v>0.23884293104238974</v>
      </c>
      <c r="E3" s="1">
        <v>0</v>
      </c>
      <c r="F3" s="1">
        <v>1.219338738870843E+19</v>
      </c>
      <c r="G3" s="1">
        <v>142333.03045174971</v>
      </c>
      <c r="H3" s="1">
        <v>7.4315022211296471E-258</v>
      </c>
    </row>
    <row r="4" spans="1:8" x14ac:dyDescent="0.25">
      <c r="A4" s="1" t="s">
        <v>9</v>
      </c>
      <c r="B4" s="1">
        <v>1.0088407145674537E+20</v>
      </c>
      <c r="C4" s="1">
        <v>2</v>
      </c>
      <c r="D4" s="2">
        <f>B4/$B$17</f>
        <v>0.49402693759513278</v>
      </c>
      <c r="E4" s="1">
        <v>0</v>
      </c>
      <c r="F4" s="1">
        <v>5.0442035728372687E+19</v>
      </c>
      <c r="G4" s="1">
        <v>588808.30883986235</v>
      </c>
      <c r="H4" s="1">
        <v>1.9319389735983548E-282</v>
      </c>
    </row>
    <row r="5" spans="1:8" x14ac:dyDescent="0.25">
      <c r="A5" s="1" t="s">
        <v>10</v>
      </c>
      <c r="B5" s="1">
        <v>2.4428083817927148E+18</v>
      </c>
      <c r="C5" s="1">
        <v>6</v>
      </c>
      <c r="D5" s="2">
        <f t="shared" si="0"/>
        <v>1.1962375492608909E-2</v>
      </c>
      <c r="E5" s="1">
        <v>0</v>
      </c>
      <c r="F5" s="1">
        <v>4.0713473029878579E+17</v>
      </c>
      <c r="G5" s="1">
        <v>4752.4710007364192</v>
      </c>
      <c r="H5" s="1">
        <v>8.0668553303831707E-163</v>
      </c>
    </row>
    <row r="6" spans="1:8" x14ac:dyDescent="0.25">
      <c r="A6" s="1" t="s">
        <v>11</v>
      </c>
      <c r="B6" s="1">
        <v>9.333292453315543E+17</v>
      </c>
      <c r="C6" s="1">
        <v>12</v>
      </c>
      <c r="D6" s="2">
        <f t="shared" si="0"/>
        <v>4.5704914778030058E-3</v>
      </c>
      <c r="E6" s="1">
        <v>0</v>
      </c>
      <c r="F6" s="1">
        <v>7.7777437110962864E+16</v>
      </c>
      <c r="G6" s="1">
        <v>907.89359608350253</v>
      </c>
      <c r="H6" s="1">
        <v>3.798059916478953E-129</v>
      </c>
    </row>
    <row r="7" spans="1:8" x14ac:dyDescent="0.25">
      <c r="A7" s="1" t="s">
        <v>12</v>
      </c>
      <c r="B7" s="1">
        <v>5.9229883612248801E+18</v>
      </c>
      <c r="C7" s="1">
        <v>6</v>
      </c>
      <c r="D7" s="2">
        <f t="shared" si="0"/>
        <v>2.9004735428051501E-2</v>
      </c>
      <c r="E7" s="1">
        <v>0</v>
      </c>
      <c r="F7" s="1">
        <v>9.8716472687081331E+17</v>
      </c>
      <c r="G7" s="1">
        <v>11523.143048888205</v>
      </c>
      <c r="H7" s="1">
        <v>2.0266757545646327E-190</v>
      </c>
    </row>
    <row r="8" spans="1:8" x14ac:dyDescent="0.25">
      <c r="A8" s="1" t="s">
        <v>13</v>
      </c>
      <c r="B8" s="1">
        <v>1.6780518943404851E+17</v>
      </c>
      <c r="C8" s="1">
        <v>18</v>
      </c>
      <c r="D8" s="2">
        <f t="shared" si="0"/>
        <v>8.2173808661378323E-4</v>
      </c>
      <c r="E8" s="1">
        <v>0</v>
      </c>
      <c r="F8" s="1">
        <v>9322510524113806</v>
      </c>
      <c r="G8" s="1">
        <v>108.82137440693565</v>
      </c>
      <c r="H8" s="1">
        <v>2.399541398258048E-74</v>
      </c>
    </row>
    <row r="9" spans="1:8" x14ac:dyDescent="0.25">
      <c r="A9" s="1" t="s">
        <v>14</v>
      </c>
      <c r="B9" s="1">
        <v>3.0319824350716789E+19</v>
      </c>
      <c r="C9" s="1">
        <v>8</v>
      </c>
      <c r="D9" s="2">
        <f t="shared" si="0"/>
        <v>0.14847547046938131</v>
      </c>
      <c r="E9" s="1">
        <v>0</v>
      </c>
      <c r="F9" s="1">
        <v>3.7899780438395986E+18</v>
      </c>
      <c r="G9" s="1">
        <v>44240.295426423239</v>
      </c>
      <c r="H9" s="1">
        <v>4.9767407984452938E-240</v>
      </c>
    </row>
    <row r="10" spans="1:8" x14ac:dyDescent="0.25">
      <c r="A10" s="1" t="s">
        <v>15</v>
      </c>
      <c r="B10" s="1">
        <v>8.461526251126784E+17</v>
      </c>
      <c r="C10" s="1">
        <v>24</v>
      </c>
      <c r="D10" s="2">
        <f t="shared" si="0"/>
        <v>4.1435896082141011E-3</v>
      </c>
      <c r="E10" s="1">
        <v>0</v>
      </c>
      <c r="F10" s="1">
        <v>3.5256359379694932E+16</v>
      </c>
      <c r="G10" s="1">
        <v>411.54638274307229</v>
      </c>
      <c r="H10" s="1">
        <v>2.9916616641186109E-120</v>
      </c>
    </row>
    <row r="11" spans="1:8" x14ac:dyDescent="0.25">
      <c r="A11" s="1" t="s">
        <v>16</v>
      </c>
      <c r="B11" s="1">
        <v>1.472203093795799E+18</v>
      </c>
      <c r="C11" s="1">
        <v>12</v>
      </c>
      <c r="D11" s="2">
        <f t="shared" si="0"/>
        <v>7.2093441060004813E-3</v>
      </c>
      <c r="E11" s="1">
        <v>0</v>
      </c>
      <c r="F11" s="1">
        <v>1.2268359114964992E+17</v>
      </c>
      <c r="G11" s="1">
        <v>1432.0817307259165</v>
      </c>
      <c r="H11" s="1">
        <v>3.0782959712043379E-143</v>
      </c>
    </row>
    <row r="12" spans="1:8" x14ac:dyDescent="0.25">
      <c r="A12" s="1" t="s">
        <v>17</v>
      </c>
      <c r="B12" s="1">
        <v>7.3651535172383539E+17</v>
      </c>
      <c r="C12" s="1">
        <v>24</v>
      </c>
      <c r="D12" s="2">
        <f t="shared" si="0"/>
        <v>3.606698445551287E-3</v>
      </c>
      <c r="E12" s="1">
        <v>0</v>
      </c>
      <c r="F12" s="1">
        <v>3.0688139655159808E+16</v>
      </c>
      <c r="G12" s="1">
        <v>358.22169646560184</v>
      </c>
      <c r="H12" s="1">
        <v>5.4732917874024803E-116</v>
      </c>
    </row>
    <row r="13" spans="1:8" x14ac:dyDescent="0.25">
      <c r="A13" s="1" t="s">
        <v>18</v>
      </c>
      <c r="B13" s="1">
        <v>1.6387635354140672E+16</v>
      </c>
      <c r="C13" s="1">
        <v>72</v>
      </c>
      <c r="D13" s="2">
        <f t="shared" si="0"/>
        <v>8.0249866916830609E-5</v>
      </c>
      <c r="E13" s="1">
        <v>0</v>
      </c>
      <c r="F13" s="1">
        <v>227606046585287.13</v>
      </c>
      <c r="G13" s="1">
        <v>2.6568382785595666</v>
      </c>
      <c r="H13" s="1">
        <v>3.2943618106546753E-7</v>
      </c>
    </row>
    <row r="14" spans="1:8" x14ac:dyDescent="0.25">
      <c r="A14" s="1" t="s">
        <v>19</v>
      </c>
      <c r="B14" s="1">
        <v>9.1086911332483072E+16</v>
      </c>
      <c r="C14" s="1">
        <v>36</v>
      </c>
      <c r="D14" s="2">
        <f t="shared" si="0"/>
        <v>4.4605047368533057E-4</v>
      </c>
      <c r="E14" s="1">
        <v>0</v>
      </c>
      <c r="F14" s="1">
        <v>2530191981457863</v>
      </c>
      <c r="G14" s="1">
        <v>29.534852036203638</v>
      </c>
      <c r="H14" s="1">
        <v>2.9399906417263658E-50</v>
      </c>
    </row>
    <row r="15" spans="1:8" x14ac:dyDescent="0.25">
      <c r="A15" s="1" t="s">
        <v>20</v>
      </c>
      <c r="B15" s="1">
        <v>5.2374934921992602E+17</v>
      </c>
      <c r="C15" s="1">
        <v>48</v>
      </c>
      <c r="D15" s="2">
        <f t="shared" si="0"/>
        <v>2.5647883092575498E-3</v>
      </c>
      <c r="E15" s="1">
        <v>0</v>
      </c>
      <c r="F15" s="1">
        <v>1.0911444775415126E+16</v>
      </c>
      <c r="G15" s="1">
        <v>127.36895433421084</v>
      </c>
      <c r="H15" s="1">
        <v>4.4206701698481861E-97</v>
      </c>
    </row>
    <row r="16" spans="1:8" x14ac:dyDescent="0.25">
      <c r="A16" s="1" t="s">
        <v>21</v>
      </c>
      <c r="B16" s="1">
        <v>1.2336193351614464E+16</v>
      </c>
      <c r="C16" s="1">
        <v>144</v>
      </c>
      <c r="D16" s="2">
        <f t="shared" si="0"/>
        <v>6.0410050219796542E-5</v>
      </c>
      <c r="E16" s="1">
        <v>0</v>
      </c>
      <c r="F16" s="1">
        <v>85668009386211.563</v>
      </c>
      <c r="G16" s="1"/>
      <c r="H16" s="1"/>
    </row>
    <row r="17" spans="1:8" x14ac:dyDescent="0.25">
      <c r="A17" s="1" t="s">
        <v>22</v>
      </c>
      <c r="B17" s="1">
        <v>2.0420763278180257E+20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0.23822345946831547</v>
      </c>
      <c r="C23" s="1">
        <v>3</v>
      </c>
      <c r="D23" s="2">
        <f>B23/$B$38</f>
        <v>6.6430287175111365E-4</v>
      </c>
      <c r="E23" s="1">
        <v>0</v>
      </c>
      <c r="F23" s="1">
        <v>7.9407819822771827E-2</v>
      </c>
      <c r="G23" s="1">
        <v>25330.321575562004</v>
      </c>
      <c r="H23" s="1">
        <v>8.1471919623973211E-196</v>
      </c>
    </row>
    <row r="24" spans="1:8" x14ac:dyDescent="0.25">
      <c r="A24" s="1" t="s">
        <v>8</v>
      </c>
      <c r="B24" s="1">
        <v>313.29667653301237</v>
      </c>
      <c r="C24" s="1">
        <v>4</v>
      </c>
      <c r="D24" s="2">
        <f>B24/$B$38</f>
        <v>0.87364981767734351</v>
      </c>
      <c r="E24" s="1">
        <v>0</v>
      </c>
      <c r="F24" s="1">
        <v>78.324169133253093</v>
      </c>
      <c r="G24" s="1">
        <v>24984647.55375468</v>
      </c>
      <c r="H24" s="1">
        <v>0</v>
      </c>
    </row>
    <row r="25" spans="1:8" x14ac:dyDescent="0.25">
      <c r="A25" s="1" t="s">
        <v>9</v>
      </c>
      <c r="B25" s="1">
        <v>24.63532220589326</v>
      </c>
      <c r="C25" s="1">
        <v>2</v>
      </c>
      <c r="D25" s="2">
        <f t="shared" ref="D25:D38" si="1">B25/$B$38</f>
        <v>6.8697328652745526E-2</v>
      </c>
      <c r="E25" s="1">
        <v>0</v>
      </c>
      <c r="F25" s="1">
        <v>12.31766110294663</v>
      </c>
      <c r="G25" s="1">
        <v>3929213.9929392007</v>
      </c>
      <c r="H25" s="1">
        <v>0</v>
      </c>
    </row>
    <row r="26" spans="1:8" x14ac:dyDescent="0.25">
      <c r="A26" s="1" t="s">
        <v>10</v>
      </c>
      <c r="B26" s="1">
        <v>1.090469123710136E-4</v>
      </c>
      <c r="C26" s="1">
        <v>6</v>
      </c>
      <c r="D26" s="2">
        <f t="shared" si="1"/>
        <v>3.0408498476738462E-7</v>
      </c>
      <c r="E26" s="1">
        <v>0</v>
      </c>
      <c r="F26" s="1">
        <v>1.8174485395168933E-5</v>
      </c>
      <c r="G26" s="1">
        <v>5.7974839324069301</v>
      </c>
      <c r="H26" s="1">
        <v>1.9635810828727769E-5</v>
      </c>
    </row>
    <row r="27" spans="1:8" x14ac:dyDescent="0.25">
      <c r="A27" s="1" t="s">
        <v>11</v>
      </c>
      <c r="B27" s="1">
        <v>1.2358607747728456E-2</v>
      </c>
      <c r="C27" s="1">
        <v>12</v>
      </c>
      <c r="D27" s="2">
        <f t="shared" si="1"/>
        <v>3.446284692525639E-5</v>
      </c>
      <c r="E27" s="1">
        <v>0</v>
      </c>
      <c r="F27" s="1">
        <v>1.0298839789773713E-3</v>
      </c>
      <c r="G27" s="1">
        <v>328.52296450449944</v>
      </c>
      <c r="H27" s="1">
        <v>4.0311726093637478E-98</v>
      </c>
    </row>
    <row r="28" spans="1:8" x14ac:dyDescent="0.25">
      <c r="A28" s="1" t="s">
        <v>12</v>
      </c>
      <c r="B28" s="1">
        <v>0.10602858506211987</v>
      </c>
      <c r="C28" s="1">
        <v>6</v>
      </c>
      <c r="D28" s="2">
        <f t="shared" si="1"/>
        <v>2.9566816677784654E-4</v>
      </c>
      <c r="E28" s="1">
        <v>0</v>
      </c>
      <c r="F28" s="1">
        <v>1.7671430843686647E-2</v>
      </c>
      <c r="G28" s="1">
        <v>5637.0144271675699</v>
      </c>
      <c r="H28" s="1">
        <v>3.9328517292219813E-168</v>
      </c>
    </row>
    <row r="29" spans="1:8" x14ac:dyDescent="0.25">
      <c r="A29" s="1" t="s">
        <v>13</v>
      </c>
      <c r="B29" s="1">
        <v>4.1429084831179352E-5</v>
      </c>
      <c r="C29" s="1">
        <v>18</v>
      </c>
      <c r="D29" s="2">
        <f t="shared" si="1"/>
        <v>1.1552791689280875E-7</v>
      </c>
      <c r="E29" s="1">
        <v>0</v>
      </c>
      <c r="F29" s="1">
        <v>2.3016158239544084E-6</v>
      </c>
      <c r="G29" s="1">
        <v>0.73419304413956921</v>
      </c>
      <c r="H29" s="1">
        <v>0.77140054089128329</v>
      </c>
    </row>
    <row r="30" spans="1:8" x14ac:dyDescent="0.25">
      <c r="A30" s="1" t="s">
        <v>14</v>
      </c>
      <c r="B30" s="1">
        <v>20.30864602042584</v>
      </c>
      <c r="C30" s="1">
        <v>8</v>
      </c>
      <c r="D30" s="2">
        <f t="shared" si="1"/>
        <v>5.6632087800488312E-2</v>
      </c>
      <c r="E30" s="1">
        <v>0</v>
      </c>
      <c r="F30" s="1">
        <v>2.53858075255323</v>
      </c>
      <c r="G30" s="1">
        <v>809782.54976930225</v>
      </c>
      <c r="H30" s="1">
        <v>0</v>
      </c>
    </row>
    <row r="31" spans="1:8" x14ac:dyDescent="0.25">
      <c r="A31" s="1" t="s">
        <v>15</v>
      </c>
      <c r="B31" s="1">
        <v>1.3619009160947826E-4</v>
      </c>
      <c r="C31" s="1">
        <v>24</v>
      </c>
      <c r="D31" s="2">
        <f t="shared" si="1"/>
        <v>3.797756491411236E-7</v>
      </c>
      <c r="E31" s="1">
        <v>0</v>
      </c>
      <c r="F31" s="1">
        <v>5.6745871503949274E-6</v>
      </c>
      <c r="G31" s="1">
        <v>1.8101380651031977</v>
      </c>
      <c r="H31" s="1">
        <v>1.7679764180032486E-2</v>
      </c>
    </row>
    <row r="32" spans="1:8" x14ac:dyDescent="0.25">
      <c r="A32" s="1" t="s">
        <v>16</v>
      </c>
      <c r="B32" s="1">
        <v>2.6666433427635639E-5</v>
      </c>
      <c r="C32" s="1">
        <v>12</v>
      </c>
      <c r="D32" s="2">
        <f t="shared" si="1"/>
        <v>7.4361225149172794E-8</v>
      </c>
      <c r="E32" s="1">
        <v>0</v>
      </c>
      <c r="F32" s="1">
        <v>2.2222027856363034E-6</v>
      </c>
      <c r="G32" s="1">
        <v>0.70886105791479226</v>
      </c>
      <c r="H32" s="1">
        <v>0.74098249330346322</v>
      </c>
    </row>
    <row r="33" spans="1:8" x14ac:dyDescent="0.25">
      <c r="A33" s="1" t="s">
        <v>17</v>
      </c>
      <c r="B33" s="1">
        <v>8.3285463188644826E-3</v>
      </c>
      <c r="C33" s="1">
        <v>24</v>
      </c>
      <c r="D33" s="2">
        <f t="shared" si="1"/>
        <v>2.3224737183659724E-5</v>
      </c>
      <c r="E33" s="1">
        <v>0</v>
      </c>
      <c r="F33" s="1">
        <v>3.4702276328602011E-4</v>
      </c>
      <c r="G33" s="1">
        <v>110.69688360281933</v>
      </c>
      <c r="H33" s="1">
        <v>1.4387078594951932E-80</v>
      </c>
    </row>
    <row r="34" spans="1:8" x14ac:dyDescent="0.25">
      <c r="A34" s="1" t="s">
        <v>18</v>
      </c>
      <c r="B34" s="1">
        <v>1.514287718578089E-4</v>
      </c>
      <c r="C34" s="1">
        <v>72</v>
      </c>
      <c r="D34" s="2">
        <f t="shared" si="1"/>
        <v>4.2226978079909081E-7</v>
      </c>
      <c r="E34" s="1">
        <v>0</v>
      </c>
      <c r="F34" s="1">
        <v>2.1031773869140125E-6</v>
      </c>
      <c r="G34" s="1">
        <v>0.6708931143038972</v>
      </c>
      <c r="H34" s="1">
        <v>0.96997390267293293</v>
      </c>
    </row>
    <row r="35" spans="1:8" x14ac:dyDescent="0.25">
      <c r="A35" s="1" t="s">
        <v>19</v>
      </c>
      <c r="B35" s="1">
        <v>9.1428215910127619E-5</v>
      </c>
      <c r="C35" s="1">
        <v>36</v>
      </c>
      <c r="D35" s="2">
        <f t="shared" si="1"/>
        <v>2.5495401050649561E-7</v>
      </c>
      <c r="E35" s="1">
        <v>0</v>
      </c>
      <c r="F35" s="1">
        <v>2.5396726641702116E-6</v>
      </c>
      <c r="G35" s="1">
        <v>0.81013085894655923</v>
      </c>
      <c r="H35" s="1">
        <v>0.76626499914334822</v>
      </c>
    </row>
    <row r="36" spans="1:8" x14ac:dyDescent="0.25">
      <c r="A36" s="1" t="s">
        <v>20</v>
      </c>
      <c r="B36" s="1">
        <v>1.0666556693195162E-4</v>
      </c>
      <c r="C36" s="1">
        <v>48</v>
      </c>
      <c r="D36" s="2">
        <f t="shared" si="1"/>
        <v>2.974444355228603E-7</v>
      </c>
      <c r="E36" s="1">
        <v>0</v>
      </c>
      <c r="F36" s="1">
        <v>2.2221993110823255E-6</v>
      </c>
      <c r="G36" s="1">
        <v>0.70885994956589427</v>
      </c>
      <c r="H36" s="1">
        <v>0.915163076473401</v>
      </c>
    </row>
    <row r="37" spans="1:8" x14ac:dyDescent="0.25">
      <c r="A37" s="1" t="s">
        <v>21</v>
      </c>
      <c r="B37" s="1">
        <v>4.5142443298118451E-4</v>
      </c>
      <c r="C37" s="1">
        <v>144</v>
      </c>
      <c r="D37" s="2">
        <f t="shared" si="1"/>
        <v>1.2588287815033784E-6</v>
      </c>
      <c r="E37" s="1">
        <v>0</v>
      </c>
      <c r="F37" s="1">
        <v>3.1348918957026703E-6</v>
      </c>
      <c r="G37" s="1"/>
      <c r="H37" s="1"/>
    </row>
    <row r="38" spans="1:8" x14ac:dyDescent="0.25">
      <c r="A38" s="1" t="s">
        <v>22</v>
      </c>
      <c r="B38" s="1">
        <v>358.60669823743859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30" sqref="D3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7.908340202445865E+18</v>
      </c>
      <c r="C2" s="1">
        <v>3</v>
      </c>
      <c r="D2" s="2">
        <f>B2/$B$17</f>
        <v>4.4163785695825054E-2</v>
      </c>
      <c r="E2" s="1">
        <v>0</v>
      </c>
      <c r="F2" s="1">
        <v>2.6361134008152883E+18</v>
      </c>
      <c r="G2" s="1">
        <v>39892.843046718692</v>
      </c>
      <c r="H2" s="1">
        <v>5.3758112806083985E-210</v>
      </c>
    </row>
    <row r="3" spans="1:8" x14ac:dyDescent="0.25">
      <c r="A3" s="1" t="s">
        <v>8</v>
      </c>
      <c r="B3" s="1">
        <v>4.2327267492719526E+19</v>
      </c>
      <c r="C3" s="1">
        <v>4</v>
      </c>
      <c r="D3" s="2">
        <f t="shared" ref="D3:D17" si="0">B3/$B$17</f>
        <v>0.23637480467269056</v>
      </c>
      <c r="E3" s="1">
        <v>0</v>
      </c>
      <c r="F3" s="1">
        <v>1.0581816873179881E+19</v>
      </c>
      <c r="G3" s="1">
        <v>160136.79818945835</v>
      </c>
      <c r="H3" s="1">
        <v>1.5367942162585914E-261</v>
      </c>
    </row>
    <row r="4" spans="1:8" x14ac:dyDescent="0.25">
      <c r="A4" s="1" t="s">
        <v>9</v>
      </c>
      <c r="B4" s="1">
        <v>9.3441417302469493E+19</v>
      </c>
      <c r="C4" s="1">
        <v>2</v>
      </c>
      <c r="D4" s="2">
        <f t="shared" si="0"/>
        <v>0.52181957569100557</v>
      </c>
      <c r="E4" s="1">
        <v>0</v>
      </c>
      <c r="F4" s="1">
        <v>4.6720708651234746E+19</v>
      </c>
      <c r="G4" s="1">
        <v>707034.03604668274</v>
      </c>
      <c r="H4" s="1">
        <v>3.6732673454747209E-288</v>
      </c>
    </row>
    <row r="5" spans="1:8" x14ac:dyDescent="0.25">
      <c r="A5" s="1" t="s">
        <v>10</v>
      </c>
      <c r="B5" s="1">
        <v>1.9699230024627978E+18</v>
      </c>
      <c r="C5" s="1">
        <v>6</v>
      </c>
      <c r="D5" s="2">
        <f t="shared" si="0"/>
        <v>1.1000950274134188E-2</v>
      </c>
      <c r="E5" s="1">
        <v>0</v>
      </c>
      <c r="F5" s="1">
        <v>3.283205004104663E+17</v>
      </c>
      <c r="G5" s="1">
        <v>4968.541257687958</v>
      </c>
      <c r="H5" s="1">
        <v>3.3376918399651645E-164</v>
      </c>
    </row>
    <row r="6" spans="1:8" x14ac:dyDescent="0.25">
      <c r="A6" s="1" t="s">
        <v>11</v>
      </c>
      <c r="B6" s="1">
        <v>5.9359523180409651E+17</v>
      </c>
      <c r="C6" s="1">
        <v>12</v>
      </c>
      <c r="D6" s="2">
        <f t="shared" si="0"/>
        <v>3.3149070394508191E-3</v>
      </c>
      <c r="E6" s="1">
        <v>0</v>
      </c>
      <c r="F6" s="1">
        <v>4.946626931700804E+16</v>
      </c>
      <c r="G6" s="1">
        <v>748.58316693045424</v>
      </c>
      <c r="H6" s="1">
        <v>3.3126021395264303E-123</v>
      </c>
    </row>
    <row r="7" spans="1:8" x14ac:dyDescent="0.25">
      <c r="A7" s="1" t="s">
        <v>12</v>
      </c>
      <c r="B7" s="1">
        <v>5.206199377018028E+18</v>
      </c>
      <c r="C7" s="1">
        <v>6</v>
      </c>
      <c r="D7" s="2">
        <f t="shared" si="0"/>
        <v>2.9073796484533065E-2</v>
      </c>
      <c r="E7" s="1">
        <v>0</v>
      </c>
      <c r="F7" s="1">
        <v>8.676998961696713E+17</v>
      </c>
      <c r="G7" s="1">
        <v>13131.079929583146</v>
      </c>
      <c r="H7" s="1">
        <v>1.6999583343459732E-194</v>
      </c>
    </row>
    <row r="8" spans="1:8" x14ac:dyDescent="0.25">
      <c r="A8" s="1" t="s">
        <v>13</v>
      </c>
      <c r="B8" s="1">
        <v>1.3287212508505702E+17</v>
      </c>
      <c r="C8" s="1">
        <v>18</v>
      </c>
      <c r="D8" s="2">
        <f t="shared" si="0"/>
        <v>7.4201866725339424E-4</v>
      </c>
      <c r="E8" s="1">
        <v>0</v>
      </c>
      <c r="F8" s="1">
        <v>7381784726947612</v>
      </c>
      <c r="G8" s="1">
        <v>111.71005747541452</v>
      </c>
      <c r="H8" s="1">
        <v>4.1917518347171741E-75</v>
      </c>
    </row>
    <row r="9" spans="1:8" x14ac:dyDescent="0.25">
      <c r="A9" s="1" t="s">
        <v>14</v>
      </c>
      <c r="B9" s="1">
        <v>2.4143799873596228E+19</v>
      </c>
      <c r="C9" s="1">
        <v>8</v>
      </c>
      <c r="D9" s="2">
        <f t="shared" si="0"/>
        <v>0.13483001188676935</v>
      </c>
      <c r="E9" s="1">
        <v>0</v>
      </c>
      <c r="F9" s="1">
        <v>3.0179749841995284E+18</v>
      </c>
      <c r="G9" s="1">
        <v>45671.632459498731</v>
      </c>
      <c r="H9" s="1">
        <v>5.03160758947183E-241</v>
      </c>
    </row>
    <row r="10" spans="1:8" x14ac:dyDescent="0.25">
      <c r="A10" s="1" t="s">
        <v>15</v>
      </c>
      <c r="B10" s="1">
        <v>9.1712783002379878E+17</v>
      </c>
      <c r="C10" s="1">
        <v>24</v>
      </c>
      <c r="D10" s="2">
        <f t="shared" si="0"/>
        <v>5.1216609179662283E-3</v>
      </c>
      <c r="E10" s="1">
        <v>0</v>
      </c>
      <c r="F10" s="1">
        <v>3.8213659584324952E+16</v>
      </c>
      <c r="G10" s="1">
        <v>578.29512325484006</v>
      </c>
      <c r="H10" s="1">
        <v>9.7429312016022008E-131</v>
      </c>
    </row>
    <row r="11" spans="1:8" x14ac:dyDescent="0.25">
      <c r="A11" s="1" t="s">
        <v>16</v>
      </c>
      <c r="B11" s="1">
        <v>1.4532271663113503E+18</v>
      </c>
      <c r="C11" s="1">
        <v>12</v>
      </c>
      <c r="D11" s="2">
        <f t="shared" si="0"/>
        <v>8.1154846019998242E-3</v>
      </c>
      <c r="E11" s="1">
        <v>0</v>
      </c>
      <c r="F11" s="1">
        <v>1.2110226385927918E+17</v>
      </c>
      <c r="G11" s="1">
        <v>1832.6653182850127</v>
      </c>
      <c r="H11" s="1">
        <v>6.8666572849606819E-151</v>
      </c>
    </row>
    <row r="12" spans="1:8" x14ac:dyDescent="0.25">
      <c r="A12" s="1" t="s">
        <v>17</v>
      </c>
      <c r="B12" s="1">
        <v>2.7709951844037427E+17</v>
      </c>
      <c r="C12" s="1">
        <v>24</v>
      </c>
      <c r="D12" s="2">
        <f t="shared" si="0"/>
        <v>1.547450341733169E-3</v>
      </c>
      <c r="E12" s="1">
        <v>0</v>
      </c>
      <c r="F12" s="1">
        <v>1.1545813268348928E+16</v>
      </c>
      <c r="G12" s="1">
        <v>174.72515272617429</v>
      </c>
      <c r="H12" s="1">
        <v>3.7192970135385539E-94</v>
      </c>
    </row>
    <row r="13" spans="1:8" x14ac:dyDescent="0.25">
      <c r="A13" s="1" t="s">
        <v>18</v>
      </c>
      <c r="B13" s="1">
        <v>1.82684783312896E+16</v>
      </c>
      <c r="C13" s="1">
        <v>72</v>
      </c>
      <c r="D13" s="2">
        <f t="shared" si="0"/>
        <v>1.0201953145141273E-4</v>
      </c>
      <c r="E13" s="1">
        <v>0</v>
      </c>
      <c r="F13" s="1">
        <v>253728865712355.56</v>
      </c>
      <c r="G13" s="1">
        <v>3.8397307995757983</v>
      </c>
      <c r="H13" s="1">
        <v>3.3959897713677585E-12</v>
      </c>
    </row>
    <row r="14" spans="1:8" x14ac:dyDescent="0.25">
      <c r="A14" s="1" t="s">
        <v>19</v>
      </c>
      <c r="B14" s="1">
        <v>9.5736996955521024E+16</v>
      </c>
      <c r="C14" s="1">
        <v>36</v>
      </c>
      <c r="D14" s="2">
        <f t="shared" si="0"/>
        <v>5.3463914152274724E-4</v>
      </c>
      <c r="E14" s="1">
        <v>0</v>
      </c>
      <c r="F14" s="1">
        <v>2659361026542250.5</v>
      </c>
      <c r="G14" s="1">
        <v>40.244654119811273</v>
      </c>
      <c r="H14" s="1">
        <v>1.0877499453132906E-58</v>
      </c>
    </row>
    <row r="15" spans="1:8" x14ac:dyDescent="0.25">
      <c r="A15" s="1" t="s">
        <v>20</v>
      </c>
      <c r="B15" s="1">
        <v>5.7404975335699251E+17</v>
      </c>
      <c r="C15" s="1">
        <v>48</v>
      </c>
      <c r="D15" s="2">
        <f t="shared" si="0"/>
        <v>3.2057561557807795E-3</v>
      </c>
      <c r="E15" s="1">
        <v>0</v>
      </c>
      <c r="F15" s="1">
        <v>1.195936986160401E+16</v>
      </c>
      <c r="G15" s="1">
        <v>180.98358920336008</v>
      </c>
      <c r="H15" s="1">
        <v>8.7357687631791655E-108</v>
      </c>
    </row>
    <row r="16" spans="1:8" x14ac:dyDescent="0.25">
      <c r="A16" s="1" t="s">
        <v>21</v>
      </c>
      <c r="B16" s="1">
        <v>9515499541430272</v>
      </c>
      <c r="C16" s="1">
        <v>144</v>
      </c>
      <c r="D16" s="2">
        <f t="shared" si="0"/>
        <v>5.3138897894968851E-5</v>
      </c>
      <c r="E16" s="1">
        <v>0</v>
      </c>
      <c r="F16" s="1">
        <v>66079857926599.109</v>
      </c>
      <c r="G16" s="1"/>
      <c r="H16" s="1"/>
    </row>
    <row r="17" spans="1:8" x14ac:dyDescent="0.25">
      <c r="A17" s="1" t="s">
        <v>22</v>
      </c>
      <c r="B17" s="1">
        <v>1.7906843985055986E+20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1.8255221027075095</v>
      </c>
      <c r="C23" s="1">
        <v>3</v>
      </c>
      <c r="D23" s="2">
        <f>B23/$B$38</f>
        <v>3.3860487365112561E-3</v>
      </c>
      <c r="E23" s="1">
        <v>0</v>
      </c>
      <c r="F23" s="1">
        <v>0.60850736756916979</v>
      </c>
      <c r="G23" s="1">
        <v>58790.21579435961</v>
      </c>
      <c r="H23" s="1">
        <v>4.1407929793154723E-222</v>
      </c>
    </row>
    <row r="24" spans="1:8" x14ac:dyDescent="0.25">
      <c r="A24" s="1" t="s">
        <v>8</v>
      </c>
      <c r="B24" s="1">
        <v>430.51987532471657</v>
      </c>
      <c r="C24" s="1">
        <v>4</v>
      </c>
      <c r="D24" s="2">
        <f t="shared" ref="D24:D38" si="1">B24/$B$38</f>
        <v>0.79854485340066395</v>
      </c>
      <c r="E24" s="1">
        <v>0</v>
      </c>
      <c r="F24" s="1">
        <v>107.62996883117914</v>
      </c>
      <c r="G24" s="1">
        <v>10398541.465163043</v>
      </c>
      <c r="H24" s="1">
        <v>0</v>
      </c>
    </row>
    <row r="25" spans="1:8" x14ac:dyDescent="0.25">
      <c r="A25" s="1" t="s">
        <v>9</v>
      </c>
      <c r="B25" s="1">
        <v>58.152807726731851</v>
      </c>
      <c r="C25" s="1">
        <v>2</v>
      </c>
      <c r="D25" s="2">
        <f t="shared" si="1"/>
        <v>0.10786406849615209</v>
      </c>
      <c r="E25" s="1">
        <v>0</v>
      </c>
      <c r="F25" s="1">
        <v>29.076403863365925</v>
      </c>
      <c r="G25" s="1">
        <v>2809182.1870290237</v>
      </c>
      <c r="H25" s="1">
        <v>0</v>
      </c>
    </row>
    <row r="26" spans="1:8" x14ac:dyDescent="0.25">
      <c r="A26" s="1" t="s">
        <v>10</v>
      </c>
      <c r="B26" s="1">
        <v>0.19105804283378802</v>
      </c>
      <c r="C26" s="1">
        <v>6</v>
      </c>
      <c r="D26" s="2">
        <f>B26/$B$38</f>
        <v>3.5438181963295278E-4</v>
      </c>
      <c r="E26" s="1">
        <v>0</v>
      </c>
      <c r="F26" s="1">
        <v>3.1843007138964673E-2</v>
      </c>
      <c r="G26" s="1">
        <v>3076.4742729729855</v>
      </c>
      <c r="H26" s="1">
        <v>2.6136751856211146E-149</v>
      </c>
    </row>
    <row r="27" spans="1:8" x14ac:dyDescent="0.25">
      <c r="A27" s="1" t="s">
        <v>11</v>
      </c>
      <c r="B27" s="1">
        <v>0.72103118587676818</v>
      </c>
      <c r="C27" s="1">
        <v>12</v>
      </c>
      <c r="D27" s="2">
        <f t="shared" si="1"/>
        <v>1.3373964260976242E-3</v>
      </c>
      <c r="E27" s="1">
        <v>0</v>
      </c>
      <c r="F27" s="1">
        <v>6.0085932156397348E-2</v>
      </c>
      <c r="G27" s="1">
        <v>5805.1308923195775</v>
      </c>
      <c r="H27" s="1">
        <v>8.5768897790655482E-187</v>
      </c>
    </row>
    <row r="28" spans="1:8" x14ac:dyDescent="0.25">
      <c r="A28" s="1" t="s">
        <v>12</v>
      </c>
      <c r="B28" s="1">
        <v>0.78094101891554146</v>
      </c>
      <c r="C28" s="1">
        <v>6</v>
      </c>
      <c r="D28" s="2">
        <f t="shared" si="1"/>
        <v>1.4485194928436646E-3</v>
      </c>
      <c r="E28" s="1">
        <v>0</v>
      </c>
      <c r="F28" s="1">
        <v>0.13015683648592358</v>
      </c>
      <c r="G28" s="1">
        <v>12574.947998881573</v>
      </c>
      <c r="H28" s="1">
        <v>3.8109400650585591E-193</v>
      </c>
    </row>
    <row r="29" spans="1:8" x14ac:dyDescent="0.25">
      <c r="A29" s="1" t="s">
        <v>13</v>
      </c>
      <c r="B29" s="1">
        <v>3.3856962012350778E-3</v>
      </c>
      <c r="C29" s="1">
        <v>18</v>
      </c>
      <c r="D29" s="2">
        <f t="shared" si="1"/>
        <v>6.2799197705686786E-6</v>
      </c>
      <c r="E29" s="1">
        <v>0</v>
      </c>
      <c r="F29" s="1">
        <v>1.8809423340194876E-4</v>
      </c>
      <c r="G29" s="1">
        <v>18.17250071358951</v>
      </c>
      <c r="H29" s="1">
        <v>1.4246701807355943E-28</v>
      </c>
    </row>
    <row r="30" spans="1:8" x14ac:dyDescent="0.25">
      <c r="A30" s="1" t="s">
        <v>14</v>
      </c>
      <c r="B30" s="1">
        <v>46.244407235959443</v>
      </c>
      <c r="C30" s="1">
        <v>8</v>
      </c>
      <c r="D30" s="2">
        <f t="shared" si="1"/>
        <v>8.5775908415347796E-2</v>
      </c>
      <c r="E30" s="1">
        <v>0</v>
      </c>
      <c r="F30" s="1">
        <v>5.7805509044949304</v>
      </c>
      <c r="G30" s="1">
        <v>558481.05248603679</v>
      </c>
      <c r="H30" s="1">
        <v>0</v>
      </c>
    </row>
    <row r="31" spans="1:8" x14ac:dyDescent="0.25">
      <c r="A31" s="1" t="s">
        <v>15</v>
      </c>
      <c r="B31" s="1">
        <v>1.8710946275632523E-2</v>
      </c>
      <c r="C31" s="1">
        <v>24</v>
      </c>
      <c r="D31" s="2">
        <f t="shared" si="1"/>
        <v>3.4705784115990298E-5</v>
      </c>
      <c r="E31" s="1">
        <v>0</v>
      </c>
      <c r="F31" s="1">
        <v>7.7962276148468845E-4</v>
      </c>
      <c r="G31" s="1">
        <v>75.322326119033164</v>
      </c>
      <c r="H31" s="1">
        <v>2.1818714514272169E-69</v>
      </c>
    </row>
    <row r="32" spans="1:8" x14ac:dyDescent="0.25">
      <c r="A32" s="1" t="s">
        <v>16</v>
      </c>
      <c r="B32" s="1">
        <v>0.10123901403937907</v>
      </c>
      <c r="C32" s="1">
        <v>12</v>
      </c>
      <c r="D32" s="2">
        <f t="shared" si="1"/>
        <v>1.8778202414819475E-4</v>
      </c>
      <c r="E32" s="1">
        <v>0</v>
      </c>
      <c r="F32" s="1">
        <v>8.4365845032815887E-3</v>
      </c>
      <c r="G32" s="1">
        <v>815.09058057361176</v>
      </c>
      <c r="H32" s="1">
        <v>7.973872722495748E-126</v>
      </c>
    </row>
    <row r="33" spans="1:8" x14ac:dyDescent="0.25">
      <c r="A33" s="1" t="s">
        <v>17</v>
      </c>
      <c r="B33" s="1">
        <v>0.55741636223262958</v>
      </c>
      <c r="C33" s="1">
        <v>24</v>
      </c>
      <c r="D33" s="2">
        <f t="shared" si="1"/>
        <v>1.0339173468506106E-3</v>
      </c>
      <c r="E33" s="1">
        <v>0</v>
      </c>
      <c r="F33" s="1">
        <v>2.32256817596929E-2</v>
      </c>
      <c r="G33" s="1">
        <v>2243.9216275688823</v>
      </c>
      <c r="H33" s="1">
        <v>7.3486785507948772E-173</v>
      </c>
    </row>
    <row r="34" spans="1:8" x14ac:dyDescent="0.25">
      <c r="A34" s="1" t="s">
        <v>18</v>
      </c>
      <c r="B34" s="1">
        <v>7.0237439751963393E-4</v>
      </c>
      <c r="C34" s="1">
        <v>72</v>
      </c>
      <c r="D34" s="2">
        <f t="shared" si="1"/>
        <v>1.3027910961756595E-6</v>
      </c>
      <c r="E34" s="1">
        <v>0</v>
      </c>
      <c r="F34" s="1">
        <v>9.7551999655504714E-6</v>
      </c>
      <c r="G34" s="1">
        <v>0.94248704560943553</v>
      </c>
      <c r="H34" s="1">
        <v>0.60480058129713155</v>
      </c>
    </row>
    <row r="35" spans="1:8" x14ac:dyDescent="0.25">
      <c r="A35" s="1" t="s">
        <v>19</v>
      </c>
      <c r="B35" s="1">
        <v>1.1857062341960045E-3</v>
      </c>
      <c r="C35" s="1">
        <v>36</v>
      </c>
      <c r="D35" s="2">
        <f t="shared" si="1"/>
        <v>2.1992936104242684E-6</v>
      </c>
      <c r="E35" s="1">
        <v>0</v>
      </c>
      <c r="F35" s="1">
        <v>3.2936284283222347E-5</v>
      </c>
      <c r="G35" s="1">
        <v>3.1820999443444067</v>
      </c>
      <c r="H35" s="1">
        <v>5.1672075119693628E-7</v>
      </c>
    </row>
    <row r="36" spans="1:8" x14ac:dyDescent="0.25">
      <c r="A36" s="1" t="s">
        <v>20</v>
      </c>
      <c r="B36" s="1">
        <v>1.0713316222449976E-2</v>
      </c>
      <c r="C36" s="1">
        <v>48</v>
      </c>
      <c r="D36" s="2">
        <f t="shared" si="1"/>
        <v>1.9871471731331044E-5</v>
      </c>
      <c r="E36" s="1">
        <v>0</v>
      </c>
      <c r="F36" s="1">
        <v>2.2319408796770782E-4</v>
      </c>
      <c r="G36" s="1">
        <v>21.563631428267421</v>
      </c>
      <c r="H36" s="1">
        <v>6.0892532309485318E-46</v>
      </c>
    </row>
    <row r="37" spans="1:8" x14ac:dyDescent="0.25">
      <c r="A37" s="1" t="s">
        <v>21</v>
      </c>
      <c r="B37" s="1">
        <v>1.4904701359910177E-3</v>
      </c>
      <c r="C37" s="1">
        <v>144</v>
      </c>
      <c r="D37" s="2">
        <f t="shared" si="1"/>
        <v>2.7645814385347704E-6</v>
      </c>
      <c r="E37" s="1">
        <v>0</v>
      </c>
      <c r="F37" s="1">
        <v>1.0350487055493179E-5</v>
      </c>
      <c r="G37" s="1"/>
      <c r="H37" s="1"/>
    </row>
    <row r="38" spans="1:8" x14ac:dyDescent="0.25">
      <c r="A38" s="1" t="s">
        <v>22</v>
      </c>
      <c r="B38" s="1">
        <v>539.13048652347447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30" sqref="D3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9.777316329544192E+17</v>
      </c>
      <c r="C2" s="1">
        <v>3</v>
      </c>
      <c r="D2" s="2">
        <f>B2/$B$17</f>
        <v>5.2915261546243889E-2</v>
      </c>
      <c r="E2" s="1">
        <v>0</v>
      </c>
      <c r="F2" s="1">
        <v>3.2591054431813971E+17</v>
      </c>
      <c r="G2" s="1">
        <v>4668.9590308859206</v>
      </c>
      <c r="H2" s="1">
        <v>3.3641858993635703E-143</v>
      </c>
    </row>
    <row r="3" spans="1:8" x14ac:dyDescent="0.25">
      <c r="A3" s="1" t="s">
        <v>8</v>
      </c>
      <c r="B3" s="1">
        <v>1.7346563366876385E+18</v>
      </c>
      <c r="C3" s="1">
        <v>4</v>
      </c>
      <c r="D3" s="2">
        <f>B3/$B$17</f>
        <v>9.3880355973871649E-2</v>
      </c>
      <c r="E3" s="1">
        <v>0</v>
      </c>
      <c r="F3" s="1">
        <v>4.3366408417190963E+17</v>
      </c>
      <c r="G3" s="1">
        <v>6212.6245298428485</v>
      </c>
      <c r="H3" s="1">
        <v>4.1509657587284152E-160</v>
      </c>
    </row>
    <row r="4" spans="1:8" x14ac:dyDescent="0.25">
      <c r="A4" s="1" t="s">
        <v>9</v>
      </c>
      <c r="B4" s="1">
        <v>1.0013060441158435E+19</v>
      </c>
      <c r="C4" s="1">
        <v>2</v>
      </c>
      <c r="D4" s="2">
        <f>B4/$B$17</f>
        <v>0.54191118939377458</v>
      </c>
      <c r="E4" s="1">
        <v>0</v>
      </c>
      <c r="F4" s="1">
        <v>5.0065302205792174E+18</v>
      </c>
      <c r="G4" s="1">
        <v>71723.007721894028</v>
      </c>
      <c r="H4" s="1">
        <v>1.2278745315218188E-216</v>
      </c>
    </row>
    <row r="5" spans="1:8" x14ac:dyDescent="0.25">
      <c r="A5" s="1" t="s">
        <v>10</v>
      </c>
      <c r="B5" s="1">
        <v>1.9047638469276672E+17</v>
      </c>
      <c r="C5" s="1">
        <v>6</v>
      </c>
      <c r="D5" s="2">
        <f t="shared" ref="D5:D17" si="0">B5/$B$17</f>
        <v>1.0308664846962759E-2</v>
      </c>
      <c r="E5" s="1">
        <v>0</v>
      </c>
      <c r="F5" s="1">
        <v>3.174606411546112E+16</v>
      </c>
      <c r="G5" s="1">
        <v>454.79066366836747</v>
      </c>
      <c r="H5" s="1">
        <v>6.1973375260883045E-91</v>
      </c>
    </row>
    <row r="6" spans="1:8" x14ac:dyDescent="0.25">
      <c r="A6" s="1" t="s">
        <v>11</v>
      </c>
      <c r="B6" s="1">
        <v>3.7628470188804506E+17</v>
      </c>
      <c r="C6" s="1">
        <v>12</v>
      </c>
      <c r="D6" s="2">
        <f t="shared" si="0"/>
        <v>2.0364691849122728E-2</v>
      </c>
      <c r="E6" s="1">
        <v>0</v>
      </c>
      <c r="F6" s="1">
        <v>3.135705849067042E+16</v>
      </c>
      <c r="G6" s="1">
        <v>449.2178113731714</v>
      </c>
      <c r="H6" s="1">
        <v>1.3775300013176038E-107</v>
      </c>
    </row>
    <row r="7" spans="1:8" x14ac:dyDescent="0.25">
      <c r="A7" s="1" t="s">
        <v>12</v>
      </c>
      <c r="B7" s="1">
        <v>9.0526875025506304E+17</v>
      </c>
      <c r="C7" s="1">
        <v>6</v>
      </c>
      <c r="D7" s="2">
        <f t="shared" si="0"/>
        <v>4.8993538794117303E-2</v>
      </c>
      <c r="E7" s="1">
        <v>0</v>
      </c>
      <c r="F7" s="1">
        <v>1.508781250425105E+17</v>
      </c>
      <c r="G7" s="1">
        <v>2161.4636186570178</v>
      </c>
      <c r="H7" s="1">
        <v>2.2394272273110456E-138</v>
      </c>
    </row>
    <row r="8" spans="1:8" x14ac:dyDescent="0.25">
      <c r="A8" s="1" t="s">
        <v>13</v>
      </c>
      <c r="B8" s="1">
        <v>1.916212252461056E+16</v>
      </c>
      <c r="C8" s="1">
        <v>18</v>
      </c>
      <c r="D8" s="2">
        <f t="shared" si="0"/>
        <v>1.0370624116016599E-3</v>
      </c>
      <c r="E8" s="1">
        <v>0</v>
      </c>
      <c r="F8" s="1">
        <v>1064562362478364.5</v>
      </c>
      <c r="G8" s="1">
        <v>15.250804685173746</v>
      </c>
      <c r="H8" s="1">
        <v>4.5865786362300275E-25</v>
      </c>
    </row>
    <row r="9" spans="1:8" x14ac:dyDescent="0.25">
      <c r="A9" s="1" t="s">
        <v>14</v>
      </c>
      <c r="B9" s="1">
        <v>3.4436352603925709E+18</v>
      </c>
      <c r="C9" s="1">
        <v>8</v>
      </c>
      <c r="D9" s="2">
        <f t="shared" si="0"/>
        <v>0.18637103918068232</v>
      </c>
      <c r="E9" s="1">
        <v>0</v>
      </c>
      <c r="F9" s="1">
        <v>4.3045440754907136E+17</v>
      </c>
      <c r="G9" s="1">
        <v>6166.6430514412305</v>
      </c>
      <c r="H9" s="1">
        <v>1.7009264922806401E-178</v>
      </c>
    </row>
    <row r="10" spans="1:8" x14ac:dyDescent="0.25">
      <c r="A10" s="1" t="s">
        <v>15</v>
      </c>
      <c r="B10" s="1">
        <v>3.7048464705368064E+16</v>
      </c>
      <c r="C10" s="1">
        <v>24</v>
      </c>
      <c r="D10" s="2">
        <f t="shared" si="0"/>
        <v>2.00507903569356E-3</v>
      </c>
      <c r="E10" s="1">
        <v>0</v>
      </c>
      <c r="F10" s="1">
        <v>1543686029390336</v>
      </c>
      <c r="G10" s="1">
        <v>22.114678255818813</v>
      </c>
      <c r="H10" s="1">
        <v>6.0663703777143321E-37</v>
      </c>
    </row>
    <row r="11" spans="1:8" x14ac:dyDescent="0.25">
      <c r="A11" s="1" t="s">
        <v>16</v>
      </c>
      <c r="B11" s="1">
        <v>1.7834471210355302E+17</v>
      </c>
      <c r="C11" s="1">
        <v>12</v>
      </c>
      <c r="D11" s="2">
        <f t="shared" si="0"/>
        <v>9.6520934459620022E-3</v>
      </c>
      <c r="E11" s="1">
        <v>0</v>
      </c>
      <c r="F11" s="1">
        <v>1.4862059341962752E+16</v>
      </c>
      <c r="G11" s="1">
        <v>212.91224660250211</v>
      </c>
      <c r="H11" s="1">
        <v>3.4234285256903135E-85</v>
      </c>
    </row>
    <row r="12" spans="1:8" x14ac:dyDescent="0.25">
      <c r="A12" s="1" t="s">
        <v>17</v>
      </c>
      <c r="B12" s="1">
        <v>4.9862626171922637E+17</v>
      </c>
      <c r="C12" s="1">
        <v>24</v>
      </c>
      <c r="D12" s="2">
        <f t="shared" si="0"/>
        <v>2.6985870317984034E-2</v>
      </c>
      <c r="E12" s="1">
        <v>0</v>
      </c>
      <c r="F12" s="1">
        <v>2.07760942383011E+16</v>
      </c>
      <c r="G12" s="1">
        <v>297.63606766206073</v>
      </c>
      <c r="H12" s="1">
        <v>2.5785546062115793E-110</v>
      </c>
    </row>
    <row r="13" spans="1:8" x14ac:dyDescent="0.25">
      <c r="A13" s="1" t="s">
        <v>18</v>
      </c>
      <c r="B13" s="1">
        <v>7302847896059904</v>
      </c>
      <c r="C13" s="1">
        <v>72</v>
      </c>
      <c r="D13" s="2">
        <f t="shared" si="0"/>
        <v>3.9523330679683733E-4</v>
      </c>
      <c r="E13" s="1">
        <v>0</v>
      </c>
      <c r="F13" s="1">
        <v>101428443000832</v>
      </c>
      <c r="G13" s="1">
        <v>1.453052848990239</v>
      </c>
      <c r="H13" s="1">
        <v>2.9887868377192421E-2</v>
      </c>
    </row>
    <row r="14" spans="1:8" x14ac:dyDescent="0.25">
      <c r="A14" s="1" t="s">
        <v>19</v>
      </c>
      <c r="B14" s="1">
        <v>1.8134623928131584E+16</v>
      </c>
      <c r="C14" s="1">
        <v>36</v>
      </c>
      <c r="D14" s="2">
        <f t="shared" si="0"/>
        <v>9.814537403277316E-4</v>
      </c>
      <c r="E14" s="1">
        <v>0</v>
      </c>
      <c r="F14" s="1">
        <v>503739553559210.69</v>
      </c>
      <c r="G14" s="1">
        <v>7.2165180869657837</v>
      </c>
      <c r="H14" s="1">
        <v>2.7638196459951267E-18</v>
      </c>
    </row>
    <row r="15" spans="1:8" x14ac:dyDescent="0.25">
      <c r="A15" s="1" t="s">
        <v>20</v>
      </c>
      <c r="B15" s="1">
        <v>6.752462546909184E+16</v>
      </c>
      <c r="C15" s="1">
        <v>48</v>
      </c>
      <c r="D15" s="2">
        <f t="shared" si="0"/>
        <v>3.6544621213822682E-3</v>
      </c>
      <c r="E15" s="1">
        <v>0</v>
      </c>
      <c r="F15" s="1">
        <v>1406763030606080</v>
      </c>
      <c r="G15" s="1">
        <v>20.153134258992221</v>
      </c>
      <c r="H15" s="1">
        <v>3.5488880775993515E-44</v>
      </c>
    </row>
    <row r="16" spans="1:8" x14ac:dyDescent="0.25">
      <c r="A16" s="1" t="s">
        <v>21</v>
      </c>
      <c r="B16" s="1">
        <v>1.0051730604478464E+16</v>
      </c>
      <c r="C16" s="1">
        <v>144</v>
      </c>
      <c r="D16" s="2">
        <f t="shared" si="0"/>
        <v>5.4400403546435959E-4</v>
      </c>
      <c r="E16" s="1">
        <v>0</v>
      </c>
      <c r="F16" s="1">
        <v>69803684753322.664</v>
      </c>
      <c r="G16" s="1"/>
      <c r="H16" s="1"/>
    </row>
    <row r="17" spans="1:8" x14ac:dyDescent="0.25">
      <c r="A17" s="1" t="s">
        <v>22</v>
      </c>
      <c r="B17" s="1">
        <v>1.8477308896979685E+19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1.8487151697527224</v>
      </c>
      <c r="C23" s="1">
        <v>3</v>
      </c>
      <c r="D23" s="2">
        <f>B23/$B$38</f>
        <v>3.2793770103567991E-4</v>
      </c>
      <c r="E23" s="1">
        <v>0</v>
      </c>
      <c r="F23" s="1">
        <v>0.61623838991757418</v>
      </c>
      <c r="G23" s="1">
        <v>83117.625752004969</v>
      </c>
      <c r="H23" s="1">
        <v>6.2612406286307511E-233</v>
      </c>
    </row>
    <row r="24" spans="1:8" x14ac:dyDescent="0.25">
      <c r="A24" s="1" t="s">
        <v>8</v>
      </c>
      <c r="B24" s="1">
        <v>5546.8435166214394</v>
      </c>
      <c r="C24" s="1">
        <v>4</v>
      </c>
      <c r="D24" s="2">
        <f t="shared" ref="D24:D38" si="1">B24/$B$38</f>
        <v>0.98393692041203207</v>
      </c>
      <c r="E24" s="1">
        <v>0</v>
      </c>
      <c r="F24" s="1">
        <v>1386.7108791553599</v>
      </c>
      <c r="G24" s="1">
        <v>187038194.57805246</v>
      </c>
      <c r="H24" s="1">
        <v>0</v>
      </c>
    </row>
    <row r="25" spans="1:8" x14ac:dyDescent="0.25">
      <c r="A25" s="1" t="s">
        <v>9</v>
      </c>
      <c r="B25" s="1">
        <v>35.02364686405781</v>
      </c>
      <c r="C25" s="1">
        <v>2</v>
      </c>
      <c r="D25" s="2">
        <f t="shared" si="1"/>
        <v>6.212733266001645E-3</v>
      </c>
      <c r="E25" s="1">
        <v>0</v>
      </c>
      <c r="F25" s="1">
        <v>17.511823432028905</v>
      </c>
      <c r="G25" s="1">
        <v>2361977.4588422799</v>
      </c>
      <c r="H25" s="1">
        <v>0</v>
      </c>
    </row>
    <row r="26" spans="1:8" x14ac:dyDescent="0.25">
      <c r="A26" s="1" t="s">
        <v>10</v>
      </c>
      <c r="B26" s="1">
        <v>2.5856666460640554E-2</v>
      </c>
      <c r="C26" s="1">
        <v>6</v>
      </c>
      <c r="D26" s="2">
        <f t="shared" si="1"/>
        <v>4.5866317831334747E-6</v>
      </c>
      <c r="E26" s="1">
        <v>0</v>
      </c>
      <c r="F26" s="1">
        <v>4.3094444101067593E-3</v>
      </c>
      <c r="G26" s="1">
        <v>581.25360824442271</v>
      </c>
      <c r="H26" s="1">
        <v>2.9688615457024674E-98</v>
      </c>
    </row>
    <row r="27" spans="1:8" x14ac:dyDescent="0.25">
      <c r="A27" s="1" t="s">
        <v>11</v>
      </c>
      <c r="B27" s="1">
        <v>0.22748756417968252</v>
      </c>
      <c r="C27" s="1">
        <v>12</v>
      </c>
      <c r="D27" s="2">
        <f t="shared" si="1"/>
        <v>4.0353295105632867E-5</v>
      </c>
      <c r="E27" s="1">
        <v>0</v>
      </c>
      <c r="F27" s="1">
        <v>1.8957297014973545E-2</v>
      </c>
      <c r="G27" s="1">
        <v>2556.9415089036083</v>
      </c>
      <c r="H27" s="1">
        <v>3.0511079346097573E-161</v>
      </c>
    </row>
    <row r="28" spans="1:8" x14ac:dyDescent="0.25">
      <c r="A28" s="1" t="s">
        <v>12</v>
      </c>
      <c r="B28" s="1">
        <v>5.7961549332503637E-2</v>
      </c>
      <c r="C28" s="1">
        <v>6</v>
      </c>
      <c r="D28" s="2">
        <f t="shared" si="1"/>
        <v>1.028161479256418E-5</v>
      </c>
      <c r="E28" s="1">
        <v>0</v>
      </c>
      <c r="F28" s="1">
        <v>9.6602582220839395E-3</v>
      </c>
      <c r="G28" s="1">
        <v>1302.9660934923252</v>
      </c>
      <c r="H28" s="1">
        <v>8.8143899307559121E-123</v>
      </c>
    </row>
    <row r="29" spans="1:8" x14ac:dyDescent="0.25">
      <c r="A29" s="1" t="s">
        <v>13</v>
      </c>
      <c r="B29" s="1">
        <v>9.1907338173768949E-5</v>
      </c>
      <c r="C29" s="1">
        <v>18</v>
      </c>
      <c r="D29" s="2">
        <f t="shared" si="1"/>
        <v>1.6303150253830597E-8</v>
      </c>
      <c r="E29" s="1">
        <v>0</v>
      </c>
      <c r="F29" s="1">
        <v>5.1059632318760523E-6</v>
      </c>
      <c r="G29" s="1">
        <v>0.68868728069235863</v>
      </c>
      <c r="H29" s="1">
        <v>0.81812020708000788</v>
      </c>
    </row>
    <row r="30" spans="1:8" x14ac:dyDescent="0.25">
      <c r="A30" s="1" t="s">
        <v>14</v>
      </c>
      <c r="B30" s="1">
        <v>53.007150258683396</v>
      </c>
      <c r="C30" s="1">
        <v>8</v>
      </c>
      <c r="D30" s="2">
        <f t="shared" si="1"/>
        <v>9.4027697066014614E-3</v>
      </c>
      <c r="E30" s="1">
        <v>0</v>
      </c>
      <c r="F30" s="1">
        <v>6.6258937823354245</v>
      </c>
      <c r="G30" s="1">
        <v>893694.01303666912</v>
      </c>
      <c r="H30" s="1">
        <v>0</v>
      </c>
    </row>
    <row r="31" spans="1:8" x14ac:dyDescent="0.25">
      <c r="A31" s="1" t="s">
        <v>15</v>
      </c>
      <c r="B31" s="1">
        <v>3.1731414305795624E-2</v>
      </c>
      <c r="C31" s="1">
        <v>24</v>
      </c>
      <c r="D31" s="2">
        <f t="shared" si="1"/>
        <v>5.628734608936628E-6</v>
      </c>
      <c r="E31" s="1">
        <v>0</v>
      </c>
      <c r="F31" s="1">
        <v>1.3221422627414843E-3</v>
      </c>
      <c r="G31" s="1">
        <v>178.32924333090423</v>
      </c>
      <c r="H31" s="1">
        <v>9.0401506260093554E-95</v>
      </c>
    </row>
    <row r="32" spans="1:8" x14ac:dyDescent="0.25">
      <c r="A32" s="1" t="s">
        <v>16</v>
      </c>
      <c r="B32" s="1">
        <v>1.7904794879541441E-2</v>
      </c>
      <c r="C32" s="1">
        <v>12</v>
      </c>
      <c r="D32" s="2">
        <f t="shared" si="1"/>
        <v>3.1760745875729494E-6</v>
      </c>
      <c r="E32" s="1">
        <v>0</v>
      </c>
      <c r="F32" s="1">
        <v>1.4920662399617868E-3</v>
      </c>
      <c r="G32" s="1">
        <v>201.24842164885754</v>
      </c>
      <c r="H32" s="1">
        <v>1.5596181536251079E-83</v>
      </c>
    </row>
    <row r="33" spans="1:8" x14ac:dyDescent="0.25">
      <c r="A33" s="1" t="s">
        <v>17</v>
      </c>
      <c r="B33" s="1">
        <v>0.28154580172304122</v>
      </c>
      <c r="C33" s="1">
        <v>24</v>
      </c>
      <c r="D33" s="2">
        <f t="shared" si="1"/>
        <v>4.9942513840923997E-5</v>
      </c>
      <c r="E33" s="1">
        <v>0</v>
      </c>
      <c r="F33" s="1">
        <v>1.1731075071793384E-2</v>
      </c>
      <c r="G33" s="1">
        <v>1582.2758261075196</v>
      </c>
      <c r="H33" s="1">
        <v>5.6278640789690478E-162</v>
      </c>
    </row>
    <row r="34" spans="1:8" x14ac:dyDescent="0.25">
      <c r="A34" s="1" t="s">
        <v>18</v>
      </c>
      <c r="B34" s="1">
        <v>5.5810361482144799E-4</v>
      </c>
      <c r="C34" s="1">
        <v>72</v>
      </c>
      <c r="D34" s="2">
        <f t="shared" si="1"/>
        <v>9.9000224252354016E-8</v>
      </c>
      <c r="E34" s="1">
        <v>0</v>
      </c>
      <c r="F34" s="1">
        <v>7.7514390947423326E-6</v>
      </c>
      <c r="G34" s="1">
        <v>1.045506453764476</v>
      </c>
      <c r="H34" s="1">
        <v>0.40488446356817798</v>
      </c>
    </row>
    <row r="35" spans="1:8" x14ac:dyDescent="0.25">
      <c r="A35" s="1" t="s">
        <v>19</v>
      </c>
      <c r="B35" s="1">
        <v>1.7523947462905198E-4</v>
      </c>
      <c r="C35" s="1">
        <v>36</v>
      </c>
      <c r="D35" s="2">
        <f t="shared" si="1"/>
        <v>3.1085172762572359E-8</v>
      </c>
      <c r="E35" s="1">
        <v>0</v>
      </c>
      <c r="F35" s="1">
        <v>4.8677631841403327E-6</v>
      </c>
      <c r="G35" s="1">
        <v>0.65655909337761587</v>
      </c>
      <c r="H35" s="1">
        <v>0.9293477946961537</v>
      </c>
    </row>
    <row r="36" spans="1:8" x14ac:dyDescent="0.25">
      <c r="A36" s="1" t="s">
        <v>20</v>
      </c>
      <c r="B36" s="1">
        <v>3.0071449462411692E-2</v>
      </c>
      <c r="C36" s="1">
        <v>48</v>
      </c>
      <c r="D36" s="2">
        <f t="shared" si="1"/>
        <v>5.3342787276597992E-6</v>
      </c>
      <c r="E36" s="1">
        <v>0</v>
      </c>
      <c r="F36" s="1">
        <v>6.2648853046691022E-4</v>
      </c>
      <c r="G36" s="1">
        <v>84.500154591532677</v>
      </c>
      <c r="H36" s="1">
        <v>9.9794427810043051E-85</v>
      </c>
    </row>
    <row r="37" spans="1:8" x14ac:dyDescent="0.25">
      <c r="A37" s="1" t="s">
        <v>21</v>
      </c>
      <c r="B37" s="1">
        <v>1.0676234714992461E-3</v>
      </c>
      <c r="C37" s="1">
        <v>144</v>
      </c>
      <c r="D37" s="2">
        <f t="shared" si="1"/>
        <v>1.8938233024940475E-7</v>
      </c>
      <c r="E37" s="1">
        <v>0</v>
      </c>
      <c r="F37" s="1">
        <v>7.4140518854114307E-6</v>
      </c>
      <c r="G37" s="1"/>
      <c r="H37" s="1"/>
    </row>
    <row r="38" spans="1:8" x14ac:dyDescent="0.25">
      <c r="A38" s="1" t="s">
        <v>22</v>
      </c>
      <c r="B38" s="1">
        <v>5637.3974810282052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26" sqref="D26"/>
    </sheetView>
  </sheetViews>
  <sheetFormatPr defaultRowHeight="15" x14ac:dyDescent="0.25"/>
  <sheetData>
    <row r="1" spans="1:8" x14ac:dyDescent="0.25">
      <c r="A1" s="1"/>
      <c r="B1" s="1"/>
      <c r="C1" s="1"/>
      <c r="D1" s="1" t="s">
        <v>23</v>
      </c>
      <c r="E1" s="1"/>
      <c r="F1" s="1"/>
      <c r="G1" s="1"/>
      <c r="H1" s="1"/>
    </row>
    <row r="2" spans="1:8" x14ac:dyDescent="0.25">
      <c r="A2" s="1"/>
      <c r="B2" s="1"/>
      <c r="C2" s="1"/>
      <c r="D2" s="2" t="e">
        <f>B2/$B$17</f>
        <v>#DIV/0!</v>
      </c>
      <c r="E2" s="1"/>
      <c r="F2" s="1"/>
      <c r="G2" s="1"/>
      <c r="H2" s="1"/>
    </row>
    <row r="3" spans="1:8" x14ac:dyDescent="0.25">
      <c r="A3" s="1"/>
      <c r="B3" s="1"/>
      <c r="C3" s="1"/>
      <c r="D3" s="2" t="e">
        <f t="shared" ref="D3:D17" si="0">B3/$B$17</f>
        <v>#DIV/0!</v>
      </c>
      <c r="E3" s="1"/>
      <c r="F3" s="1"/>
      <c r="G3" s="1"/>
      <c r="H3" s="1"/>
    </row>
    <row r="4" spans="1:8" x14ac:dyDescent="0.25">
      <c r="A4" s="1"/>
      <c r="B4" s="1"/>
      <c r="C4" s="1"/>
      <c r="D4" s="2" t="e">
        <f t="shared" si="0"/>
        <v>#DIV/0!</v>
      </c>
      <c r="E4" s="1"/>
      <c r="F4" s="1"/>
      <c r="G4" s="1"/>
      <c r="H4" s="1"/>
    </row>
    <row r="5" spans="1:8" x14ac:dyDescent="0.25">
      <c r="A5" s="1"/>
      <c r="B5" s="1"/>
      <c r="C5" s="1"/>
      <c r="D5" s="2" t="e">
        <f t="shared" si="0"/>
        <v>#DIV/0!</v>
      </c>
      <c r="E5" s="1"/>
      <c r="F5" s="1"/>
      <c r="G5" s="1"/>
      <c r="H5" s="1"/>
    </row>
    <row r="6" spans="1:8" x14ac:dyDescent="0.25">
      <c r="A6" s="1"/>
      <c r="B6" s="1"/>
      <c r="C6" s="1"/>
      <c r="D6" s="2" t="e">
        <f t="shared" si="0"/>
        <v>#DIV/0!</v>
      </c>
      <c r="E6" s="1"/>
      <c r="F6" s="1"/>
      <c r="G6" s="1"/>
      <c r="H6" s="1"/>
    </row>
    <row r="7" spans="1:8" x14ac:dyDescent="0.25">
      <c r="A7" s="1"/>
      <c r="B7" s="1"/>
      <c r="C7" s="1"/>
      <c r="D7" s="2" t="e">
        <f t="shared" si="0"/>
        <v>#DIV/0!</v>
      </c>
      <c r="E7" s="1"/>
      <c r="F7" s="1"/>
      <c r="G7" s="1"/>
      <c r="H7" s="1"/>
    </row>
    <row r="8" spans="1:8" x14ac:dyDescent="0.25">
      <c r="A8" s="1"/>
      <c r="B8" s="1"/>
      <c r="C8" s="1"/>
      <c r="D8" s="2" t="e">
        <f t="shared" si="0"/>
        <v>#DIV/0!</v>
      </c>
      <c r="E8" s="1"/>
      <c r="F8" s="1"/>
      <c r="G8" s="1"/>
      <c r="H8" s="1"/>
    </row>
    <row r="9" spans="1:8" x14ac:dyDescent="0.25">
      <c r="A9" s="1"/>
      <c r="B9" s="1"/>
      <c r="C9" s="1"/>
      <c r="D9" s="2" t="e">
        <f t="shared" si="0"/>
        <v>#DIV/0!</v>
      </c>
      <c r="E9" s="1"/>
      <c r="F9" s="1"/>
      <c r="G9" s="1"/>
      <c r="H9" s="1"/>
    </row>
    <row r="10" spans="1:8" x14ac:dyDescent="0.25">
      <c r="A10" s="1"/>
      <c r="B10" s="1"/>
      <c r="C10" s="1"/>
      <c r="D10" s="2" t="e">
        <f t="shared" si="0"/>
        <v>#DIV/0!</v>
      </c>
      <c r="E10" s="1"/>
      <c r="F10" s="1"/>
      <c r="G10" s="1"/>
      <c r="H10" s="1"/>
    </row>
    <row r="11" spans="1:8" x14ac:dyDescent="0.25">
      <c r="A11" s="1"/>
      <c r="B11" s="1"/>
      <c r="C11" s="1"/>
      <c r="D11" s="2" t="e">
        <f t="shared" si="0"/>
        <v>#DIV/0!</v>
      </c>
      <c r="E11" s="1"/>
      <c r="F11" s="1"/>
      <c r="G11" s="1"/>
      <c r="H11" s="1"/>
    </row>
    <row r="12" spans="1:8" x14ac:dyDescent="0.25">
      <c r="A12" s="1"/>
      <c r="B12" s="1"/>
      <c r="C12" s="1"/>
      <c r="D12" s="2" t="e">
        <f t="shared" si="0"/>
        <v>#DIV/0!</v>
      </c>
      <c r="E12" s="1"/>
      <c r="F12" s="1"/>
      <c r="G12" s="1"/>
      <c r="H12" s="1"/>
    </row>
    <row r="13" spans="1:8" x14ac:dyDescent="0.25">
      <c r="A13" s="1"/>
      <c r="B13" s="1"/>
      <c r="C13" s="1"/>
      <c r="D13" s="2" t="e">
        <f t="shared" si="0"/>
        <v>#DIV/0!</v>
      </c>
      <c r="E13" s="1"/>
      <c r="F13" s="1"/>
      <c r="G13" s="1"/>
      <c r="H13" s="1"/>
    </row>
    <row r="14" spans="1:8" x14ac:dyDescent="0.25">
      <c r="A14" s="1"/>
      <c r="B14" s="1"/>
      <c r="C14" s="1"/>
      <c r="D14" s="2" t="e">
        <f t="shared" si="0"/>
        <v>#DIV/0!</v>
      </c>
      <c r="E14" s="1"/>
      <c r="F14" s="1"/>
      <c r="G14" s="1"/>
      <c r="H14" s="1"/>
    </row>
    <row r="15" spans="1:8" x14ac:dyDescent="0.25">
      <c r="A15" s="1"/>
      <c r="B15" s="1"/>
      <c r="C15" s="1"/>
      <c r="D15" s="2" t="e">
        <f t="shared" si="0"/>
        <v>#DIV/0!</v>
      </c>
      <c r="E15" s="1"/>
      <c r="F15" s="1"/>
      <c r="G15" s="1"/>
      <c r="H15" s="1"/>
    </row>
    <row r="16" spans="1:8" x14ac:dyDescent="0.25">
      <c r="A16" s="1"/>
      <c r="B16" s="1"/>
      <c r="C16" s="1"/>
      <c r="D16" s="2" t="e">
        <f t="shared" si="0"/>
        <v>#DIV/0!</v>
      </c>
      <c r="E16" s="1"/>
      <c r="F16" s="1"/>
      <c r="G16" s="1"/>
      <c r="H16" s="1"/>
    </row>
    <row r="17" spans="1:8" x14ac:dyDescent="0.25">
      <c r="A17" s="1"/>
      <c r="B17" s="1"/>
      <c r="C17" s="1"/>
      <c r="D17" s="2" t="e">
        <f t="shared" si="0"/>
        <v>#DIV/0!</v>
      </c>
      <c r="E17" s="1"/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10.660229595640885</v>
      </c>
      <c r="C23" s="1">
        <v>3</v>
      </c>
      <c r="D23" s="2">
        <f>B23/$B$38</f>
        <v>2.1490419299512267E-3</v>
      </c>
      <c r="E23" s="1">
        <v>0</v>
      </c>
      <c r="F23" s="1">
        <v>3.5534098652136286</v>
      </c>
      <c r="G23" s="1">
        <v>252422.56740567827</v>
      </c>
      <c r="H23" s="1">
        <v>1.1844773778421544E-267</v>
      </c>
    </row>
    <row r="24" spans="1:8" x14ac:dyDescent="0.25">
      <c r="A24" s="1" t="s">
        <v>8</v>
      </c>
      <c r="B24" s="1">
        <v>4653.1866376912903</v>
      </c>
      <c r="C24" s="1">
        <v>4</v>
      </c>
      <c r="D24" s="2">
        <f>B24/$B$38</f>
        <v>0.93805608055350354</v>
      </c>
      <c r="E24" s="1">
        <v>0</v>
      </c>
      <c r="F24" s="1">
        <v>1163.2966594228226</v>
      </c>
      <c r="G24" s="1">
        <v>82636774.412259996</v>
      </c>
      <c r="H24" s="1">
        <v>0</v>
      </c>
    </row>
    <row r="25" spans="1:8" x14ac:dyDescent="0.25">
      <c r="A25" s="1" t="s">
        <v>9</v>
      </c>
      <c r="B25" s="1">
        <v>259.94318245695285</v>
      </c>
      <c r="C25" s="1">
        <v>2</v>
      </c>
      <c r="D25" s="2">
        <f t="shared" ref="D25:D38" si="1">B25/$B$38</f>
        <v>5.2403073826232112E-2</v>
      </c>
      <c r="E25" s="1">
        <v>0</v>
      </c>
      <c r="F25" s="1">
        <v>129.97159122847643</v>
      </c>
      <c r="G25" s="1">
        <v>9232755.0133935865</v>
      </c>
      <c r="H25" s="1">
        <v>0</v>
      </c>
    </row>
    <row r="26" spans="1:8" x14ac:dyDescent="0.25">
      <c r="A26" s="1" t="s">
        <v>10</v>
      </c>
      <c r="B26" s="1">
        <v>8.7329489645526337E-2</v>
      </c>
      <c r="C26" s="1">
        <v>6</v>
      </c>
      <c r="D26" s="2">
        <f t="shared" si="1"/>
        <v>1.7605130666812313E-5</v>
      </c>
      <c r="E26" s="1">
        <v>0</v>
      </c>
      <c r="F26" s="1">
        <v>1.4554914940921057E-2</v>
      </c>
      <c r="G26" s="1">
        <v>1033.9333589759372</v>
      </c>
      <c r="H26" s="1">
        <v>1.0618916693550789E-115</v>
      </c>
    </row>
    <row r="27" spans="1:8" x14ac:dyDescent="0.25">
      <c r="A27" s="1" t="s">
        <v>11</v>
      </c>
      <c r="B27" s="1">
        <v>5.7491070608721202</v>
      </c>
      <c r="C27" s="1">
        <v>12</v>
      </c>
      <c r="D27" s="2">
        <f t="shared" si="1"/>
        <v>1.158987432939062E-3</v>
      </c>
      <c r="E27" s="1">
        <v>0</v>
      </c>
      <c r="F27" s="1">
        <v>0.47909225507267666</v>
      </c>
      <c r="G27" s="1">
        <v>34033.140458552392</v>
      </c>
      <c r="H27" s="1">
        <v>4.8760058559623762E-242</v>
      </c>
    </row>
    <row r="28" spans="1:8" x14ac:dyDescent="0.25">
      <c r="A28" s="1" t="s">
        <v>12</v>
      </c>
      <c r="B28" s="1">
        <v>1.6002808090788676</v>
      </c>
      <c r="C28" s="1">
        <v>6</v>
      </c>
      <c r="D28" s="2">
        <f t="shared" si="1"/>
        <v>3.2260755057405546E-4</v>
      </c>
      <c r="E28" s="1">
        <v>0</v>
      </c>
      <c r="F28" s="1">
        <v>0.26671346817981129</v>
      </c>
      <c r="G28" s="1">
        <v>18946.448890880518</v>
      </c>
      <c r="H28" s="1">
        <v>6.0822146810702397E-206</v>
      </c>
    </row>
    <row r="29" spans="1:8" x14ac:dyDescent="0.25">
      <c r="A29" s="1" t="s">
        <v>13</v>
      </c>
      <c r="B29" s="1">
        <v>1.1619041197263869E-4</v>
      </c>
      <c r="C29" s="1">
        <v>18</v>
      </c>
      <c r="D29" s="2">
        <f t="shared" si="1"/>
        <v>2.3423329201991344E-8</v>
      </c>
      <c r="E29" s="1">
        <v>0</v>
      </c>
      <c r="F29" s="1">
        <v>6.4550228873688157E-6</v>
      </c>
      <c r="G29" s="1">
        <v>0.45854362758518791</v>
      </c>
      <c r="H29" s="1">
        <v>0.970883361564439</v>
      </c>
    </row>
    <row r="30" spans="1:8" x14ac:dyDescent="0.25">
      <c r="A30" s="1" t="s">
        <v>14</v>
      </c>
      <c r="B30" s="1">
        <v>27.756187702447278</v>
      </c>
      <c r="C30" s="1">
        <v>8</v>
      </c>
      <c r="D30" s="2">
        <f t="shared" si="1"/>
        <v>5.5954902896788623E-3</v>
      </c>
      <c r="E30" s="1">
        <v>0</v>
      </c>
      <c r="F30" s="1">
        <v>3.4695234628059097</v>
      </c>
      <c r="G30" s="1">
        <v>246463.55286207757</v>
      </c>
      <c r="H30" s="1">
        <v>1.0011813965958911E-293</v>
      </c>
    </row>
    <row r="31" spans="1:8" x14ac:dyDescent="0.25">
      <c r="A31" s="1" t="s">
        <v>15</v>
      </c>
      <c r="B31" s="1">
        <v>8.9856329169379023E-2</v>
      </c>
      <c r="C31" s="1">
        <v>24</v>
      </c>
      <c r="D31" s="2">
        <f t="shared" si="1"/>
        <v>1.8114527208256218E-5</v>
      </c>
      <c r="E31" s="1">
        <v>0</v>
      </c>
      <c r="F31" s="1">
        <v>3.7440137153907926E-3</v>
      </c>
      <c r="G31" s="1">
        <v>265.96243897808819</v>
      </c>
      <c r="H31" s="1">
        <v>7.0000937227181371E-107</v>
      </c>
    </row>
    <row r="32" spans="1:8" x14ac:dyDescent="0.25">
      <c r="A32" s="1" t="s">
        <v>16</v>
      </c>
      <c r="B32" s="1">
        <v>4.7120545642428624E-2</v>
      </c>
      <c r="C32" s="1">
        <v>12</v>
      </c>
      <c r="D32" s="2">
        <f t="shared" si="1"/>
        <v>9.499235212454328E-6</v>
      </c>
      <c r="E32" s="1">
        <v>0</v>
      </c>
      <c r="F32" s="1">
        <v>3.9267121368690523E-3</v>
      </c>
      <c r="G32" s="1">
        <v>278.94073485720276</v>
      </c>
      <c r="H32" s="1">
        <v>3.2559684002204962E-93</v>
      </c>
    </row>
    <row r="33" spans="1:8" x14ac:dyDescent="0.25">
      <c r="A33" s="1" t="s">
        <v>17</v>
      </c>
      <c r="B33" s="1">
        <v>1.2778898531369123</v>
      </c>
      <c r="C33" s="1">
        <v>24</v>
      </c>
      <c r="D33" s="2">
        <f t="shared" si="1"/>
        <v>2.5761535918264033E-4</v>
      </c>
      <c r="E33" s="1">
        <v>0</v>
      </c>
      <c r="F33" s="1">
        <v>5.3245410547371343E-2</v>
      </c>
      <c r="G33" s="1">
        <v>3782.3791070408456</v>
      </c>
      <c r="H33" s="1">
        <v>3.7907716787683011E-189</v>
      </c>
    </row>
    <row r="34" spans="1:8" x14ac:dyDescent="0.25">
      <c r="A34" s="1" t="s">
        <v>18</v>
      </c>
      <c r="B34" s="1">
        <v>7.4571538880263688E-4</v>
      </c>
      <c r="C34" s="1">
        <v>72</v>
      </c>
      <c r="D34" s="2">
        <f t="shared" si="1"/>
        <v>1.5033200026030045E-7</v>
      </c>
      <c r="E34" s="1">
        <v>0</v>
      </c>
      <c r="F34" s="1">
        <v>1.0357158177814401E-5</v>
      </c>
      <c r="G34" s="1">
        <v>0.73573850398297713</v>
      </c>
      <c r="H34" s="1">
        <v>0.9263968690664437</v>
      </c>
    </row>
    <row r="35" spans="1:8" x14ac:dyDescent="0.25">
      <c r="A35" s="1" t="s">
        <v>19</v>
      </c>
      <c r="B35" s="1">
        <v>5.5383337803505128E-4</v>
      </c>
      <c r="C35" s="1">
        <v>36</v>
      </c>
      <c r="D35" s="2">
        <f t="shared" si="1"/>
        <v>1.1164967329508058E-7</v>
      </c>
      <c r="E35" s="1">
        <v>0</v>
      </c>
      <c r="F35" s="1">
        <v>1.5384260500973647E-5</v>
      </c>
      <c r="G35" s="1">
        <v>1.0928473439863293</v>
      </c>
      <c r="H35" s="1">
        <v>0.34769740389069431</v>
      </c>
    </row>
    <row r="36" spans="1:8" x14ac:dyDescent="0.25">
      <c r="A36" s="1" t="s">
        <v>20</v>
      </c>
      <c r="B36" s="1">
        <v>5.5508026161078305E-2</v>
      </c>
      <c r="C36" s="1">
        <v>48</v>
      </c>
      <c r="D36" s="2">
        <f t="shared" si="1"/>
        <v>1.1190103796429098E-5</v>
      </c>
      <c r="E36" s="1">
        <v>0</v>
      </c>
      <c r="F36" s="1">
        <v>1.1564172116891314E-3</v>
      </c>
      <c r="G36" s="1">
        <v>82.148081037405774</v>
      </c>
      <c r="H36" s="1">
        <v>6.9420976207046041E-84</v>
      </c>
    </row>
    <row r="37" spans="1:8" x14ac:dyDescent="0.25">
      <c r="A37" s="1" t="s">
        <v>21</v>
      </c>
      <c r="B37" s="1">
        <v>2.0271207358746324E-3</v>
      </c>
      <c r="C37" s="1">
        <v>144</v>
      </c>
      <c r="D37" s="2">
        <f t="shared" si="1"/>
        <v>4.0865606311608419E-7</v>
      </c>
      <c r="E37" s="1">
        <v>0</v>
      </c>
      <c r="F37" s="1">
        <v>1.4077227332462724E-5</v>
      </c>
      <c r="G37" s="1"/>
      <c r="H37" s="1"/>
    </row>
    <row r="38" spans="1:8" x14ac:dyDescent="0.25">
      <c r="A38" s="1" t="s">
        <v>22</v>
      </c>
      <c r="B38" s="1">
        <v>4960.456772419896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19" workbookViewId="0">
      <selection activeCell="D9" sqref="D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>
        <v>9.4160140511643894E+18</v>
      </c>
      <c r="C2" s="1">
        <v>3</v>
      </c>
      <c r="D2" s="2">
        <f>B2/$B$17</f>
        <v>5.3726411308360443E-2</v>
      </c>
      <c r="E2" s="1">
        <v>0</v>
      </c>
      <c r="F2" s="1">
        <v>3.1386713503881298E+18</v>
      </c>
      <c r="G2" s="1">
        <v>47494.167300015499</v>
      </c>
      <c r="H2" s="1">
        <v>1.9179589939833081E-215</v>
      </c>
    </row>
    <row r="3" spans="1:8" x14ac:dyDescent="0.25">
      <c r="A3" s="1" t="s">
        <v>8</v>
      </c>
      <c r="B3" s="1">
        <v>3.7643832891459715E+19</v>
      </c>
      <c r="C3" s="1">
        <v>4</v>
      </c>
      <c r="D3" s="2">
        <f t="shared" ref="D3:D17" si="0">B3/$B$17</f>
        <v>0.21479025393973925</v>
      </c>
      <c r="E3" s="1">
        <v>0</v>
      </c>
      <c r="F3" s="1">
        <v>9.4109582228649288E+18</v>
      </c>
      <c r="G3" s="1">
        <v>142405.99744058307</v>
      </c>
      <c r="H3" s="1">
        <v>7.1623357917028957E-258</v>
      </c>
    </row>
    <row r="4" spans="1:8" x14ac:dyDescent="0.25">
      <c r="A4" s="1" t="s">
        <v>9</v>
      </c>
      <c r="B4" s="1">
        <v>9.3942128538815414E+19</v>
      </c>
      <c r="C4" s="1">
        <v>2</v>
      </c>
      <c r="D4" s="2">
        <f t="shared" si="0"/>
        <v>0.53602016836785915</v>
      </c>
      <c r="E4" s="1">
        <v>0</v>
      </c>
      <c r="F4" s="1">
        <v>4.6971064269407707E+19</v>
      </c>
      <c r="G4" s="1">
        <v>710763.03812285454</v>
      </c>
      <c r="H4" s="1">
        <v>2.5152677454460482E-288</v>
      </c>
    </row>
    <row r="5" spans="1:8" x14ac:dyDescent="0.25">
      <c r="A5" s="1" t="s">
        <v>10</v>
      </c>
      <c r="B5" s="1">
        <v>1.7015905499356201E+18</v>
      </c>
      <c r="C5" s="1">
        <v>6</v>
      </c>
      <c r="D5" s="2">
        <f t="shared" si="0"/>
        <v>9.7090290294283583E-3</v>
      </c>
      <c r="E5" s="1">
        <v>0</v>
      </c>
      <c r="F5" s="1">
        <v>2.8359842498927002E+17</v>
      </c>
      <c r="G5" s="1">
        <v>4291.3926113339867</v>
      </c>
      <c r="H5" s="1">
        <v>1.2036322587147627E-159</v>
      </c>
    </row>
    <row r="6" spans="1:8" x14ac:dyDescent="0.25">
      <c r="A6" s="1" t="s">
        <v>11</v>
      </c>
      <c r="B6" s="1">
        <v>8.8811360457401958E+17</v>
      </c>
      <c r="C6" s="1">
        <v>12</v>
      </c>
      <c r="D6" s="2">
        <f t="shared" si="0"/>
        <v>5.0674474940905472E-3</v>
      </c>
      <c r="E6" s="1">
        <v>0</v>
      </c>
      <c r="F6" s="1">
        <v>7.400946704783496E+16</v>
      </c>
      <c r="G6" s="1">
        <v>1119.9063607982366</v>
      </c>
      <c r="H6" s="1">
        <v>1.2577880218812673E-135</v>
      </c>
    </row>
    <row r="7" spans="1:8" x14ac:dyDescent="0.25">
      <c r="A7" s="1" t="s">
        <v>12</v>
      </c>
      <c r="B7" s="1">
        <v>6.535033542970114E+18</v>
      </c>
      <c r="C7" s="1">
        <v>6</v>
      </c>
      <c r="D7" s="2">
        <f t="shared" si="0"/>
        <v>3.7287954131730153E-2</v>
      </c>
      <c r="E7" s="1">
        <v>0</v>
      </c>
      <c r="F7" s="1">
        <v>1.0891722571616856E+18</v>
      </c>
      <c r="G7" s="1">
        <v>16481.282563647743</v>
      </c>
      <c r="H7" s="1">
        <v>1.3697269872353221E-201</v>
      </c>
    </row>
    <row r="8" spans="1:8" x14ac:dyDescent="0.25">
      <c r="A8" s="1" t="s">
        <v>13</v>
      </c>
      <c r="B8" s="1">
        <v>1.315023253127168E+17</v>
      </c>
      <c r="C8" s="1">
        <v>18</v>
      </c>
      <c r="D8" s="2">
        <f t="shared" si="0"/>
        <v>7.5033320674401096E-4</v>
      </c>
      <c r="E8" s="1">
        <v>0</v>
      </c>
      <c r="F8" s="1">
        <v>7305684739595378</v>
      </c>
      <c r="G8" s="1">
        <v>110.54913832268727</v>
      </c>
      <c r="H8" s="1">
        <v>8.4084368685763382E-75</v>
      </c>
    </row>
    <row r="9" spans="1:8" x14ac:dyDescent="0.25">
      <c r="A9" s="1" t="s">
        <v>14</v>
      </c>
      <c r="B9" s="1">
        <v>2.2070849284870144E+19</v>
      </c>
      <c r="C9" s="1">
        <v>8</v>
      </c>
      <c r="D9" s="2">
        <f t="shared" si="0"/>
        <v>0.1259330668115487</v>
      </c>
      <c r="E9" s="1">
        <v>0</v>
      </c>
      <c r="F9" s="1">
        <v>2.758856160608768E+18</v>
      </c>
      <c r="G9" s="1">
        <v>41746.828967113128</v>
      </c>
      <c r="H9" s="1">
        <v>3.2371296233330792E-238</v>
      </c>
    </row>
    <row r="10" spans="1:8" x14ac:dyDescent="0.25">
      <c r="A10" s="1" t="s">
        <v>15</v>
      </c>
      <c r="B10" s="1">
        <v>6.9887357322054861E+17</v>
      </c>
      <c r="C10" s="1">
        <v>24</v>
      </c>
      <c r="D10" s="2">
        <f t="shared" si="0"/>
        <v>3.9876713058587202E-3</v>
      </c>
      <c r="E10" s="1">
        <v>0</v>
      </c>
      <c r="F10" s="1">
        <v>2.911973221752286E+16</v>
      </c>
      <c r="G10" s="1">
        <v>440.6378621003621</v>
      </c>
      <c r="H10" s="1">
        <v>2.3676928929883037E-122</v>
      </c>
    </row>
    <row r="11" spans="1:8" x14ac:dyDescent="0.25">
      <c r="A11" s="1" t="s">
        <v>16</v>
      </c>
      <c r="B11" s="1">
        <v>1.2372561168071393E+18</v>
      </c>
      <c r="C11" s="1">
        <v>12</v>
      </c>
      <c r="D11" s="2">
        <f t="shared" si="0"/>
        <v>7.0596040600794446E-3</v>
      </c>
      <c r="E11" s="1">
        <v>0</v>
      </c>
      <c r="F11" s="1">
        <v>1.0310467640059494E+17</v>
      </c>
      <c r="G11" s="1">
        <v>1560.1731445308112</v>
      </c>
      <c r="H11" s="1">
        <v>6.7975543357697832E-146</v>
      </c>
    </row>
    <row r="12" spans="1:8" x14ac:dyDescent="0.25">
      <c r="A12" s="1" t="s">
        <v>17</v>
      </c>
      <c r="B12" s="1">
        <v>4.3748536682522214E+17</v>
      </c>
      <c r="C12" s="1">
        <v>24</v>
      </c>
      <c r="D12" s="2">
        <f t="shared" si="0"/>
        <v>2.4962280888412916E-3</v>
      </c>
      <c r="E12" s="1">
        <v>0</v>
      </c>
      <c r="F12" s="1">
        <v>1.8228556951050924E+16</v>
      </c>
      <c r="G12" s="1">
        <v>275.83331824914188</v>
      </c>
      <c r="H12" s="1">
        <v>5.4202424954270377E-108</v>
      </c>
    </row>
    <row r="13" spans="1:8" x14ac:dyDescent="0.25">
      <c r="A13" s="1" t="s">
        <v>18</v>
      </c>
      <c r="B13" s="1">
        <v>1.8189058768830464E+16</v>
      </c>
      <c r="C13" s="1">
        <v>72</v>
      </c>
      <c r="D13" s="2">
        <f t="shared" si="0"/>
        <v>1.0378413279930064E-4</v>
      </c>
      <c r="E13" s="1">
        <v>0</v>
      </c>
      <c r="F13" s="1">
        <v>252625816233756.44</v>
      </c>
      <c r="G13" s="1">
        <v>3.8227171439995744</v>
      </c>
      <c r="H13" s="1">
        <v>3.9780465733353633E-12</v>
      </c>
    </row>
    <row r="14" spans="1:8" x14ac:dyDescent="0.25">
      <c r="A14" s="1" t="s">
        <v>19</v>
      </c>
      <c r="B14" s="1">
        <v>9.4209565414391808E+16</v>
      </c>
      <c r="C14" s="1">
        <v>36</v>
      </c>
      <c r="D14" s="2">
        <f t="shared" si="0"/>
        <v>5.3754612441445863E-4</v>
      </c>
      <c r="E14" s="1">
        <v>0</v>
      </c>
      <c r="F14" s="1">
        <v>2616932372621994.5</v>
      </c>
      <c r="G14" s="1">
        <v>39.599247593337815</v>
      </c>
      <c r="H14" s="1">
        <v>3.0571433534814551E-58</v>
      </c>
    </row>
    <row r="15" spans="1:8" x14ac:dyDescent="0.25">
      <c r="A15" s="1" t="s">
        <v>20</v>
      </c>
      <c r="B15" s="1">
        <v>4.3397586471269171E+17</v>
      </c>
      <c r="C15" s="1">
        <v>48</v>
      </c>
      <c r="D15" s="2">
        <f t="shared" si="0"/>
        <v>2.476203378495617E-3</v>
      </c>
      <c r="E15" s="1">
        <v>0</v>
      </c>
      <c r="F15" s="1">
        <v>9041163848181078</v>
      </c>
      <c r="G15" s="1">
        <v>136.81029341898568</v>
      </c>
      <c r="H15" s="1">
        <v>2.9844340920947411E-99</v>
      </c>
    </row>
    <row r="16" spans="1:8" x14ac:dyDescent="0.25">
      <c r="A16" s="1" t="s">
        <v>21</v>
      </c>
      <c r="B16" s="1">
        <v>9516298529898496</v>
      </c>
      <c r="C16" s="1">
        <v>144</v>
      </c>
      <c r="D16" s="2">
        <f t="shared" si="0"/>
        <v>5.4298620007607965E-5</v>
      </c>
      <c r="E16" s="1">
        <v>0</v>
      </c>
      <c r="F16" s="1">
        <v>66085406457628.445</v>
      </c>
      <c r="G16" s="1"/>
      <c r="H16" s="1"/>
    </row>
    <row r="17" spans="1:8" x14ac:dyDescent="0.25">
      <c r="A17" s="1" t="s">
        <v>22</v>
      </c>
      <c r="B17" s="1">
        <v>1.7525857063338138E+20</v>
      </c>
      <c r="C17" s="1">
        <v>419</v>
      </c>
      <c r="D17" s="2">
        <f t="shared" si="0"/>
        <v>1</v>
      </c>
      <c r="E17" s="1">
        <v>0</v>
      </c>
      <c r="F17" s="1"/>
      <c r="G17" s="1"/>
      <c r="H17" s="1"/>
    </row>
    <row r="22" spans="1:8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 t="s">
        <v>3</v>
      </c>
      <c r="F22" s="1" t="s">
        <v>4</v>
      </c>
      <c r="G22" s="1" t="s">
        <v>5</v>
      </c>
      <c r="H22" s="1" t="s">
        <v>6</v>
      </c>
    </row>
    <row r="23" spans="1:8" x14ac:dyDescent="0.25">
      <c r="A23" s="1" t="s">
        <v>7</v>
      </c>
      <c r="B23" s="1">
        <v>0.16738495506027107</v>
      </c>
      <c r="C23" s="1">
        <v>3</v>
      </c>
      <c r="D23" s="2">
        <f>B23/$B$38</f>
        <v>8.2629275849216888E-4</v>
      </c>
      <c r="E23" s="1">
        <v>0</v>
      </c>
      <c r="F23" s="1">
        <v>5.5794985020090358E-2</v>
      </c>
      <c r="G23" s="1">
        <v>15783.151137515339</v>
      </c>
      <c r="H23" s="1">
        <v>4.6472062059886649E-181</v>
      </c>
    </row>
    <row r="24" spans="1:8" x14ac:dyDescent="0.25">
      <c r="A24" s="1" t="s">
        <v>8</v>
      </c>
      <c r="B24" s="1">
        <v>195.20793123144853</v>
      </c>
      <c r="C24" s="1">
        <v>4</v>
      </c>
      <c r="D24" s="2">
        <f t="shared" ref="D24:D38" si="1">B24/$B$38</f>
        <v>0.96364036970170697</v>
      </c>
      <c r="E24" s="1">
        <v>0</v>
      </c>
      <c r="F24" s="1">
        <v>48.801982807862132</v>
      </c>
      <c r="G24" s="1">
        <v>13804987.494656842</v>
      </c>
      <c r="H24" s="1">
        <v>0</v>
      </c>
    </row>
    <row r="25" spans="1:8" x14ac:dyDescent="0.25">
      <c r="A25" s="1" t="s">
        <v>9</v>
      </c>
      <c r="B25" s="1">
        <v>6.2139881121215694</v>
      </c>
      <c r="C25" s="1">
        <v>2</v>
      </c>
      <c r="D25" s="2">
        <f t="shared" si="1"/>
        <v>3.0675238264715292E-2</v>
      </c>
      <c r="E25" s="1">
        <v>0</v>
      </c>
      <c r="F25" s="1">
        <v>3.1069940560607847</v>
      </c>
      <c r="G25" s="1">
        <v>878899.00414009928</v>
      </c>
      <c r="H25" s="1">
        <v>5.7779295491840797E-295</v>
      </c>
    </row>
    <row r="26" spans="1:8" x14ac:dyDescent="0.25">
      <c r="A26" s="1" t="s">
        <v>10</v>
      </c>
      <c r="B26" s="1">
        <v>3.3952657852864832E-4</v>
      </c>
      <c r="C26" s="1">
        <v>6</v>
      </c>
      <c r="D26" s="2">
        <f t="shared" si="1"/>
        <v>1.6760667232776477E-6</v>
      </c>
      <c r="E26" s="1">
        <v>0</v>
      </c>
      <c r="F26" s="1">
        <v>5.6587763088108055E-5</v>
      </c>
      <c r="G26" s="1">
        <v>16.007410290224588</v>
      </c>
      <c r="H26" s="1">
        <v>4.7294802263466617E-14</v>
      </c>
    </row>
    <row r="27" spans="1:8" x14ac:dyDescent="0.25">
      <c r="A27" s="1" t="s">
        <v>11</v>
      </c>
      <c r="B27" s="1">
        <v>7.7952762924837771E-4</v>
      </c>
      <c r="C27" s="1">
        <v>12</v>
      </c>
      <c r="D27" s="2">
        <f t="shared" si="1"/>
        <v>3.8481238344304735E-6</v>
      </c>
      <c r="E27" s="1">
        <v>0</v>
      </c>
      <c r="F27" s="1">
        <v>6.4960635770698147E-5</v>
      </c>
      <c r="G27" s="1">
        <v>18.375908372210073</v>
      </c>
      <c r="H27" s="1">
        <v>1.5238951747325885E-23</v>
      </c>
    </row>
    <row r="28" spans="1:8" x14ac:dyDescent="0.25">
      <c r="A28" s="1" t="s">
        <v>12</v>
      </c>
      <c r="B28" s="1">
        <v>0.10873379009095174</v>
      </c>
      <c r="C28" s="1">
        <v>6</v>
      </c>
      <c r="D28" s="2">
        <f t="shared" si="1"/>
        <v>5.3676235909738571E-4</v>
      </c>
      <c r="E28" s="1">
        <v>0</v>
      </c>
      <c r="F28" s="1">
        <v>1.8122298348491956E-2</v>
      </c>
      <c r="G28" s="1">
        <v>5126.3921603420467</v>
      </c>
      <c r="H28" s="1">
        <v>3.5500238513313065E-165</v>
      </c>
    </row>
    <row r="29" spans="1:8" x14ac:dyDescent="0.25">
      <c r="A29" s="1" t="s">
        <v>13</v>
      </c>
      <c r="B29" s="1">
        <v>5.8572214300056658E-5</v>
      </c>
      <c r="C29" s="1">
        <v>18</v>
      </c>
      <c r="D29" s="2">
        <f t="shared" si="1"/>
        <v>2.8914066086501897E-7</v>
      </c>
      <c r="E29" s="1">
        <v>0</v>
      </c>
      <c r="F29" s="1">
        <v>3.2540119055587033E-6</v>
      </c>
      <c r="G29" s="1">
        <v>0.92048705972793765</v>
      </c>
      <c r="H29" s="1">
        <v>0.55514437024901042</v>
      </c>
    </row>
    <row r="30" spans="1:8" x14ac:dyDescent="0.25">
      <c r="A30" s="1" t="s">
        <v>14</v>
      </c>
      <c r="B30" s="1">
        <v>0.86961373336026782</v>
      </c>
      <c r="C30" s="1">
        <v>8</v>
      </c>
      <c r="D30" s="2">
        <f t="shared" si="1"/>
        <v>4.2928322339495541E-3</v>
      </c>
      <c r="E30" s="1">
        <v>0</v>
      </c>
      <c r="F30" s="1">
        <v>0.10870171667003348</v>
      </c>
      <c r="G30" s="1">
        <v>30749.280109901363</v>
      </c>
      <c r="H30" s="1">
        <v>1.1639045311214454E-228</v>
      </c>
    </row>
    <row r="31" spans="1:8" x14ac:dyDescent="0.25">
      <c r="A31" s="1" t="s">
        <v>15</v>
      </c>
      <c r="B31" s="1">
        <v>3.4143096763727954E-4</v>
      </c>
      <c r="C31" s="1">
        <v>24</v>
      </c>
      <c r="D31" s="2">
        <f t="shared" si="1"/>
        <v>1.6854677051594824E-6</v>
      </c>
      <c r="E31" s="1">
        <v>0</v>
      </c>
      <c r="F31" s="1">
        <v>1.4226290318219981E-5</v>
      </c>
      <c r="G31" s="1">
        <v>4.0242987812934716</v>
      </c>
      <c r="H31" s="1">
        <v>8.0536078406378237E-8</v>
      </c>
    </row>
    <row r="32" spans="1:8" x14ac:dyDescent="0.25">
      <c r="A32" s="1" t="s">
        <v>16</v>
      </c>
      <c r="B32" s="1">
        <v>2.0333334416022808E-4</v>
      </c>
      <c r="C32" s="1">
        <v>12</v>
      </c>
      <c r="D32" s="2">
        <f t="shared" si="1"/>
        <v>1.0037513214917987E-6</v>
      </c>
      <c r="E32" s="1">
        <v>0</v>
      </c>
      <c r="F32" s="1">
        <v>1.6944445346685672E-5</v>
      </c>
      <c r="G32" s="1">
        <v>4.7932039367303583</v>
      </c>
      <c r="H32" s="1">
        <v>1.3892714047325152E-6</v>
      </c>
    </row>
    <row r="33" spans="1:8" x14ac:dyDescent="0.25">
      <c r="A33" s="1" t="s">
        <v>17</v>
      </c>
      <c r="B33" s="1">
        <v>2.9376041055400037E-3</v>
      </c>
      <c r="C33" s="1">
        <v>24</v>
      </c>
      <c r="D33" s="2">
        <f t="shared" si="1"/>
        <v>1.4501428750574111E-5</v>
      </c>
      <c r="E33" s="1">
        <v>0</v>
      </c>
      <c r="F33" s="1">
        <v>1.2240017106416681E-4</v>
      </c>
      <c r="G33" s="1">
        <v>34.624265934794366</v>
      </c>
      <c r="H33" s="1">
        <v>4.469816718617534E-48</v>
      </c>
    </row>
    <row r="34" spans="1:8" x14ac:dyDescent="0.25">
      <c r="A34" s="1" t="s">
        <v>18</v>
      </c>
      <c r="B34" s="1">
        <v>1.9381042810096005E-4</v>
      </c>
      <c r="C34" s="1">
        <v>72</v>
      </c>
      <c r="D34" s="2">
        <f t="shared" si="1"/>
        <v>9.5674162114765095E-7</v>
      </c>
      <c r="E34" s="1">
        <v>0</v>
      </c>
      <c r="F34" s="1">
        <v>2.6918115014022228E-6</v>
      </c>
      <c r="G34" s="1">
        <v>0.76145316187531009</v>
      </c>
      <c r="H34" s="1">
        <v>0.90105185512032904</v>
      </c>
    </row>
    <row r="35" spans="1:8" x14ac:dyDescent="0.25">
      <c r="A35" s="1" t="s">
        <v>19</v>
      </c>
      <c r="B35" s="1">
        <v>1.5285948975929387E-4</v>
      </c>
      <c r="C35" s="1">
        <v>36</v>
      </c>
      <c r="D35" s="2">
        <f t="shared" si="1"/>
        <v>7.5458806563249692E-7</v>
      </c>
      <c r="E35" s="1">
        <v>0</v>
      </c>
      <c r="F35" s="1">
        <v>4.2460969377581632E-6</v>
      </c>
      <c r="G35" s="1">
        <v>1.2011256869958313</v>
      </c>
      <c r="H35" s="1">
        <v>0.2240984619375303</v>
      </c>
    </row>
    <row r="36" spans="1:8" x14ac:dyDescent="0.25">
      <c r="A36" s="1" t="s">
        <v>20</v>
      </c>
      <c r="B36" s="1">
        <v>2.5857223954517394E-4</v>
      </c>
      <c r="C36" s="1">
        <v>48</v>
      </c>
      <c r="D36" s="2">
        <f t="shared" si="1"/>
        <v>1.2764371147116982E-6</v>
      </c>
      <c r="E36" s="1">
        <v>0</v>
      </c>
      <c r="F36" s="1">
        <v>5.3869216571911238E-6</v>
      </c>
      <c r="G36" s="1">
        <v>1.5238394391680117</v>
      </c>
      <c r="H36" s="1">
        <v>3.0032783695737825E-2</v>
      </c>
    </row>
    <row r="37" spans="1:8" x14ac:dyDescent="0.25">
      <c r="A37" s="1" t="s">
        <v>21</v>
      </c>
      <c r="B37" s="1">
        <v>5.0905410287782615E-4</v>
      </c>
      <c r="C37" s="1">
        <v>144</v>
      </c>
      <c r="D37" s="2">
        <f t="shared" si="1"/>
        <v>2.5129362357400518E-6</v>
      </c>
      <c r="E37" s="1">
        <v>0</v>
      </c>
      <c r="F37" s="1">
        <v>3.5350979366515703E-6</v>
      </c>
      <c r="G37" s="1"/>
      <c r="H37" s="1"/>
    </row>
    <row r="38" spans="1:8" x14ac:dyDescent="0.25">
      <c r="A38" s="1" t="s">
        <v>22</v>
      </c>
      <c r="B38" s="1">
        <v>202.57342611318242</v>
      </c>
      <c r="C38" s="1">
        <v>419</v>
      </c>
      <c r="D38" s="2">
        <f t="shared" si="1"/>
        <v>1</v>
      </c>
      <c r="E38" s="1">
        <v>0</v>
      </c>
      <c r="F38" s="1"/>
      <c r="G38" s="1"/>
      <c r="H38" s="1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GrvlUpgrd</vt:lpstr>
      <vt:lpstr>GrvlRegrvl</vt:lpstr>
      <vt:lpstr>SDoverlay</vt:lpstr>
      <vt:lpstr>SDreseal</vt:lpstr>
      <vt:lpstr>SDminmaint</vt:lpstr>
      <vt:lpstr>SDreconst</vt:lpstr>
      <vt:lpstr>ACoverlay</vt:lpstr>
      <vt:lpstr>ACreseal</vt:lpstr>
      <vt:lpstr>ACminmaint</vt:lpstr>
      <vt:lpstr>ACreconst</vt:lpstr>
    </vt:vector>
  </TitlesOfParts>
  <Company>The University of Birmingham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ISclusterUser</dc:creator>
  <cp:lastModifiedBy>Kyeyune</cp:lastModifiedBy>
  <dcterms:created xsi:type="dcterms:W3CDTF">2016-08-13T12:28:29Z</dcterms:created>
  <dcterms:modified xsi:type="dcterms:W3CDTF">2016-08-15T18:07:37Z</dcterms:modified>
</cp:coreProperties>
</file>