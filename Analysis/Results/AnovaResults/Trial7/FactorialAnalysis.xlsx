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Analysis\Results\Trial7\"/>
    </mc:Choice>
  </mc:AlternateContent>
  <bookViews>
    <workbookView xWindow="0" yWindow="0" windowWidth="20490" windowHeight="7755" activeTab="2"/>
  </bookViews>
  <sheets>
    <sheet name="RawInput" sheetId="1" r:id="rId1"/>
    <sheet name="Transposed" sheetId="3" r:id="rId2"/>
    <sheet name="FirstOrderRun7Reconstruction" sheetId="4" r:id="rId3"/>
    <sheet name="SecondOrderRun7Reconstructi" sheetId="5" r:id="rId4"/>
  </sheets>
  <calcPr calcId="162913"/>
</workbook>
</file>

<file path=xl/calcChain.xml><?xml version="1.0" encoding="utf-8"?>
<calcChain xmlns="http://schemas.openxmlformats.org/spreadsheetml/2006/main">
  <c r="P428" i="4" l="1"/>
  <c r="Q428" i="4"/>
  <c r="R428" i="4"/>
  <c r="S428" i="4"/>
  <c r="T428" i="4"/>
  <c r="U428" i="4"/>
  <c r="V428" i="4"/>
  <c r="W428" i="4"/>
  <c r="X428" i="4"/>
  <c r="Y428" i="4"/>
  <c r="Z428" i="4"/>
  <c r="AA428" i="4"/>
  <c r="AB428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O249" i="4"/>
  <c r="O430" i="4"/>
  <c r="O429" i="4"/>
  <c r="O428" i="4"/>
  <c r="O427" i="4"/>
  <c r="K424" i="4"/>
  <c r="K427" i="4"/>
  <c r="K25" i="4"/>
  <c r="K32" i="4"/>
  <c r="K39" i="4"/>
  <c r="K46" i="4"/>
  <c r="K53" i="4"/>
  <c r="K60" i="4"/>
  <c r="K67" i="4"/>
  <c r="K74" i="4"/>
  <c r="K81" i="4"/>
  <c r="K88" i="4"/>
  <c r="K95" i="4"/>
  <c r="K102" i="4"/>
  <c r="K109" i="4"/>
  <c r="K116" i="4"/>
  <c r="K123" i="4"/>
  <c r="K130" i="4"/>
  <c r="K137" i="4"/>
  <c r="K144" i="4"/>
  <c r="K151" i="4"/>
  <c r="K158" i="4"/>
  <c r="K165" i="4"/>
  <c r="K172" i="4"/>
  <c r="K179" i="4"/>
  <c r="K186" i="4"/>
  <c r="K193" i="4"/>
  <c r="K200" i="4"/>
  <c r="K207" i="4"/>
  <c r="K214" i="4"/>
  <c r="K221" i="4"/>
  <c r="K228" i="4"/>
  <c r="K235" i="4"/>
  <c r="K242" i="4"/>
  <c r="K249" i="4"/>
  <c r="K256" i="4"/>
  <c r="K263" i="4"/>
  <c r="K270" i="4"/>
  <c r="K277" i="4"/>
  <c r="K284" i="4"/>
  <c r="K291" i="4"/>
  <c r="K298" i="4"/>
  <c r="K305" i="4"/>
  <c r="K312" i="4"/>
  <c r="K319" i="4"/>
  <c r="K326" i="4"/>
  <c r="K333" i="4"/>
  <c r="K340" i="4"/>
  <c r="K347" i="4"/>
  <c r="K354" i="4"/>
  <c r="K361" i="4"/>
  <c r="K368" i="4"/>
  <c r="K375" i="4"/>
  <c r="K382" i="4"/>
  <c r="K389" i="4"/>
  <c r="K396" i="4"/>
  <c r="K403" i="4"/>
  <c r="K410" i="4"/>
  <c r="K417" i="4"/>
  <c r="K18" i="4"/>
  <c r="K11" i="4"/>
  <c r="N427" i="5"/>
  <c r="N19" i="5" l="1"/>
  <c r="N18" i="5"/>
  <c r="N12" i="5"/>
  <c r="N13" i="5"/>
  <c r="N17" i="5"/>
  <c r="J13" i="5"/>
  <c r="J7" i="5"/>
  <c r="J6" i="5"/>
  <c r="O12" i="5"/>
  <c r="W26" i="5"/>
  <c r="T12" i="5"/>
  <c r="Q13" i="5"/>
  <c r="Q12" i="5"/>
  <c r="J319" i="5"/>
  <c r="A2" i="3" l="1" a="1"/>
  <c r="A2" i="3" s="1"/>
  <c r="B2" i="3"/>
  <c r="D2" i="3"/>
  <c r="F2" i="3"/>
  <c r="H2" i="3"/>
  <c r="J2" i="3"/>
  <c r="L2" i="3"/>
  <c r="N2" i="3"/>
  <c r="P2" i="3"/>
  <c r="R2" i="3"/>
  <c r="T2" i="3"/>
  <c r="V2" i="3"/>
  <c r="X2" i="3"/>
  <c r="Z2" i="3"/>
  <c r="AB2" i="3"/>
  <c r="AD2" i="3"/>
  <c r="AF2" i="3"/>
  <c r="AH2" i="3"/>
  <c r="AJ2" i="3"/>
  <c r="AL2" i="3"/>
  <c r="AN2" i="3"/>
  <c r="AP2" i="3"/>
  <c r="AR2" i="3"/>
  <c r="AT2" i="3"/>
  <c r="AV2" i="3"/>
  <c r="AX2" i="3"/>
  <c r="AZ2" i="3"/>
  <c r="BB2" i="3"/>
  <c r="BD2" i="3"/>
  <c r="BF2" i="3"/>
  <c r="BH2" i="3"/>
  <c r="BJ2" i="3"/>
  <c r="BL2" i="3"/>
  <c r="BN2" i="3"/>
  <c r="BP2" i="3"/>
  <c r="BR2" i="3"/>
  <c r="BT2" i="3"/>
  <c r="BV2" i="3"/>
  <c r="BX2" i="3"/>
  <c r="BZ2" i="3"/>
  <c r="CB2" i="3"/>
  <c r="CD2" i="3"/>
  <c r="CF2" i="3"/>
  <c r="CH2" i="3"/>
  <c r="CJ2" i="3"/>
  <c r="CL2" i="3"/>
  <c r="CN2" i="3"/>
  <c r="CP2" i="3"/>
  <c r="CR2" i="3"/>
  <c r="CT2" i="3"/>
  <c r="CV2" i="3"/>
  <c r="CX2" i="3"/>
  <c r="CZ2" i="3"/>
  <c r="DB2" i="3"/>
  <c r="DD2" i="3"/>
  <c r="DF2" i="3"/>
  <c r="DH2" i="3"/>
  <c r="DJ2" i="3"/>
  <c r="DL2" i="3"/>
  <c r="DN2" i="3"/>
  <c r="DP2" i="3"/>
  <c r="DR2" i="3"/>
  <c r="DT2" i="3"/>
  <c r="DV2" i="3"/>
  <c r="DX2" i="3"/>
  <c r="DZ2" i="3"/>
  <c r="EB2" i="3"/>
  <c r="ED2" i="3"/>
  <c r="EF2" i="3"/>
  <c r="EH2" i="3"/>
  <c r="EJ2" i="3"/>
  <c r="EL2" i="3"/>
  <c r="EN2" i="3"/>
  <c r="EP2" i="3"/>
  <c r="ER2" i="3"/>
  <c r="ET2" i="3"/>
  <c r="EV2" i="3"/>
  <c r="EX2" i="3"/>
  <c r="EZ2" i="3"/>
  <c r="FB2" i="3"/>
  <c r="FD2" i="3"/>
  <c r="FF2" i="3"/>
  <c r="FH2" i="3"/>
  <c r="FJ2" i="3"/>
  <c r="FL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AB424" i="5"/>
  <c r="AA424" i="5"/>
  <c r="Z424" i="5"/>
  <c r="Y424" i="5"/>
  <c r="X424" i="5"/>
  <c r="W424" i="5"/>
  <c r="T424" i="5"/>
  <c r="U424" i="5" s="1"/>
  <c r="Q424" i="5"/>
  <c r="S424" i="5" s="1"/>
  <c r="N424" i="5"/>
  <c r="O424" i="5" s="1"/>
  <c r="M424" i="5"/>
  <c r="L424" i="5"/>
  <c r="J424" i="5"/>
  <c r="AB423" i="5"/>
  <c r="AA423" i="5"/>
  <c r="Z423" i="5"/>
  <c r="Y423" i="5"/>
  <c r="X423" i="5"/>
  <c r="W423" i="5"/>
  <c r="T423" i="5"/>
  <c r="Q423" i="5"/>
  <c r="S423" i="5" s="1"/>
  <c r="N423" i="5"/>
  <c r="M423" i="5"/>
  <c r="L423" i="5"/>
  <c r="J423" i="5"/>
  <c r="AB422" i="5"/>
  <c r="AA422" i="5"/>
  <c r="Z422" i="5"/>
  <c r="Y422" i="5"/>
  <c r="X422" i="5"/>
  <c r="W422" i="5"/>
  <c r="T422" i="5"/>
  <c r="U422" i="5" s="1"/>
  <c r="Q422" i="5"/>
  <c r="S422" i="5" s="1"/>
  <c r="N422" i="5"/>
  <c r="O422" i="5" s="1"/>
  <c r="M422" i="5"/>
  <c r="L422" i="5"/>
  <c r="J422" i="5"/>
  <c r="AB421" i="5"/>
  <c r="AA421" i="5"/>
  <c r="Z421" i="5"/>
  <c r="Y421" i="5"/>
  <c r="X421" i="5"/>
  <c r="W421" i="5"/>
  <c r="T421" i="5"/>
  <c r="Q421" i="5"/>
  <c r="S421" i="5" s="1"/>
  <c r="N421" i="5"/>
  <c r="M421" i="5"/>
  <c r="L421" i="5"/>
  <c r="J421" i="5"/>
  <c r="AB420" i="5"/>
  <c r="AA420" i="5"/>
  <c r="Z420" i="5"/>
  <c r="Y420" i="5"/>
  <c r="X420" i="5"/>
  <c r="W420" i="5"/>
  <c r="T420" i="5"/>
  <c r="U420" i="5" s="1"/>
  <c r="Q420" i="5"/>
  <c r="S420" i="5" s="1"/>
  <c r="N420" i="5"/>
  <c r="O420" i="5" s="1"/>
  <c r="M420" i="5"/>
  <c r="L420" i="5"/>
  <c r="J420" i="5"/>
  <c r="AB419" i="5"/>
  <c r="AA419" i="5"/>
  <c r="Z419" i="5"/>
  <c r="Y419" i="5"/>
  <c r="X419" i="5"/>
  <c r="W419" i="5"/>
  <c r="T419" i="5"/>
  <c r="Q419" i="5"/>
  <c r="S419" i="5" s="1"/>
  <c r="N419" i="5"/>
  <c r="M419" i="5"/>
  <c r="L419" i="5"/>
  <c r="J419" i="5"/>
  <c r="AB418" i="5"/>
  <c r="AA418" i="5"/>
  <c r="Z418" i="5"/>
  <c r="Y418" i="5"/>
  <c r="X418" i="5"/>
  <c r="W418" i="5"/>
  <c r="T418" i="5"/>
  <c r="U418" i="5" s="1"/>
  <c r="Q418" i="5"/>
  <c r="S418" i="5" s="1"/>
  <c r="N418" i="5"/>
  <c r="O418" i="5" s="1"/>
  <c r="AB417" i="5"/>
  <c r="AA417" i="5"/>
  <c r="Z417" i="5"/>
  <c r="Y417" i="5"/>
  <c r="X417" i="5"/>
  <c r="W417" i="5"/>
  <c r="T417" i="5"/>
  <c r="V417" i="5" s="1"/>
  <c r="Q417" i="5"/>
  <c r="R417" i="5" s="1"/>
  <c r="N417" i="5"/>
  <c r="P417" i="5" s="1"/>
  <c r="M417" i="5"/>
  <c r="L417" i="5"/>
  <c r="J417" i="5"/>
  <c r="AB416" i="5"/>
  <c r="AA416" i="5"/>
  <c r="Z416" i="5"/>
  <c r="Y416" i="5"/>
  <c r="X416" i="5"/>
  <c r="W416" i="5"/>
  <c r="U416" i="5"/>
  <c r="T416" i="5"/>
  <c r="V416" i="5" s="1"/>
  <c r="Q416" i="5"/>
  <c r="N416" i="5"/>
  <c r="P416" i="5" s="1"/>
  <c r="M416" i="5"/>
  <c r="L416" i="5"/>
  <c r="J416" i="5"/>
  <c r="AB415" i="5"/>
  <c r="AA415" i="5"/>
  <c r="Z415" i="5"/>
  <c r="Y415" i="5"/>
  <c r="X415" i="5"/>
  <c r="W415" i="5"/>
  <c r="U415" i="5"/>
  <c r="T415" i="5"/>
  <c r="V415" i="5" s="1"/>
  <c r="S415" i="5"/>
  <c r="Q415" i="5"/>
  <c r="R415" i="5" s="1"/>
  <c r="O415" i="5"/>
  <c r="N415" i="5"/>
  <c r="P415" i="5" s="1"/>
  <c r="M415" i="5"/>
  <c r="L415" i="5"/>
  <c r="J415" i="5"/>
  <c r="AB414" i="5"/>
  <c r="AA414" i="5"/>
  <c r="Z414" i="5"/>
  <c r="Y414" i="5"/>
  <c r="X414" i="5"/>
  <c r="W414" i="5"/>
  <c r="T414" i="5"/>
  <c r="V414" i="5" s="1"/>
  <c r="Q414" i="5"/>
  <c r="O414" i="5"/>
  <c r="N414" i="5"/>
  <c r="P414" i="5" s="1"/>
  <c r="M414" i="5"/>
  <c r="L414" i="5"/>
  <c r="J414" i="5"/>
  <c r="AB413" i="5"/>
  <c r="AA413" i="5"/>
  <c r="Z413" i="5"/>
  <c r="Y413" i="5"/>
  <c r="X413" i="5"/>
  <c r="W413" i="5"/>
  <c r="T413" i="5"/>
  <c r="V413" i="5" s="1"/>
  <c r="Q413" i="5"/>
  <c r="R413" i="5" s="1"/>
  <c r="N413" i="5"/>
  <c r="P413" i="5" s="1"/>
  <c r="M413" i="5"/>
  <c r="L413" i="5"/>
  <c r="J413" i="5"/>
  <c r="AB412" i="5"/>
  <c r="AA412" i="5"/>
  <c r="Z412" i="5"/>
  <c r="Y412" i="5"/>
  <c r="X412" i="5"/>
  <c r="W412" i="5"/>
  <c r="U412" i="5"/>
  <c r="T412" i="5"/>
  <c r="V412" i="5" s="1"/>
  <c r="Q412" i="5"/>
  <c r="N412" i="5"/>
  <c r="P412" i="5" s="1"/>
  <c r="M412" i="5"/>
  <c r="L412" i="5"/>
  <c r="J412" i="5"/>
  <c r="AB411" i="5"/>
  <c r="AA411" i="5"/>
  <c r="Z411" i="5"/>
  <c r="Y411" i="5"/>
  <c r="X411" i="5"/>
  <c r="W411" i="5"/>
  <c r="U411" i="5"/>
  <c r="T411" i="5"/>
  <c r="V411" i="5" s="1"/>
  <c r="S411" i="5"/>
  <c r="Q411" i="5"/>
  <c r="R411" i="5" s="1"/>
  <c r="O411" i="5"/>
  <c r="N411" i="5"/>
  <c r="P411" i="5" s="1"/>
  <c r="AB410" i="5"/>
  <c r="AA410" i="5"/>
  <c r="Z410" i="5"/>
  <c r="Y410" i="5"/>
  <c r="X410" i="5"/>
  <c r="W410" i="5"/>
  <c r="V410" i="5"/>
  <c r="T410" i="5"/>
  <c r="U410" i="5" s="1"/>
  <c r="R410" i="5"/>
  <c r="Q410" i="5"/>
  <c r="S410" i="5" s="1"/>
  <c r="P410" i="5"/>
  <c r="N410" i="5"/>
  <c r="O410" i="5" s="1"/>
  <c r="M410" i="5"/>
  <c r="L410" i="5"/>
  <c r="J410" i="5"/>
  <c r="AB409" i="5"/>
  <c r="AA409" i="5"/>
  <c r="Z409" i="5"/>
  <c r="Y409" i="5"/>
  <c r="X409" i="5"/>
  <c r="W409" i="5"/>
  <c r="T409" i="5"/>
  <c r="R409" i="5"/>
  <c r="Q409" i="5"/>
  <c r="S409" i="5" s="1"/>
  <c r="N409" i="5"/>
  <c r="M409" i="5"/>
  <c r="L409" i="5"/>
  <c r="J409" i="5"/>
  <c r="AB408" i="5"/>
  <c r="AA408" i="5"/>
  <c r="Z408" i="5"/>
  <c r="Y408" i="5"/>
  <c r="X408" i="5"/>
  <c r="W408" i="5"/>
  <c r="V408" i="5"/>
  <c r="T408" i="5"/>
  <c r="U408" i="5" s="1"/>
  <c r="R408" i="5"/>
  <c r="Q408" i="5"/>
  <c r="S408" i="5" s="1"/>
  <c r="P408" i="5"/>
  <c r="N408" i="5"/>
  <c r="O408" i="5" s="1"/>
  <c r="M408" i="5"/>
  <c r="L408" i="5"/>
  <c r="J408" i="5"/>
  <c r="AB407" i="5"/>
  <c r="AA407" i="5"/>
  <c r="Z407" i="5"/>
  <c r="Y407" i="5"/>
  <c r="X407" i="5"/>
  <c r="W407" i="5"/>
  <c r="T407" i="5"/>
  <c r="R407" i="5"/>
  <c r="Q407" i="5"/>
  <c r="S407" i="5" s="1"/>
  <c r="N407" i="5"/>
  <c r="M407" i="5"/>
  <c r="L407" i="5"/>
  <c r="J407" i="5"/>
  <c r="AB406" i="5"/>
  <c r="AA406" i="5"/>
  <c r="Z406" i="5"/>
  <c r="Y406" i="5"/>
  <c r="X406" i="5"/>
  <c r="W406" i="5"/>
  <c r="V406" i="5"/>
  <c r="T406" i="5"/>
  <c r="U406" i="5" s="1"/>
  <c r="R406" i="5"/>
  <c r="Q406" i="5"/>
  <c r="S406" i="5" s="1"/>
  <c r="P406" i="5"/>
  <c r="N406" i="5"/>
  <c r="O406" i="5" s="1"/>
  <c r="M406" i="5"/>
  <c r="L406" i="5"/>
  <c r="J406" i="5"/>
  <c r="AB405" i="5"/>
  <c r="AA405" i="5"/>
  <c r="Z405" i="5"/>
  <c r="Y405" i="5"/>
  <c r="X405" i="5"/>
  <c r="W405" i="5"/>
  <c r="T405" i="5"/>
  <c r="R405" i="5"/>
  <c r="Q405" i="5"/>
  <c r="S405" i="5" s="1"/>
  <c r="N405" i="5"/>
  <c r="M405" i="5"/>
  <c r="L405" i="5"/>
  <c r="J405" i="5"/>
  <c r="AB404" i="5"/>
  <c r="AA404" i="5"/>
  <c r="Z404" i="5"/>
  <c r="Y404" i="5"/>
  <c r="X404" i="5"/>
  <c r="W404" i="5"/>
  <c r="V404" i="5"/>
  <c r="T404" i="5"/>
  <c r="U404" i="5" s="1"/>
  <c r="R404" i="5"/>
  <c r="Q404" i="5"/>
  <c r="S404" i="5" s="1"/>
  <c r="P404" i="5"/>
  <c r="N404" i="5"/>
  <c r="O404" i="5" s="1"/>
  <c r="AB403" i="5"/>
  <c r="AA403" i="5"/>
  <c r="Z403" i="5"/>
  <c r="Y403" i="5"/>
  <c r="X403" i="5"/>
  <c r="W403" i="5"/>
  <c r="U403" i="5"/>
  <c r="T403" i="5"/>
  <c r="V403" i="5" s="1"/>
  <c r="S403" i="5"/>
  <c r="Q403" i="5"/>
  <c r="R403" i="5" s="1"/>
  <c r="O403" i="5"/>
  <c r="N403" i="5"/>
  <c r="P403" i="5" s="1"/>
  <c r="M403" i="5"/>
  <c r="L403" i="5"/>
  <c r="J403" i="5"/>
  <c r="AB402" i="5"/>
  <c r="AA402" i="5"/>
  <c r="Z402" i="5"/>
  <c r="Y402" i="5"/>
  <c r="X402" i="5"/>
  <c r="W402" i="5"/>
  <c r="T402" i="5"/>
  <c r="V402" i="5" s="1"/>
  <c r="Q402" i="5"/>
  <c r="O402" i="5"/>
  <c r="N402" i="5"/>
  <c r="P402" i="5" s="1"/>
  <c r="M402" i="5"/>
  <c r="L402" i="5"/>
  <c r="J402" i="5"/>
  <c r="AB401" i="5"/>
  <c r="AA401" i="5"/>
  <c r="Z401" i="5"/>
  <c r="Y401" i="5"/>
  <c r="X401" i="5"/>
  <c r="W401" i="5"/>
  <c r="T401" i="5"/>
  <c r="V401" i="5" s="1"/>
  <c r="Q401" i="5"/>
  <c r="R401" i="5" s="1"/>
  <c r="N401" i="5"/>
  <c r="P401" i="5" s="1"/>
  <c r="M401" i="5"/>
  <c r="L401" i="5"/>
  <c r="J401" i="5"/>
  <c r="AB400" i="5"/>
  <c r="AA400" i="5"/>
  <c r="Z400" i="5"/>
  <c r="Y400" i="5"/>
  <c r="X400" i="5"/>
  <c r="W400" i="5"/>
  <c r="U400" i="5"/>
  <c r="T400" i="5"/>
  <c r="V400" i="5" s="1"/>
  <c r="Q400" i="5"/>
  <c r="N400" i="5"/>
  <c r="P400" i="5" s="1"/>
  <c r="M400" i="5"/>
  <c r="L400" i="5"/>
  <c r="J400" i="5"/>
  <c r="AB399" i="5"/>
  <c r="AA399" i="5"/>
  <c r="Z399" i="5"/>
  <c r="Y399" i="5"/>
  <c r="X399" i="5"/>
  <c r="W399" i="5"/>
  <c r="U399" i="5"/>
  <c r="T399" i="5"/>
  <c r="V399" i="5" s="1"/>
  <c r="S399" i="5"/>
  <c r="Q399" i="5"/>
  <c r="R399" i="5" s="1"/>
  <c r="O399" i="5"/>
  <c r="N399" i="5"/>
  <c r="P399" i="5" s="1"/>
  <c r="M399" i="5"/>
  <c r="L399" i="5"/>
  <c r="J399" i="5"/>
  <c r="AB398" i="5"/>
  <c r="AA398" i="5"/>
  <c r="Z398" i="5"/>
  <c r="Y398" i="5"/>
  <c r="X398" i="5"/>
  <c r="W398" i="5"/>
  <c r="T398" i="5"/>
  <c r="V398" i="5" s="1"/>
  <c r="Q398" i="5"/>
  <c r="O398" i="5"/>
  <c r="N398" i="5"/>
  <c r="P398" i="5" s="1"/>
  <c r="M398" i="5"/>
  <c r="L398" i="5"/>
  <c r="J398" i="5"/>
  <c r="AB397" i="5"/>
  <c r="AA397" i="5"/>
  <c r="Z397" i="5"/>
  <c r="Y397" i="5"/>
  <c r="X397" i="5"/>
  <c r="W397" i="5"/>
  <c r="T397" i="5"/>
  <c r="V397" i="5" s="1"/>
  <c r="Q397" i="5"/>
  <c r="R397" i="5" s="1"/>
  <c r="N397" i="5"/>
  <c r="P397" i="5" s="1"/>
  <c r="AB396" i="5"/>
  <c r="AA396" i="5"/>
  <c r="Z396" i="5"/>
  <c r="Y396" i="5"/>
  <c r="X396" i="5"/>
  <c r="W396" i="5"/>
  <c r="T396" i="5"/>
  <c r="U396" i="5" s="1"/>
  <c r="Q396" i="5"/>
  <c r="S396" i="5" s="1"/>
  <c r="N396" i="5"/>
  <c r="O396" i="5" s="1"/>
  <c r="M396" i="5"/>
  <c r="L396" i="5"/>
  <c r="J396" i="5"/>
  <c r="AB395" i="5"/>
  <c r="AA395" i="5"/>
  <c r="Z395" i="5"/>
  <c r="Y395" i="5"/>
  <c r="X395" i="5"/>
  <c r="W395" i="5"/>
  <c r="T395" i="5"/>
  <c r="Q395" i="5"/>
  <c r="S395" i="5" s="1"/>
  <c r="N395" i="5"/>
  <c r="M395" i="5"/>
  <c r="L395" i="5"/>
  <c r="J395" i="5"/>
  <c r="AB394" i="5"/>
  <c r="AA394" i="5"/>
  <c r="Z394" i="5"/>
  <c r="Y394" i="5"/>
  <c r="X394" i="5"/>
  <c r="W394" i="5"/>
  <c r="T394" i="5"/>
  <c r="U394" i="5" s="1"/>
  <c r="Q394" i="5"/>
  <c r="S394" i="5" s="1"/>
  <c r="N394" i="5"/>
  <c r="O394" i="5" s="1"/>
  <c r="M394" i="5"/>
  <c r="L394" i="5"/>
  <c r="J394" i="5"/>
  <c r="AB393" i="5"/>
  <c r="AA393" i="5"/>
  <c r="Z393" i="5"/>
  <c r="Y393" i="5"/>
  <c r="X393" i="5"/>
  <c r="W393" i="5"/>
  <c r="T393" i="5"/>
  <c r="Q393" i="5"/>
  <c r="S393" i="5" s="1"/>
  <c r="N393" i="5"/>
  <c r="M393" i="5"/>
  <c r="L393" i="5"/>
  <c r="J393" i="5"/>
  <c r="AB392" i="5"/>
  <c r="AA392" i="5"/>
  <c r="Z392" i="5"/>
  <c r="Y392" i="5"/>
  <c r="X392" i="5"/>
  <c r="W392" i="5"/>
  <c r="T392" i="5"/>
  <c r="U392" i="5" s="1"/>
  <c r="Q392" i="5"/>
  <c r="S392" i="5" s="1"/>
  <c r="N392" i="5"/>
  <c r="O392" i="5" s="1"/>
  <c r="M392" i="5"/>
  <c r="L392" i="5"/>
  <c r="J392" i="5"/>
  <c r="AB391" i="5"/>
  <c r="AA391" i="5"/>
  <c r="Z391" i="5"/>
  <c r="Y391" i="5"/>
  <c r="X391" i="5"/>
  <c r="W391" i="5"/>
  <c r="T391" i="5"/>
  <c r="Q391" i="5"/>
  <c r="S391" i="5" s="1"/>
  <c r="N391" i="5"/>
  <c r="M391" i="5"/>
  <c r="L391" i="5"/>
  <c r="J391" i="5"/>
  <c r="AB390" i="5"/>
  <c r="AA390" i="5"/>
  <c r="Z390" i="5"/>
  <c r="Y390" i="5"/>
  <c r="X390" i="5"/>
  <c r="W390" i="5"/>
  <c r="T390" i="5"/>
  <c r="U390" i="5" s="1"/>
  <c r="Q390" i="5"/>
  <c r="S390" i="5" s="1"/>
  <c r="N390" i="5"/>
  <c r="O390" i="5" s="1"/>
  <c r="AB389" i="5"/>
  <c r="AA389" i="5"/>
  <c r="Z389" i="5"/>
  <c r="Y389" i="5"/>
  <c r="X389" i="5"/>
  <c r="W389" i="5"/>
  <c r="T389" i="5"/>
  <c r="V389" i="5" s="1"/>
  <c r="Q389" i="5"/>
  <c r="R389" i="5" s="1"/>
  <c r="N389" i="5"/>
  <c r="P389" i="5" s="1"/>
  <c r="M389" i="5"/>
  <c r="L389" i="5"/>
  <c r="J389" i="5"/>
  <c r="AB388" i="5"/>
  <c r="AA388" i="5"/>
  <c r="Z388" i="5"/>
  <c r="Y388" i="5"/>
  <c r="X388" i="5"/>
  <c r="W388" i="5"/>
  <c r="U388" i="5"/>
  <c r="T388" i="5"/>
  <c r="V388" i="5" s="1"/>
  <c r="Q388" i="5"/>
  <c r="N388" i="5"/>
  <c r="P388" i="5" s="1"/>
  <c r="M388" i="5"/>
  <c r="L388" i="5"/>
  <c r="J388" i="5"/>
  <c r="AB387" i="5"/>
  <c r="AA387" i="5"/>
  <c r="Z387" i="5"/>
  <c r="Y387" i="5"/>
  <c r="X387" i="5"/>
  <c r="W387" i="5"/>
  <c r="U387" i="5"/>
  <c r="T387" i="5"/>
  <c r="V387" i="5" s="1"/>
  <c r="S387" i="5"/>
  <c r="Q387" i="5"/>
  <c r="R387" i="5" s="1"/>
  <c r="O387" i="5"/>
  <c r="N387" i="5"/>
  <c r="P387" i="5" s="1"/>
  <c r="M387" i="5"/>
  <c r="L387" i="5"/>
  <c r="J387" i="5"/>
  <c r="AB386" i="5"/>
  <c r="AA386" i="5"/>
  <c r="Z386" i="5"/>
  <c r="Y386" i="5"/>
  <c r="X386" i="5"/>
  <c r="W386" i="5"/>
  <c r="T386" i="5"/>
  <c r="V386" i="5" s="1"/>
  <c r="Q386" i="5"/>
  <c r="O386" i="5"/>
  <c r="N386" i="5"/>
  <c r="P386" i="5" s="1"/>
  <c r="M386" i="5"/>
  <c r="L386" i="5"/>
  <c r="J386" i="5"/>
  <c r="AB385" i="5"/>
  <c r="AA385" i="5"/>
  <c r="Z385" i="5"/>
  <c r="Y385" i="5"/>
  <c r="X385" i="5"/>
  <c r="W385" i="5"/>
  <c r="T385" i="5"/>
  <c r="V385" i="5" s="1"/>
  <c r="Q385" i="5"/>
  <c r="R385" i="5" s="1"/>
  <c r="N385" i="5"/>
  <c r="P385" i="5" s="1"/>
  <c r="M385" i="5"/>
  <c r="L385" i="5"/>
  <c r="J385" i="5"/>
  <c r="AB384" i="5"/>
  <c r="AA384" i="5"/>
  <c r="Z384" i="5"/>
  <c r="Y384" i="5"/>
  <c r="X384" i="5"/>
  <c r="W384" i="5"/>
  <c r="U384" i="5"/>
  <c r="T384" i="5"/>
  <c r="V384" i="5" s="1"/>
  <c r="Q384" i="5"/>
  <c r="N384" i="5"/>
  <c r="P384" i="5" s="1"/>
  <c r="M384" i="5"/>
  <c r="L384" i="5"/>
  <c r="J384" i="5"/>
  <c r="AB383" i="5"/>
  <c r="AA383" i="5"/>
  <c r="Z383" i="5"/>
  <c r="Y383" i="5"/>
  <c r="X383" i="5"/>
  <c r="W383" i="5"/>
  <c r="U383" i="5"/>
  <c r="T383" i="5"/>
  <c r="V383" i="5" s="1"/>
  <c r="S383" i="5"/>
  <c r="Q383" i="5"/>
  <c r="R383" i="5" s="1"/>
  <c r="O383" i="5"/>
  <c r="N383" i="5"/>
  <c r="P383" i="5" s="1"/>
  <c r="AB382" i="5"/>
  <c r="AA382" i="5"/>
  <c r="Z382" i="5"/>
  <c r="Y382" i="5"/>
  <c r="X382" i="5"/>
  <c r="W382" i="5"/>
  <c r="V382" i="5"/>
  <c r="T382" i="5"/>
  <c r="U382" i="5" s="1"/>
  <c r="R382" i="5"/>
  <c r="Q382" i="5"/>
  <c r="S382" i="5" s="1"/>
  <c r="P382" i="5"/>
  <c r="N382" i="5"/>
  <c r="O382" i="5" s="1"/>
  <c r="M382" i="5"/>
  <c r="L382" i="5"/>
  <c r="J382" i="5"/>
  <c r="AB381" i="5"/>
  <c r="AA381" i="5"/>
  <c r="Z381" i="5"/>
  <c r="Y381" i="5"/>
  <c r="X381" i="5"/>
  <c r="W381" i="5"/>
  <c r="T381" i="5"/>
  <c r="R381" i="5"/>
  <c r="Q381" i="5"/>
  <c r="S381" i="5" s="1"/>
  <c r="N381" i="5"/>
  <c r="M381" i="5"/>
  <c r="L381" i="5"/>
  <c r="J381" i="5"/>
  <c r="AB380" i="5"/>
  <c r="AA380" i="5"/>
  <c r="Z380" i="5"/>
  <c r="Y380" i="5"/>
  <c r="X380" i="5"/>
  <c r="W380" i="5"/>
  <c r="V380" i="5"/>
  <c r="T380" i="5"/>
  <c r="U380" i="5" s="1"/>
  <c r="R380" i="5"/>
  <c r="Q380" i="5"/>
  <c r="S380" i="5" s="1"/>
  <c r="P380" i="5"/>
  <c r="N380" i="5"/>
  <c r="O380" i="5" s="1"/>
  <c r="M380" i="5"/>
  <c r="L380" i="5"/>
  <c r="J380" i="5"/>
  <c r="AB379" i="5"/>
  <c r="AA379" i="5"/>
  <c r="Z379" i="5"/>
  <c r="Y379" i="5"/>
  <c r="X379" i="5"/>
  <c r="W379" i="5"/>
  <c r="T379" i="5"/>
  <c r="R379" i="5"/>
  <c r="Q379" i="5"/>
  <c r="S379" i="5" s="1"/>
  <c r="N379" i="5"/>
  <c r="M379" i="5"/>
  <c r="L379" i="5"/>
  <c r="J379" i="5"/>
  <c r="AB378" i="5"/>
  <c r="AA378" i="5"/>
  <c r="Z378" i="5"/>
  <c r="Y378" i="5"/>
  <c r="X378" i="5"/>
  <c r="W378" i="5"/>
  <c r="V378" i="5"/>
  <c r="T378" i="5"/>
  <c r="U378" i="5" s="1"/>
  <c r="S378" i="5"/>
  <c r="Q378" i="5"/>
  <c r="R378" i="5" s="1"/>
  <c r="O378" i="5"/>
  <c r="N378" i="5"/>
  <c r="P378" i="5" s="1"/>
  <c r="M378" i="5"/>
  <c r="L378" i="5"/>
  <c r="J378" i="5"/>
  <c r="AB377" i="5"/>
  <c r="AA377" i="5"/>
  <c r="Z377" i="5"/>
  <c r="Y377" i="5"/>
  <c r="X377" i="5"/>
  <c r="W377" i="5"/>
  <c r="T377" i="5"/>
  <c r="V377" i="5" s="1"/>
  <c r="Q377" i="5"/>
  <c r="O377" i="5"/>
  <c r="N377" i="5"/>
  <c r="P377" i="5" s="1"/>
  <c r="M377" i="5"/>
  <c r="L377" i="5"/>
  <c r="J377" i="5"/>
  <c r="AB376" i="5"/>
  <c r="AA376" i="5"/>
  <c r="Z376" i="5"/>
  <c r="Y376" i="5"/>
  <c r="X376" i="5"/>
  <c r="W376" i="5"/>
  <c r="T376" i="5"/>
  <c r="V376" i="5" s="1"/>
  <c r="Q376" i="5"/>
  <c r="R376" i="5" s="1"/>
  <c r="N376" i="5"/>
  <c r="P376" i="5" s="1"/>
  <c r="AB375" i="5"/>
  <c r="AA375" i="5"/>
  <c r="Z375" i="5"/>
  <c r="Y375" i="5"/>
  <c r="X375" i="5"/>
  <c r="W375" i="5"/>
  <c r="T375" i="5"/>
  <c r="U375" i="5" s="1"/>
  <c r="Q375" i="5"/>
  <c r="S375" i="5" s="1"/>
  <c r="N375" i="5"/>
  <c r="O375" i="5" s="1"/>
  <c r="M375" i="5"/>
  <c r="L375" i="5"/>
  <c r="J375" i="5"/>
  <c r="AB374" i="5"/>
  <c r="AA374" i="5"/>
  <c r="Z374" i="5"/>
  <c r="Y374" i="5"/>
  <c r="X374" i="5"/>
  <c r="W374" i="5"/>
  <c r="T374" i="5"/>
  <c r="Q374" i="5"/>
  <c r="N374" i="5"/>
  <c r="M374" i="5"/>
  <c r="L374" i="5"/>
  <c r="J374" i="5"/>
  <c r="AB373" i="5"/>
  <c r="AA373" i="5"/>
  <c r="Z373" i="5"/>
  <c r="Y373" i="5"/>
  <c r="X373" i="5"/>
  <c r="W373" i="5"/>
  <c r="T373" i="5"/>
  <c r="Q373" i="5"/>
  <c r="N373" i="5"/>
  <c r="M373" i="5"/>
  <c r="L373" i="5"/>
  <c r="J373" i="5"/>
  <c r="AB372" i="5"/>
  <c r="AA372" i="5"/>
  <c r="Z372" i="5"/>
  <c r="Y372" i="5"/>
  <c r="X372" i="5"/>
  <c r="W372" i="5"/>
  <c r="T372" i="5"/>
  <c r="Q372" i="5"/>
  <c r="N372" i="5"/>
  <c r="M372" i="5"/>
  <c r="L372" i="5"/>
  <c r="J372" i="5"/>
  <c r="AB371" i="5"/>
  <c r="AA371" i="5"/>
  <c r="Z371" i="5"/>
  <c r="Y371" i="5"/>
  <c r="X371" i="5"/>
  <c r="W371" i="5"/>
  <c r="T371" i="5"/>
  <c r="Q371" i="5"/>
  <c r="N371" i="5"/>
  <c r="M371" i="5"/>
  <c r="L371" i="5"/>
  <c r="J371" i="5"/>
  <c r="AB370" i="5"/>
  <c r="AA370" i="5"/>
  <c r="Z370" i="5"/>
  <c r="Y370" i="5"/>
  <c r="X370" i="5"/>
  <c r="W370" i="5"/>
  <c r="T370" i="5"/>
  <c r="Q370" i="5"/>
  <c r="N370" i="5"/>
  <c r="M370" i="5"/>
  <c r="L370" i="5"/>
  <c r="J370" i="5"/>
  <c r="AB369" i="5"/>
  <c r="AA369" i="5"/>
  <c r="Z369" i="5"/>
  <c r="Y369" i="5"/>
  <c r="X369" i="5"/>
  <c r="W369" i="5"/>
  <c r="T369" i="5"/>
  <c r="Q369" i="5"/>
  <c r="N369" i="5"/>
  <c r="AB368" i="5"/>
  <c r="AA368" i="5"/>
  <c r="Z368" i="5"/>
  <c r="Y368" i="5"/>
  <c r="X368" i="5"/>
  <c r="W368" i="5"/>
  <c r="T368" i="5"/>
  <c r="Q368" i="5"/>
  <c r="N368" i="5"/>
  <c r="M368" i="5"/>
  <c r="L368" i="5"/>
  <c r="J368" i="5"/>
  <c r="AB367" i="5"/>
  <c r="AA367" i="5"/>
  <c r="Z367" i="5"/>
  <c r="Y367" i="5"/>
  <c r="X367" i="5"/>
  <c r="W367" i="5"/>
  <c r="U367" i="5"/>
  <c r="T367" i="5"/>
  <c r="V367" i="5" s="1"/>
  <c r="Q367" i="5"/>
  <c r="N367" i="5"/>
  <c r="M367" i="5"/>
  <c r="L367" i="5"/>
  <c r="J367" i="5"/>
  <c r="AB366" i="5"/>
  <c r="AA366" i="5"/>
  <c r="Z366" i="5"/>
  <c r="Y366" i="5"/>
  <c r="X366" i="5"/>
  <c r="W366" i="5"/>
  <c r="U366" i="5"/>
  <c r="T366" i="5"/>
  <c r="V366" i="5" s="1"/>
  <c r="S366" i="5"/>
  <c r="Q366" i="5"/>
  <c r="R366" i="5" s="1"/>
  <c r="O366" i="5"/>
  <c r="N366" i="5"/>
  <c r="P366" i="5" s="1"/>
  <c r="M366" i="5"/>
  <c r="L366" i="5"/>
  <c r="J366" i="5"/>
  <c r="AB365" i="5"/>
  <c r="AA365" i="5"/>
  <c r="Z365" i="5"/>
  <c r="Y365" i="5"/>
  <c r="X365" i="5"/>
  <c r="W365" i="5"/>
  <c r="T365" i="5"/>
  <c r="Q365" i="5"/>
  <c r="O365" i="5"/>
  <c r="N365" i="5"/>
  <c r="P365" i="5" s="1"/>
  <c r="M365" i="5"/>
  <c r="L365" i="5"/>
  <c r="J365" i="5"/>
  <c r="AB364" i="5"/>
  <c r="AA364" i="5"/>
  <c r="Z364" i="5"/>
  <c r="Y364" i="5"/>
  <c r="X364" i="5"/>
  <c r="W364" i="5"/>
  <c r="T364" i="5"/>
  <c r="Q364" i="5"/>
  <c r="N364" i="5"/>
  <c r="M364" i="5"/>
  <c r="L364" i="5"/>
  <c r="J364" i="5"/>
  <c r="AB363" i="5"/>
  <c r="AA363" i="5"/>
  <c r="Z363" i="5"/>
  <c r="Y363" i="5"/>
  <c r="X363" i="5"/>
  <c r="W363" i="5"/>
  <c r="U363" i="5"/>
  <c r="T363" i="5"/>
  <c r="V363" i="5" s="1"/>
  <c r="Q363" i="5"/>
  <c r="N363" i="5"/>
  <c r="M363" i="5"/>
  <c r="L363" i="5"/>
  <c r="J363" i="5"/>
  <c r="AB362" i="5"/>
  <c r="AA362" i="5"/>
  <c r="Z362" i="5"/>
  <c r="Y362" i="5"/>
  <c r="X362" i="5"/>
  <c r="W362" i="5"/>
  <c r="T362" i="5"/>
  <c r="V362" i="5" s="1"/>
  <c r="Q362" i="5"/>
  <c r="R362" i="5" s="1"/>
  <c r="N362" i="5"/>
  <c r="P362" i="5" s="1"/>
  <c r="AB361" i="5"/>
  <c r="AA361" i="5"/>
  <c r="Z361" i="5"/>
  <c r="Y361" i="5"/>
  <c r="X361" i="5"/>
  <c r="W361" i="5"/>
  <c r="T361" i="5"/>
  <c r="U361" i="5" s="1"/>
  <c r="Q361" i="5"/>
  <c r="S361" i="5" s="1"/>
  <c r="N361" i="5"/>
  <c r="O361" i="5" s="1"/>
  <c r="M361" i="5"/>
  <c r="L361" i="5"/>
  <c r="J361" i="5"/>
  <c r="AB360" i="5"/>
  <c r="AA360" i="5"/>
  <c r="Z360" i="5"/>
  <c r="Y360" i="5"/>
  <c r="X360" i="5"/>
  <c r="W360" i="5"/>
  <c r="T360" i="5"/>
  <c r="Q360" i="5"/>
  <c r="S360" i="5" s="1"/>
  <c r="N360" i="5"/>
  <c r="M360" i="5"/>
  <c r="L360" i="5"/>
  <c r="J360" i="5"/>
  <c r="AB359" i="5"/>
  <c r="AA359" i="5"/>
  <c r="Z359" i="5"/>
  <c r="Y359" i="5"/>
  <c r="X359" i="5"/>
  <c r="W359" i="5"/>
  <c r="T359" i="5"/>
  <c r="U359" i="5" s="1"/>
  <c r="Q359" i="5"/>
  <c r="S359" i="5" s="1"/>
  <c r="N359" i="5"/>
  <c r="O359" i="5" s="1"/>
  <c r="M359" i="5"/>
  <c r="L359" i="5"/>
  <c r="J359" i="5"/>
  <c r="AB358" i="5"/>
  <c r="AA358" i="5"/>
  <c r="Z358" i="5"/>
  <c r="Y358" i="5"/>
  <c r="X358" i="5"/>
  <c r="W358" i="5"/>
  <c r="T358" i="5"/>
  <c r="Q358" i="5"/>
  <c r="S358" i="5" s="1"/>
  <c r="N358" i="5"/>
  <c r="M358" i="5"/>
  <c r="L358" i="5"/>
  <c r="J358" i="5"/>
  <c r="AB357" i="5"/>
  <c r="AA357" i="5"/>
  <c r="Z357" i="5"/>
  <c r="Y357" i="5"/>
  <c r="X357" i="5"/>
  <c r="W357" i="5"/>
  <c r="T357" i="5"/>
  <c r="U357" i="5" s="1"/>
  <c r="Q357" i="5"/>
  <c r="S357" i="5" s="1"/>
  <c r="N357" i="5"/>
  <c r="O357" i="5" s="1"/>
  <c r="M357" i="5"/>
  <c r="L357" i="5"/>
  <c r="J357" i="5"/>
  <c r="AB356" i="5"/>
  <c r="AA356" i="5"/>
  <c r="Z356" i="5"/>
  <c r="Y356" i="5"/>
  <c r="X356" i="5"/>
  <c r="W356" i="5"/>
  <c r="T356" i="5"/>
  <c r="Q356" i="5"/>
  <c r="S356" i="5" s="1"/>
  <c r="N356" i="5"/>
  <c r="M356" i="5"/>
  <c r="L356" i="5"/>
  <c r="J356" i="5"/>
  <c r="AB355" i="5"/>
  <c r="AA355" i="5"/>
  <c r="Z355" i="5"/>
  <c r="Y355" i="5"/>
  <c r="X355" i="5"/>
  <c r="W355" i="5"/>
  <c r="T355" i="5"/>
  <c r="U355" i="5" s="1"/>
  <c r="Q355" i="5"/>
  <c r="S355" i="5" s="1"/>
  <c r="N355" i="5"/>
  <c r="O355" i="5" s="1"/>
  <c r="AB354" i="5"/>
  <c r="AA354" i="5"/>
  <c r="Z354" i="5"/>
  <c r="Y354" i="5"/>
  <c r="X354" i="5"/>
  <c r="W354" i="5"/>
  <c r="T354" i="5"/>
  <c r="V354" i="5" s="1"/>
  <c r="Q354" i="5"/>
  <c r="R354" i="5" s="1"/>
  <c r="N354" i="5"/>
  <c r="P354" i="5" s="1"/>
  <c r="M354" i="5"/>
  <c r="L354" i="5"/>
  <c r="J354" i="5"/>
  <c r="AB353" i="5"/>
  <c r="AA353" i="5"/>
  <c r="Z353" i="5"/>
  <c r="Y353" i="5"/>
  <c r="X353" i="5"/>
  <c r="W353" i="5"/>
  <c r="U353" i="5"/>
  <c r="T353" i="5"/>
  <c r="V353" i="5" s="1"/>
  <c r="Q353" i="5"/>
  <c r="N353" i="5"/>
  <c r="P353" i="5" s="1"/>
  <c r="M353" i="5"/>
  <c r="L353" i="5"/>
  <c r="J353" i="5"/>
  <c r="AB352" i="5"/>
  <c r="AA352" i="5"/>
  <c r="Z352" i="5"/>
  <c r="Y352" i="5"/>
  <c r="X352" i="5"/>
  <c r="W352" i="5"/>
  <c r="U352" i="5"/>
  <c r="T352" i="5"/>
  <c r="V352" i="5" s="1"/>
  <c r="S352" i="5"/>
  <c r="Q352" i="5"/>
  <c r="R352" i="5" s="1"/>
  <c r="O352" i="5"/>
  <c r="N352" i="5"/>
  <c r="P352" i="5" s="1"/>
  <c r="M352" i="5"/>
  <c r="L352" i="5"/>
  <c r="J352" i="5"/>
  <c r="AB351" i="5"/>
  <c r="AA351" i="5"/>
  <c r="Z351" i="5"/>
  <c r="Y351" i="5"/>
  <c r="X351" i="5"/>
  <c r="W351" i="5"/>
  <c r="T351" i="5"/>
  <c r="V351" i="5" s="1"/>
  <c r="Q351" i="5"/>
  <c r="O351" i="5"/>
  <c r="N351" i="5"/>
  <c r="P351" i="5" s="1"/>
  <c r="M351" i="5"/>
  <c r="L351" i="5"/>
  <c r="J351" i="5"/>
  <c r="AB350" i="5"/>
  <c r="AA350" i="5"/>
  <c r="Z350" i="5"/>
  <c r="Y350" i="5"/>
  <c r="X350" i="5"/>
  <c r="W350" i="5"/>
  <c r="T350" i="5"/>
  <c r="V350" i="5" s="1"/>
  <c r="Q350" i="5"/>
  <c r="R350" i="5" s="1"/>
  <c r="N350" i="5"/>
  <c r="P350" i="5" s="1"/>
  <c r="M350" i="5"/>
  <c r="L350" i="5"/>
  <c r="J350" i="5"/>
  <c r="AB349" i="5"/>
  <c r="AA349" i="5"/>
  <c r="Z349" i="5"/>
  <c r="Y349" i="5"/>
  <c r="X349" i="5"/>
  <c r="W349" i="5"/>
  <c r="U349" i="5"/>
  <c r="T349" i="5"/>
  <c r="V349" i="5" s="1"/>
  <c r="Q349" i="5"/>
  <c r="N349" i="5"/>
  <c r="P349" i="5" s="1"/>
  <c r="M349" i="5"/>
  <c r="L349" i="5"/>
  <c r="J349" i="5"/>
  <c r="AB348" i="5"/>
  <c r="AA348" i="5"/>
  <c r="Z348" i="5"/>
  <c r="Y348" i="5"/>
  <c r="X348" i="5"/>
  <c r="W348" i="5"/>
  <c r="U348" i="5"/>
  <c r="T348" i="5"/>
  <c r="V348" i="5" s="1"/>
  <c r="S348" i="5"/>
  <c r="Q348" i="5"/>
  <c r="R348" i="5" s="1"/>
  <c r="O348" i="5"/>
  <c r="N348" i="5"/>
  <c r="P348" i="5" s="1"/>
  <c r="AB347" i="5"/>
  <c r="AA347" i="5"/>
  <c r="Z347" i="5"/>
  <c r="Y347" i="5"/>
  <c r="X347" i="5"/>
  <c r="W347" i="5"/>
  <c r="V347" i="5"/>
  <c r="T347" i="5"/>
  <c r="U347" i="5" s="1"/>
  <c r="R347" i="5"/>
  <c r="Q347" i="5"/>
  <c r="S347" i="5" s="1"/>
  <c r="P347" i="5"/>
  <c r="N347" i="5"/>
  <c r="O347" i="5" s="1"/>
  <c r="M347" i="5"/>
  <c r="L347" i="5"/>
  <c r="J347" i="5"/>
  <c r="AB346" i="5"/>
  <c r="AA346" i="5"/>
  <c r="Z346" i="5"/>
  <c r="Y346" i="5"/>
  <c r="X346" i="5"/>
  <c r="W346" i="5"/>
  <c r="T346" i="5"/>
  <c r="R346" i="5"/>
  <c r="Q346" i="5"/>
  <c r="S346" i="5" s="1"/>
  <c r="N346" i="5"/>
  <c r="M346" i="5"/>
  <c r="L346" i="5"/>
  <c r="J346" i="5"/>
  <c r="AB345" i="5"/>
  <c r="AA345" i="5"/>
  <c r="Z345" i="5"/>
  <c r="Y345" i="5"/>
  <c r="X345" i="5"/>
  <c r="W345" i="5"/>
  <c r="V345" i="5"/>
  <c r="T345" i="5"/>
  <c r="U345" i="5" s="1"/>
  <c r="R345" i="5"/>
  <c r="Q345" i="5"/>
  <c r="S345" i="5" s="1"/>
  <c r="P345" i="5"/>
  <c r="N345" i="5"/>
  <c r="O345" i="5" s="1"/>
  <c r="M345" i="5"/>
  <c r="L345" i="5"/>
  <c r="J345" i="5"/>
  <c r="AB344" i="5"/>
  <c r="AA344" i="5"/>
  <c r="Z344" i="5"/>
  <c r="Y344" i="5"/>
  <c r="X344" i="5"/>
  <c r="W344" i="5"/>
  <c r="T344" i="5"/>
  <c r="R344" i="5"/>
  <c r="Q344" i="5"/>
  <c r="S344" i="5" s="1"/>
  <c r="N344" i="5"/>
  <c r="M344" i="5"/>
  <c r="L344" i="5"/>
  <c r="J344" i="5"/>
  <c r="AB343" i="5"/>
  <c r="AA343" i="5"/>
  <c r="Z343" i="5"/>
  <c r="Y343" i="5"/>
  <c r="X343" i="5"/>
  <c r="W343" i="5"/>
  <c r="V343" i="5"/>
  <c r="T343" i="5"/>
  <c r="U343" i="5" s="1"/>
  <c r="R343" i="5"/>
  <c r="Q343" i="5"/>
  <c r="S343" i="5" s="1"/>
  <c r="P343" i="5"/>
  <c r="N343" i="5"/>
  <c r="O343" i="5" s="1"/>
  <c r="M343" i="5"/>
  <c r="L343" i="5"/>
  <c r="J343" i="5"/>
  <c r="AB342" i="5"/>
  <c r="AA342" i="5"/>
  <c r="Z342" i="5"/>
  <c r="Y342" i="5"/>
  <c r="X342" i="5"/>
  <c r="W342" i="5"/>
  <c r="T342" i="5"/>
  <c r="R342" i="5"/>
  <c r="Q342" i="5"/>
  <c r="S342" i="5" s="1"/>
  <c r="N342" i="5"/>
  <c r="M342" i="5"/>
  <c r="L342" i="5"/>
  <c r="J342" i="5"/>
  <c r="AB341" i="5"/>
  <c r="AA341" i="5"/>
  <c r="Z341" i="5"/>
  <c r="Y341" i="5"/>
  <c r="X341" i="5"/>
  <c r="W341" i="5"/>
  <c r="V341" i="5"/>
  <c r="T341" i="5"/>
  <c r="U341" i="5" s="1"/>
  <c r="R341" i="5"/>
  <c r="Q341" i="5"/>
  <c r="S341" i="5" s="1"/>
  <c r="P341" i="5"/>
  <c r="N341" i="5"/>
  <c r="O341" i="5" s="1"/>
  <c r="AB340" i="5"/>
  <c r="AA340" i="5"/>
  <c r="Z340" i="5"/>
  <c r="Y340" i="5"/>
  <c r="X340" i="5"/>
  <c r="W340" i="5"/>
  <c r="U340" i="5"/>
  <c r="T340" i="5"/>
  <c r="V340" i="5" s="1"/>
  <c r="S340" i="5"/>
  <c r="Q340" i="5"/>
  <c r="R340" i="5" s="1"/>
  <c r="O340" i="5"/>
  <c r="N340" i="5"/>
  <c r="P340" i="5" s="1"/>
  <c r="M340" i="5"/>
  <c r="L340" i="5"/>
  <c r="J340" i="5"/>
  <c r="AB339" i="5"/>
  <c r="AA339" i="5"/>
  <c r="Z339" i="5"/>
  <c r="Y339" i="5"/>
  <c r="X339" i="5"/>
  <c r="W339" i="5"/>
  <c r="T339" i="5"/>
  <c r="V339" i="5" s="1"/>
  <c r="Q339" i="5"/>
  <c r="O339" i="5"/>
  <c r="N339" i="5"/>
  <c r="P339" i="5" s="1"/>
  <c r="M339" i="5"/>
  <c r="L339" i="5"/>
  <c r="J339" i="5"/>
  <c r="AB338" i="5"/>
  <c r="AA338" i="5"/>
  <c r="Z338" i="5"/>
  <c r="Y338" i="5"/>
  <c r="X338" i="5"/>
  <c r="W338" i="5"/>
  <c r="T338" i="5"/>
  <c r="V338" i="5" s="1"/>
  <c r="Q338" i="5"/>
  <c r="R338" i="5" s="1"/>
  <c r="N338" i="5"/>
  <c r="P338" i="5" s="1"/>
  <c r="M338" i="5"/>
  <c r="L338" i="5"/>
  <c r="J338" i="5"/>
  <c r="AB337" i="5"/>
  <c r="AA337" i="5"/>
  <c r="Z337" i="5"/>
  <c r="Y337" i="5"/>
  <c r="X337" i="5"/>
  <c r="W337" i="5"/>
  <c r="U337" i="5"/>
  <c r="T337" i="5"/>
  <c r="V337" i="5" s="1"/>
  <c r="Q337" i="5"/>
  <c r="N337" i="5"/>
  <c r="P337" i="5" s="1"/>
  <c r="M337" i="5"/>
  <c r="L337" i="5"/>
  <c r="J337" i="5"/>
  <c r="AB336" i="5"/>
  <c r="AA336" i="5"/>
  <c r="Z336" i="5"/>
  <c r="Y336" i="5"/>
  <c r="X336" i="5"/>
  <c r="W336" i="5"/>
  <c r="U336" i="5"/>
  <c r="T336" i="5"/>
  <c r="V336" i="5" s="1"/>
  <c r="S336" i="5"/>
  <c r="Q336" i="5"/>
  <c r="R336" i="5" s="1"/>
  <c r="O336" i="5"/>
  <c r="N336" i="5"/>
  <c r="P336" i="5" s="1"/>
  <c r="M336" i="5"/>
  <c r="L336" i="5"/>
  <c r="J336" i="5"/>
  <c r="AB335" i="5"/>
  <c r="AA335" i="5"/>
  <c r="Z335" i="5"/>
  <c r="Y335" i="5"/>
  <c r="X335" i="5"/>
  <c r="W335" i="5"/>
  <c r="T335" i="5"/>
  <c r="V335" i="5" s="1"/>
  <c r="Q335" i="5"/>
  <c r="O335" i="5"/>
  <c r="N335" i="5"/>
  <c r="P335" i="5" s="1"/>
  <c r="M335" i="5"/>
  <c r="L335" i="5"/>
  <c r="J335" i="5"/>
  <c r="AB334" i="5"/>
  <c r="AA334" i="5"/>
  <c r="Z334" i="5"/>
  <c r="Y334" i="5"/>
  <c r="X334" i="5"/>
  <c r="W334" i="5"/>
  <c r="T334" i="5"/>
  <c r="V334" i="5" s="1"/>
  <c r="Q334" i="5"/>
  <c r="R334" i="5" s="1"/>
  <c r="N334" i="5"/>
  <c r="P334" i="5" s="1"/>
  <c r="AB333" i="5"/>
  <c r="AA333" i="5"/>
  <c r="Z333" i="5"/>
  <c r="Y333" i="5"/>
  <c r="X333" i="5"/>
  <c r="W333" i="5"/>
  <c r="T333" i="5"/>
  <c r="U333" i="5" s="1"/>
  <c r="Q333" i="5"/>
  <c r="S333" i="5" s="1"/>
  <c r="N333" i="5"/>
  <c r="O333" i="5" s="1"/>
  <c r="M333" i="5"/>
  <c r="L333" i="5"/>
  <c r="J333" i="5"/>
  <c r="AB332" i="5"/>
  <c r="AA332" i="5"/>
  <c r="Z332" i="5"/>
  <c r="Y332" i="5"/>
  <c r="X332" i="5"/>
  <c r="W332" i="5"/>
  <c r="T332" i="5"/>
  <c r="Q332" i="5"/>
  <c r="S332" i="5" s="1"/>
  <c r="N332" i="5"/>
  <c r="M332" i="5"/>
  <c r="L332" i="5"/>
  <c r="J332" i="5"/>
  <c r="AB331" i="5"/>
  <c r="AA331" i="5"/>
  <c r="Z331" i="5"/>
  <c r="Y331" i="5"/>
  <c r="X331" i="5"/>
  <c r="W331" i="5"/>
  <c r="T331" i="5"/>
  <c r="U331" i="5" s="1"/>
  <c r="Q331" i="5"/>
  <c r="S331" i="5" s="1"/>
  <c r="N331" i="5"/>
  <c r="O331" i="5" s="1"/>
  <c r="M331" i="5"/>
  <c r="L331" i="5"/>
  <c r="J331" i="5"/>
  <c r="AB330" i="5"/>
  <c r="AA330" i="5"/>
  <c r="Z330" i="5"/>
  <c r="Y330" i="5"/>
  <c r="X330" i="5"/>
  <c r="W330" i="5"/>
  <c r="T330" i="5"/>
  <c r="Q330" i="5"/>
  <c r="S330" i="5" s="1"/>
  <c r="N330" i="5"/>
  <c r="M330" i="5"/>
  <c r="L330" i="5"/>
  <c r="J330" i="5"/>
  <c r="AB329" i="5"/>
  <c r="AA329" i="5"/>
  <c r="Z329" i="5"/>
  <c r="Y329" i="5"/>
  <c r="X329" i="5"/>
  <c r="W329" i="5"/>
  <c r="T329" i="5"/>
  <c r="U329" i="5" s="1"/>
  <c r="Q329" i="5"/>
  <c r="S329" i="5" s="1"/>
  <c r="N329" i="5"/>
  <c r="O329" i="5" s="1"/>
  <c r="M329" i="5"/>
  <c r="L329" i="5"/>
  <c r="J329" i="5"/>
  <c r="AB328" i="5"/>
  <c r="AA328" i="5"/>
  <c r="Z328" i="5"/>
  <c r="Y328" i="5"/>
  <c r="X328" i="5"/>
  <c r="W328" i="5"/>
  <c r="T328" i="5"/>
  <c r="Q328" i="5"/>
  <c r="S328" i="5" s="1"/>
  <c r="N328" i="5"/>
  <c r="M328" i="5"/>
  <c r="L328" i="5"/>
  <c r="J328" i="5"/>
  <c r="AB327" i="5"/>
  <c r="AA327" i="5"/>
  <c r="Z327" i="5"/>
  <c r="Y327" i="5"/>
  <c r="X327" i="5"/>
  <c r="W327" i="5"/>
  <c r="T327" i="5"/>
  <c r="U327" i="5" s="1"/>
  <c r="Q327" i="5"/>
  <c r="S327" i="5" s="1"/>
  <c r="N327" i="5"/>
  <c r="O327" i="5" s="1"/>
  <c r="AB326" i="5"/>
  <c r="AA326" i="5"/>
  <c r="Z326" i="5"/>
  <c r="Y326" i="5"/>
  <c r="X326" i="5"/>
  <c r="W326" i="5"/>
  <c r="T326" i="5"/>
  <c r="V326" i="5" s="1"/>
  <c r="Q326" i="5"/>
  <c r="R326" i="5" s="1"/>
  <c r="O326" i="5"/>
  <c r="N326" i="5"/>
  <c r="P326" i="5" s="1"/>
  <c r="M326" i="5"/>
  <c r="L326" i="5"/>
  <c r="J326" i="5"/>
  <c r="AB325" i="5"/>
  <c r="AA325" i="5"/>
  <c r="Z325" i="5"/>
  <c r="Y325" i="5"/>
  <c r="X325" i="5"/>
  <c r="W325" i="5"/>
  <c r="T325" i="5"/>
  <c r="V325" i="5" s="1"/>
  <c r="Q325" i="5"/>
  <c r="R325" i="5" s="1"/>
  <c r="O325" i="5"/>
  <c r="N325" i="5"/>
  <c r="P325" i="5" s="1"/>
  <c r="M325" i="5"/>
  <c r="L325" i="5"/>
  <c r="J325" i="5"/>
  <c r="AB324" i="5"/>
  <c r="AA324" i="5"/>
  <c r="Z324" i="5"/>
  <c r="Y324" i="5"/>
  <c r="X324" i="5"/>
  <c r="W324" i="5"/>
  <c r="T324" i="5"/>
  <c r="V324" i="5" s="1"/>
  <c r="Q324" i="5"/>
  <c r="R324" i="5" s="1"/>
  <c r="O324" i="5"/>
  <c r="N324" i="5"/>
  <c r="P324" i="5" s="1"/>
  <c r="M324" i="5"/>
  <c r="L324" i="5"/>
  <c r="J324" i="5"/>
  <c r="AB323" i="5"/>
  <c r="AA323" i="5"/>
  <c r="Z323" i="5"/>
  <c r="Y323" i="5"/>
  <c r="X323" i="5"/>
  <c r="W323" i="5"/>
  <c r="T323" i="5"/>
  <c r="V323" i="5" s="1"/>
  <c r="Q323" i="5"/>
  <c r="R323" i="5" s="1"/>
  <c r="O323" i="5"/>
  <c r="N323" i="5"/>
  <c r="P323" i="5" s="1"/>
  <c r="M323" i="5"/>
  <c r="L323" i="5"/>
  <c r="J323" i="5"/>
  <c r="AB322" i="5"/>
  <c r="AA322" i="5"/>
  <c r="Z322" i="5"/>
  <c r="Y322" i="5"/>
  <c r="X322" i="5"/>
  <c r="W322" i="5"/>
  <c r="T322" i="5"/>
  <c r="V322" i="5" s="1"/>
  <c r="Q322" i="5"/>
  <c r="R322" i="5" s="1"/>
  <c r="O322" i="5"/>
  <c r="N322" i="5"/>
  <c r="P322" i="5" s="1"/>
  <c r="M322" i="5"/>
  <c r="L322" i="5"/>
  <c r="J322" i="5"/>
  <c r="AB321" i="5"/>
  <c r="AA321" i="5"/>
  <c r="Z321" i="5"/>
  <c r="Y321" i="5"/>
  <c r="X321" i="5"/>
  <c r="W321" i="5"/>
  <c r="T321" i="5"/>
  <c r="V321" i="5" s="1"/>
  <c r="Q321" i="5"/>
  <c r="R321" i="5" s="1"/>
  <c r="O321" i="5"/>
  <c r="N321" i="5"/>
  <c r="P321" i="5" s="1"/>
  <c r="M321" i="5"/>
  <c r="L321" i="5"/>
  <c r="J321" i="5"/>
  <c r="AB320" i="5"/>
  <c r="AA320" i="5"/>
  <c r="Z320" i="5"/>
  <c r="Y320" i="5"/>
  <c r="X320" i="5"/>
  <c r="W320" i="5"/>
  <c r="T320" i="5"/>
  <c r="V320" i="5" s="1"/>
  <c r="Q320" i="5"/>
  <c r="R320" i="5" s="1"/>
  <c r="O320" i="5"/>
  <c r="N320" i="5"/>
  <c r="P320" i="5" s="1"/>
  <c r="AB319" i="5"/>
  <c r="AA319" i="5"/>
  <c r="Z319" i="5"/>
  <c r="Y319" i="5"/>
  <c r="X319" i="5"/>
  <c r="W319" i="5"/>
  <c r="T319" i="5"/>
  <c r="U319" i="5" s="1"/>
  <c r="Q319" i="5"/>
  <c r="S319" i="5" s="1"/>
  <c r="N319" i="5"/>
  <c r="O319" i="5" s="1"/>
  <c r="M319" i="5"/>
  <c r="L319" i="5"/>
  <c r="AB318" i="5"/>
  <c r="AA318" i="5"/>
  <c r="Z318" i="5"/>
  <c r="Y318" i="5"/>
  <c r="X318" i="5"/>
  <c r="W318" i="5"/>
  <c r="V318" i="5"/>
  <c r="T318" i="5"/>
  <c r="U318" i="5" s="1"/>
  <c r="R318" i="5"/>
  <c r="Q318" i="5"/>
  <c r="S318" i="5" s="1"/>
  <c r="P318" i="5"/>
  <c r="N318" i="5"/>
  <c r="O318" i="5" s="1"/>
  <c r="M318" i="5"/>
  <c r="L318" i="5"/>
  <c r="J318" i="5"/>
  <c r="AB317" i="5"/>
  <c r="AA317" i="5"/>
  <c r="Z317" i="5"/>
  <c r="Y317" i="5"/>
  <c r="X317" i="5"/>
  <c r="W317" i="5"/>
  <c r="T317" i="5"/>
  <c r="U317" i="5" s="1"/>
  <c r="R317" i="5"/>
  <c r="Q317" i="5"/>
  <c r="S317" i="5" s="1"/>
  <c r="N317" i="5"/>
  <c r="O317" i="5" s="1"/>
  <c r="M317" i="5"/>
  <c r="L317" i="5"/>
  <c r="J317" i="5"/>
  <c r="AB316" i="5"/>
  <c r="AA316" i="5"/>
  <c r="Z316" i="5"/>
  <c r="Y316" i="5"/>
  <c r="X316" i="5"/>
  <c r="W316" i="5"/>
  <c r="V316" i="5"/>
  <c r="T316" i="5"/>
  <c r="U316" i="5" s="1"/>
  <c r="R316" i="5"/>
  <c r="Q316" i="5"/>
  <c r="S316" i="5" s="1"/>
  <c r="P316" i="5"/>
  <c r="N316" i="5"/>
  <c r="O316" i="5" s="1"/>
  <c r="M316" i="5"/>
  <c r="L316" i="5"/>
  <c r="J316" i="5"/>
  <c r="AB315" i="5"/>
  <c r="AA315" i="5"/>
  <c r="Z315" i="5"/>
  <c r="Y315" i="5"/>
  <c r="X315" i="5"/>
  <c r="W315" i="5"/>
  <c r="T315" i="5"/>
  <c r="U315" i="5" s="1"/>
  <c r="R315" i="5"/>
  <c r="Q315" i="5"/>
  <c r="S315" i="5" s="1"/>
  <c r="N315" i="5"/>
  <c r="O315" i="5" s="1"/>
  <c r="M315" i="5"/>
  <c r="L315" i="5"/>
  <c r="J315" i="5"/>
  <c r="AB314" i="5"/>
  <c r="AA314" i="5"/>
  <c r="Z314" i="5"/>
  <c r="Y314" i="5"/>
  <c r="X314" i="5"/>
  <c r="W314" i="5"/>
  <c r="V314" i="5"/>
  <c r="T314" i="5"/>
  <c r="U314" i="5" s="1"/>
  <c r="R314" i="5"/>
  <c r="Q314" i="5"/>
  <c r="S314" i="5" s="1"/>
  <c r="P314" i="5"/>
  <c r="N314" i="5"/>
  <c r="O314" i="5" s="1"/>
  <c r="M314" i="5"/>
  <c r="L314" i="5"/>
  <c r="J314" i="5"/>
  <c r="AB313" i="5"/>
  <c r="AA313" i="5"/>
  <c r="Z313" i="5"/>
  <c r="Y313" i="5"/>
  <c r="X313" i="5"/>
  <c r="W313" i="5"/>
  <c r="T313" i="5"/>
  <c r="U313" i="5" s="1"/>
  <c r="R313" i="5"/>
  <c r="Q313" i="5"/>
  <c r="S313" i="5" s="1"/>
  <c r="N313" i="5"/>
  <c r="O313" i="5" s="1"/>
  <c r="AB312" i="5"/>
  <c r="AA312" i="5"/>
  <c r="Z312" i="5"/>
  <c r="Y312" i="5"/>
  <c r="X312" i="5"/>
  <c r="W312" i="5"/>
  <c r="T312" i="5"/>
  <c r="V312" i="5" s="1"/>
  <c r="Q312" i="5"/>
  <c r="R312" i="5" s="1"/>
  <c r="O312" i="5"/>
  <c r="N312" i="5"/>
  <c r="P312" i="5" s="1"/>
  <c r="M312" i="5"/>
  <c r="L312" i="5"/>
  <c r="J312" i="5"/>
  <c r="AB311" i="5"/>
  <c r="AA311" i="5"/>
  <c r="Z311" i="5"/>
  <c r="Y311" i="5"/>
  <c r="X311" i="5"/>
  <c r="W311" i="5"/>
  <c r="T311" i="5"/>
  <c r="V311" i="5" s="1"/>
  <c r="Q311" i="5"/>
  <c r="R311" i="5" s="1"/>
  <c r="N311" i="5"/>
  <c r="P311" i="5" s="1"/>
  <c r="M311" i="5"/>
  <c r="L311" i="5"/>
  <c r="J311" i="5"/>
  <c r="AB310" i="5"/>
  <c r="AA310" i="5"/>
  <c r="Z310" i="5"/>
  <c r="Y310" i="5"/>
  <c r="X310" i="5"/>
  <c r="W310" i="5"/>
  <c r="U310" i="5"/>
  <c r="T310" i="5"/>
  <c r="V310" i="5" s="1"/>
  <c r="Q310" i="5"/>
  <c r="R310" i="5" s="1"/>
  <c r="N310" i="5"/>
  <c r="P310" i="5" s="1"/>
  <c r="M310" i="5"/>
  <c r="L310" i="5"/>
  <c r="J310" i="5"/>
  <c r="AB309" i="5"/>
  <c r="AA309" i="5"/>
  <c r="Z309" i="5"/>
  <c r="Y309" i="5"/>
  <c r="X309" i="5"/>
  <c r="W309" i="5"/>
  <c r="U309" i="5"/>
  <c r="T309" i="5"/>
  <c r="V309" i="5" s="1"/>
  <c r="S309" i="5"/>
  <c r="Q309" i="5"/>
  <c r="R309" i="5" s="1"/>
  <c r="O309" i="5"/>
  <c r="N309" i="5"/>
  <c r="P309" i="5" s="1"/>
  <c r="M309" i="5"/>
  <c r="L309" i="5"/>
  <c r="J309" i="5"/>
  <c r="AB308" i="5"/>
  <c r="AA308" i="5"/>
  <c r="Z308" i="5"/>
  <c r="Y308" i="5"/>
  <c r="X308" i="5"/>
  <c r="W308" i="5"/>
  <c r="T308" i="5"/>
  <c r="V308" i="5" s="1"/>
  <c r="Q308" i="5"/>
  <c r="R308" i="5" s="1"/>
  <c r="O308" i="5"/>
  <c r="N308" i="5"/>
  <c r="P308" i="5" s="1"/>
  <c r="M308" i="5"/>
  <c r="L308" i="5"/>
  <c r="J308" i="5"/>
  <c r="AB307" i="5"/>
  <c r="AA307" i="5"/>
  <c r="Z307" i="5"/>
  <c r="Y307" i="5"/>
  <c r="X307" i="5"/>
  <c r="W307" i="5"/>
  <c r="T307" i="5"/>
  <c r="V307" i="5" s="1"/>
  <c r="Q307" i="5"/>
  <c r="R307" i="5" s="1"/>
  <c r="N307" i="5"/>
  <c r="P307" i="5" s="1"/>
  <c r="M307" i="5"/>
  <c r="L307" i="5"/>
  <c r="J307" i="5"/>
  <c r="AB306" i="5"/>
  <c r="AA306" i="5"/>
  <c r="Z306" i="5"/>
  <c r="Y306" i="5"/>
  <c r="X306" i="5"/>
  <c r="W306" i="5"/>
  <c r="U306" i="5"/>
  <c r="T306" i="5"/>
  <c r="V306" i="5" s="1"/>
  <c r="Q306" i="5"/>
  <c r="R306" i="5" s="1"/>
  <c r="N306" i="5"/>
  <c r="P306" i="5" s="1"/>
  <c r="AB305" i="5"/>
  <c r="AA305" i="5"/>
  <c r="Z305" i="5"/>
  <c r="Y305" i="5"/>
  <c r="X305" i="5"/>
  <c r="W305" i="5"/>
  <c r="T305" i="5"/>
  <c r="U305" i="5" s="1"/>
  <c r="R305" i="5"/>
  <c r="Q305" i="5"/>
  <c r="S305" i="5" s="1"/>
  <c r="N305" i="5"/>
  <c r="O305" i="5" s="1"/>
  <c r="M305" i="5"/>
  <c r="L305" i="5"/>
  <c r="J305" i="5"/>
  <c r="AB304" i="5"/>
  <c r="AA304" i="5"/>
  <c r="Z304" i="5"/>
  <c r="Y304" i="5"/>
  <c r="X304" i="5"/>
  <c r="W304" i="5"/>
  <c r="V304" i="5"/>
  <c r="T304" i="5"/>
  <c r="U304" i="5" s="1"/>
  <c r="R304" i="5"/>
  <c r="Q304" i="5"/>
  <c r="S304" i="5" s="1"/>
  <c r="P304" i="5"/>
  <c r="N304" i="5"/>
  <c r="O304" i="5" s="1"/>
  <c r="M304" i="5"/>
  <c r="L304" i="5"/>
  <c r="J304" i="5"/>
  <c r="AB303" i="5"/>
  <c r="AA303" i="5"/>
  <c r="Z303" i="5"/>
  <c r="Y303" i="5"/>
  <c r="X303" i="5"/>
  <c r="W303" i="5"/>
  <c r="T303" i="5"/>
  <c r="U303" i="5" s="1"/>
  <c r="R303" i="5"/>
  <c r="Q303" i="5"/>
  <c r="S303" i="5" s="1"/>
  <c r="N303" i="5"/>
  <c r="O303" i="5" s="1"/>
  <c r="M303" i="5"/>
  <c r="L303" i="5"/>
  <c r="J303" i="5"/>
  <c r="AB302" i="5"/>
  <c r="AA302" i="5"/>
  <c r="Z302" i="5"/>
  <c r="Y302" i="5"/>
  <c r="X302" i="5"/>
  <c r="W302" i="5"/>
  <c r="V302" i="5"/>
  <c r="T302" i="5"/>
  <c r="U302" i="5" s="1"/>
  <c r="R302" i="5"/>
  <c r="Q302" i="5"/>
  <c r="S302" i="5" s="1"/>
  <c r="P302" i="5"/>
  <c r="N302" i="5"/>
  <c r="O302" i="5" s="1"/>
  <c r="M302" i="5"/>
  <c r="L302" i="5"/>
  <c r="J302" i="5"/>
  <c r="AB301" i="5"/>
  <c r="AA301" i="5"/>
  <c r="Z301" i="5"/>
  <c r="Y301" i="5"/>
  <c r="X301" i="5"/>
  <c r="W301" i="5"/>
  <c r="T301" i="5"/>
  <c r="U301" i="5" s="1"/>
  <c r="R301" i="5"/>
  <c r="Q301" i="5"/>
  <c r="S301" i="5" s="1"/>
  <c r="N301" i="5"/>
  <c r="O301" i="5" s="1"/>
  <c r="M301" i="5"/>
  <c r="L301" i="5"/>
  <c r="J301" i="5"/>
  <c r="AB300" i="5"/>
  <c r="AA300" i="5"/>
  <c r="Z300" i="5"/>
  <c r="Y300" i="5"/>
  <c r="X300" i="5"/>
  <c r="W300" i="5"/>
  <c r="V300" i="5"/>
  <c r="T300" i="5"/>
  <c r="U300" i="5" s="1"/>
  <c r="R300" i="5"/>
  <c r="Q300" i="5"/>
  <c r="S300" i="5" s="1"/>
  <c r="P300" i="5"/>
  <c r="N300" i="5"/>
  <c r="O300" i="5" s="1"/>
  <c r="M300" i="5"/>
  <c r="L300" i="5"/>
  <c r="J300" i="5"/>
  <c r="AB299" i="5"/>
  <c r="AA299" i="5"/>
  <c r="Z299" i="5"/>
  <c r="Y299" i="5"/>
  <c r="X299" i="5"/>
  <c r="W299" i="5"/>
  <c r="T299" i="5"/>
  <c r="U299" i="5" s="1"/>
  <c r="R299" i="5"/>
  <c r="Q299" i="5"/>
  <c r="S299" i="5" s="1"/>
  <c r="N299" i="5"/>
  <c r="O299" i="5" s="1"/>
  <c r="AB298" i="5"/>
  <c r="AA298" i="5"/>
  <c r="Z298" i="5"/>
  <c r="Y298" i="5"/>
  <c r="X298" i="5"/>
  <c r="W298" i="5"/>
  <c r="T298" i="5"/>
  <c r="V298" i="5" s="1"/>
  <c r="Q298" i="5"/>
  <c r="R298" i="5" s="1"/>
  <c r="O298" i="5"/>
  <c r="N298" i="5"/>
  <c r="P298" i="5" s="1"/>
  <c r="M298" i="5"/>
  <c r="L298" i="5"/>
  <c r="J298" i="5"/>
  <c r="AB297" i="5"/>
  <c r="AA297" i="5"/>
  <c r="Z297" i="5"/>
  <c r="Y297" i="5"/>
  <c r="X297" i="5"/>
  <c r="W297" i="5"/>
  <c r="T297" i="5"/>
  <c r="V297" i="5" s="1"/>
  <c r="Q297" i="5"/>
  <c r="R297" i="5" s="1"/>
  <c r="N297" i="5"/>
  <c r="P297" i="5" s="1"/>
  <c r="M297" i="5"/>
  <c r="L297" i="5"/>
  <c r="J297" i="5"/>
  <c r="AB296" i="5"/>
  <c r="AA296" i="5"/>
  <c r="Z296" i="5"/>
  <c r="Y296" i="5"/>
  <c r="X296" i="5"/>
  <c r="W296" i="5"/>
  <c r="U296" i="5"/>
  <c r="T296" i="5"/>
  <c r="V296" i="5" s="1"/>
  <c r="Q296" i="5"/>
  <c r="R296" i="5" s="1"/>
  <c r="N296" i="5"/>
  <c r="P296" i="5" s="1"/>
  <c r="M296" i="5"/>
  <c r="L296" i="5"/>
  <c r="J296" i="5"/>
  <c r="AB295" i="5"/>
  <c r="AA295" i="5"/>
  <c r="Z295" i="5"/>
  <c r="Y295" i="5"/>
  <c r="X295" i="5"/>
  <c r="W295" i="5"/>
  <c r="U295" i="5"/>
  <c r="T295" i="5"/>
  <c r="V295" i="5" s="1"/>
  <c r="S295" i="5"/>
  <c r="Q295" i="5"/>
  <c r="R295" i="5" s="1"/>
  <c r="O295" i="5"/>
  <c r="N295" i="5"/>
  <c r="P295" i="5" s="1"/>
  <c r="M295" i="5"/>
  <c r="L295" i="5"/>
  <c r="J295" i="5"/>
  <c r="AB294" i="5"/>
  <c r="AA294" i="5"/>
  <c r="Z294" i="5"/>
  <c r="Y294" i="5"/>
  <c r="X294" i="5"/>
  <c r="W294" i="5"/>
  <c r="T294" i="5"/>
  <c r="V294" i="5" s="1"/>
  <c r="Q294" i="5"/>
  <c r="R294" i="5" s="1"/>
  <c r="O294" i="5"/>
  <c r="N294" i="5"/>
  <c r="P294" i="5" s="1"/>
  <c r="M294" i="5"/>
  <c r="L294" i="5"/>
  <c r="J294" i="5"/>
  <c r="AB293" i="5"/>
  <c r="AA293" i="5"/>
  <c r="Z293" i="5"/>
  <c r="Y293" i="5"/>
  <c r="X293" i="5"/>
  <c r="W293" i="5"/>
  <c r="T293" i="5"/>
  <c r="V293" i="5" s="1"/>
  <c r="Q293" i="5"/>
  <c r="R293" i="5" s="1"/>
  <c r="N293" i="5"/>
  <c r="P293" i="5" s="1"/>
  <c r="M293" i="5"/>
  <c r="L293" i="5"/>
  <c r="J293" i="5"/>
  <c r="AB292" i="5"/>
  <c r="AA292" i="5"/>
  <c r="Z292" i="5"/>
  <c r="Y292" i="5"/>
  <c r="X292" i="5"/>
  <c r="W292" i="5"/>
  <c r="U292" i="5"/>
  <c r="T292" i="5"/>
  <c r="V292" i="5" s="1"/>
  <c r="Q292" i="5"/>
  <c r="R292" i="5" s="1"/>
  <c r="N292" i="5"/>
  <c r="P292" i="5" s="1"/>
  <c r="AB291" i="5"/>
  <c r="AA291" i="5"/>
  <c r="Z291" i="5"/>
  <c r="Y291" i="5"/>
  <c r="X291" i="5"/>
  <c r="W291" i="5"/>
  <c r="T291" i="5"/>
  <c r="U291" i="5" s="1"/>
  <c r="R291" i="5"/>
  <c r="Q291" i="5"/>
  <c r="S291" i="5" s="1"/>
  <c r="N291" i="5"/>
  <c r="O291" i="5" s="1"/>
  <c r="M291" i="5"/>
  <c r="L291" i="5"/>
  <c r="J291" i="5"/>
  <c r="AB290" i="5"/>
  <c r="AA290" i="5"/>
  <c r="Z290" i="5"/>
  <c r="Y290" i="5"/>
  <c r="X290" i="5"/>
  <c r="W290" i="5"/>
  <c r="V290" i="5"/>
  <c r="T290" i="5"/>
  <c r="U290" i="5" s="1"/>
  <c r="R290" i="5"/>
  <c r="Q290" i="5"/>
  <c r="S290" i="5" s="1"/>
  <c r="P290" i="5"/>
  <c r="N290" i="5"/>
  <c r="O290" i="5" s="1"/>
  <c r="M290" i="5"/>
  <c r="L290" i="5"/>
  <c r="J290" i="5"/>
  <c r="AB289" i="5"/>
  <c r="AA289" i="5"/>
  <c r="Z289" i="5"/>
  <c r="Y289" i="5"/>
  <c r="X289" i="5"/>
  <c r="W289" i="5"/>
  <c r="T289" i="5"/>
  <c r="U289" i="5" s="1"/>
  <c r="R289" i="5"/>
  <c r="Q289" i="5"/>
  <c r="S289" i="5" s="1"/>
  <c r="N289" i="5"/>
  <c r="O289" i="5" s="1"/>
  <c r="M289" i="5"/>
  <c r="L289" i="5"/>
  <c r="J289" i="5"/>
  <c r="AB288" i="5"/>
  <c r="AA288" i="5"/>
  <c r="Z288" i="5"/>
  <c r="Y288" i="5"/>
  <c r="X288" i="5"/>
  <c r="W288" i="5"/>
  <c r="V288" i="5"/>
  <c r="T288" i="5"/>
  <c r="U288" i="5" s="1"/>
  <c r="R288" i="5"/>
  <c r="Q288" i="5"/>
  <c r="S288" i="5" s="1"/>
  <c r="P288" i="5"/>
  <c r="N288" i="5"/>
  <c r="O288" i="5" s="1"/>
  <c r="M288" i="5"/>
  <c r="L288" i="5"/>
  <c r="J288" i="5"/>
  <c r="AB287" i="5"/>
  <c r="AA287" i="5"/>
  <c r="Z287" i="5"/>
  <c r="Y287" i="5"/>
  <c r="X287" i="5"/>
  <c r="W287" i="5"/>
  <c r="T287" i="5"/>
  <c r="U287" i="5" s="1"/>
  <c r="R287" i="5"/>
  <c r="Q287" i="5"/>
  <c r="S287" i="5" s="1"/>
  <c r="N287" i="5"/>
  <c r="O287" i="5" s="1"/>
  <c r="M287" i="5"/>
  <c r="L287" i="5"/>
  <c r="J287" i="5"/>
  <c r="AB286" i="5"/>
  <c r="AA286" i="5"/>
  <c r="Z286" i="5"/>
  <c r="Y286" i="5"/>
  <c r="X286" i="5"/>
  <c r="W286" i="5"/>
  <c r="V286" i="5"/>
  <c r="T286" i="5"/>
  <c r="U286" i="5" s="1"/>
  <c r="R286" i="5"/>
  <c r="Q286" i="5"/>
  <c r="S286" i="5" s="1"/>
  <c r="P286" i="5"/>
  <c r="N286" i="5"/>
  <c r="O286" i="5" s="1"/>
  <c r="M286" i="5"/>
  <c r="L286" i="5"/>
  <c r="J286" i="5"/>
  <c r="AB285" i="5"/>
  <c r="AA285" i="5"/>
  <c r="Z285" i="5"/>
  <c r="Y285" i="5"/>
  <c r="X285" i="5"/>
  <c r="W285" i="5"/>
  <c r="T285" i="5"/>
  <c r="U285" i="5" s="1"/>
  <c r="R285" i="5"/>
  <c r="Q285" i="5"/>
  <c r="S285" i="5" s="1"/>
  <c r="N285" i="5"/>
  <c r="O285" i="5" s="1"/>
  <c r="AB284" i="5"/>
  <c r="AA284" i="5"/>
  <c r="Z284" i="5"/>
  <c r="Y284" i="5"/>
  <c r="X284" i="5"/>
  <c r="W284" i="5"/>
  <c r="T284" i="5"/>
  <c r="V284" i="5" s="1"/>
  <c r="Q284" i="5"/>
  <c r="R284" i="5" s="1"/>
  <c r="O284" i="5"/>
  <c r="N284" i="5"/>
  <c r="P284" i="5" s="1"/>
  <c r="M284" i="5"/>
  <c r="L284" i="5"/>
  <c r="J284" i="5"/>
  <c r="AB283" i="5"/>
  <c r="AA283" i="5"/>
  <c r="Z283" i="5"/>
  <c r="Y283" i="5"/>
  <c r="X283" i="5"/>
  <c r="W283" i="5"/>
  <c r="T283" i="5"/>
  <c r="V283" i="5" s="1"/>
  <c r="Q283" i="5"/>
  <c r="R283" i="5" s="1"/>
  <c r="N283" i="5"/>
  <c r="P283" i="5" s="1"/>
  <c r="M283" i="5"/>
  <c r="L283" i="5"/>
  <c r="J283" i="5"/>
  <c r="AB282" i="5"/>
  <c r="AA282" i="5"/>
  <c r="Z282" i="5"/>
  <c r="Y282" i="5"/>
  <c r="X282" i="5"/>
  <c r="W282" i="5"/>
  <c r="U282" i="5"/>
  <c r="T282" i="5"/>
  <c r="V282" i="5" s="1"/>
  <c r="Q282" i="5"/>
  <c r="R282" i="5" s="1"/>
  <c r="N282" i="5"/>
  <c r="P282" i="5" s="1"/>
  <c r="M282" i="5"/>
  <c r="L282" i="5"/>
  <c r="J282" i="5"/>
  <c r="AB281" i="5"/>
  <c r="AA281" i="5"/>
  <c r="Z281" i="5"/>
  <c r="Y281" i="5"/>
  <c r="X281" i="5"/>
  <c r="W281" i="5"/>
  <c r="U281" i="5"/>
  <c r="T281" i="5"/>
  <c r="V281" i="5" s="1"/>
  <c r="S281" i="5"/>
  <c r="Q281" i="5"/>
  <c r="R281" i="5" s="1"/>
  <c r="O281" i="5"/>
  <c r="N281" i="5"/>
  <c r="P281" i="5" s="1"/>
  <c r="M281" i="5"/>
  <c r="L281" i="5"/>
  <c r="J281" i="5"/>
  <c r="AB280" i="5"/>
  <c r="AA280" i="5"/>
  <c r="Z280" i="5"/>
  <c r="Y280" i="5"/>
  <c r="X280" i="5"/>
  <c r="W280" i="5"/>
  <c r="T280" i="5"/>
  <c r="V280" i="5" s="1"/>
  <c r="Q280" i="5"/>
  <c r="R280" i="5" s="1"/>
  <c r="O280" i="5"/>
  <c r="N280" i="5"/>
  <c r="P280" i="5" s="1"/>
  <c r="M280" i="5"/>
  <c r="L280" i="5"/>
  <c r="J280" i="5"/>
  <c r="AB279" i="5"/>
  <c r="AA279" i="5"/>
  <c r="Z279" i="5"/>
  <c r="Y279" i="5"/>
  <c r="X279" i="5"/>
  <c r="W279" i="5"/>
  <c r="T279" i="5"/>
  <c r="V279" i="5" s="1"/>
  <c r="Q279" i="5"/>
  <c r="R279" i="5" s="1"/>
  <c r="N279" i="5"/>
  <c r="P279" i="5" s="1"/>
  <c r="M279" i="5"/>
  <c r="L279" i="5"/>
  <c r="J279" i="5"/>
  <c r="AB278" i="5"/>
  <c r="AA278" i="5"/>
  <c r="Z278" i="5"/>
  <c r="Y278" i="5"/>
  <c r="X278" i="5"/>
  <c r="W278" i="5"/>
  <c r="U278" i="5"/>
  <c r="T278" i="5"/>
  <c r="V278" i="5" s="1"/>
  <c r="Q278" i="5"/>
  <c r="R278" i="5" s="1"/>
  <c r="N278" i="5"/>
  <c r="P278" i="5" s="1"/>
  <c r="AB277" i="5"/>
  <c r="AA277" i="5"/>
  <c r="Z277" i="5"/>
  <c r="Y277" i="5"/>
  <c r="X277" i="5"/>
  <c r="W277" i="5"/>
  <c r="T277" i="5"/>
  <c r="U277" i="5" s="1"/>
  <c r="R277" i="5"/>
  <c r="Q277" i="5"/>
  <c r="S277" i="5" s="1"/>
  <c r="N277" i="5"/>
  <c r="O277" i="5" s="1"/>
  <c r="M277" i="5"/>
  <c r="L277" i="5"/>
  <c r="J277" i="5"/>
  <c r="AB276" i="5"/>
  <c r="AA276" i="5"/>
  <c r="Z276" i="5"/>
  <c r="Y276" i="5"/>
  <c r="X276" i="5"/>
  <c r="W276" i="5"/>
  <c r="V276" i="5"/>
  <c r="T276" i="5"/>
  <c r="U276" i="5" s="1"/>
  <c r="R276" i="5"/>
  <c r="Q276" i="5"/>
  <c r="S276" i="5" s="1"/>
  <c r="P276" i="5"/>
  <c r="N276" i="5"/>
  <c r="O276" i="5" s="1"/>
  <c r="M276" i="5"/>
  <c r="L276" i="5"/>
  <c r="J276" i="5"/>
  <c r="AB275" i="5"/>
  <c r="AA275" i="5"/>
  <c r="Z275" i="5"/>
  <c r="Y275" i="5"/>
  <c r="X275" i="5"/>
  <c r="W275" i="5"/>
  <c r="T275" i="5"/>
  <c r="U275" i="5" s="1"/>
  <c r="R275" i="5"/>
  <c r="Q275" i="5"/>
  <c r="S275" i="5" s="1"/>
  <c r="N275" i="5"/>
  <c r="O275" i="5" s="1"/>
  <c r="M275" i="5"/>
  <c r="L275" i="5"/>
  <c r="J275" i="5"/>
  <c r="AB274" i="5"/>
  <c r="AA274" i="5"/>
  <c r="Z274" i="5"/>
  <c r="Y274" i="5"/>
  <c r="X274" i="5"/>
  <c r="W274" i="5"/>
  <c r="V274" i="5"/>
  <c r="T274" i="5"/>
  <c r="U274" i="5" s="1"/>
  <c r="R274" i="5"/>
  <c r="Q274" i="5"/>
  <c r="S274" i="5" s="1"/>
  <c r="P274" i="5"/>
  <c r="N274" i="5"/>
  <c r="O274" i="5" s="1"/>
  <c r="M274" i="5"/>
  <c r="L274" i="5"/>
  <c r="J274" i="5"/>
  <c r="AB273" i="5"/>
  <c r="AA273" i="5"/>
  <c r="Z273" i="5"/>
  <c r="Y273" i="5"/>
  <c r="X273" i="5"/>
  <c r="W273" i="5"/>
  <c r="T273" i="5"/>
  <c r="U273" i="5" s="1"/>
  <c r="R273" i="5"/>
  <c r="Q273" i="5"/>
  <c r="S273" i="5" s="1"/>
  <c r="N273" i="5"/>
  <c r="O273" i="5" s="1"/>
  <c r="M273" i="5"/>
  <c r="L273" i="5"/>
  <c r="J273" i="5"/>
  <c r="AB272" i="5"/>
  <c r="AA272" i="5"/>
  <c r="Z272" i="5"/>
  <c r="Y272" i="5"/>
  <c r="X272" i="5"/>
  <c r="W272" i="5"/>
  <c r="V272" i="5"/>
  <c r="T272" i="5"/>
  <c r="U272" i="5" s="1"/>
  <c r="R272" i="5"/>
  <c r="Q272" i="5"/>
  <c r="S272" i="5" s="1"/>
  <c r="P272" i="5"/>
  <c r="N272" i="5"/>
  <c r="O272" i="5" s="1"/>
  <c r="M272" i="5"/>
  <c r="L272" i="5"/>
  <c r="J272" i="5"/>
  <c r="AB271" i="5"/>
  <c r="AA271" i="5"/>
  <c r="Z271" i="5"/>
  <c r="Y271" i="5"/>
  <c r="X271" i="5"/>
  <c r="W271" i="5"/>
  <c r="T271" i="5"/>
  <c r="U271" i="5" s="1"/>
  <c r="R271" i="5"/>
  <c r="Q271" i="5"/>
  <c r="S271" i="5" s="1"/>
  <c r="N271" i="5"/>
  <c r="O271" i="5" s="1"/>
  <c r="AB270" i="5"/>
  <c r="AA270" i="5"/>
  <c r="Z270" i="5"/>
  <c r="Y270" i="5"/>
  <c r="X270" i="5"/>
  <c r="W270" i="5"/>
  <c r="T270" i="5"/>
  <c r="V270" i="5" s="1"/>
  <c r="Q270" i="5"/>
  <c r="R270" i="5" s="1"/>
  <c r="O270" i="5"/>
  <c r="N270" i="5"/>
  <c r="P270" i="5" s="1"/>
  <c r="M270" i="5"/>
  <c r="L270" i="5"/>
  <c r="J270" i="5"/>
  <c r="AB269" i="5"/>
  <c r="AA269" i="5"/>
  <c r="Z269" i="5"/>
  <c r="Y269" i="5"/>
  <c r="X269" i="5"/>
  <c r="W269" i="5"/>
  <c r="T269" i="5"/>
  <c r="V269" i="5" s="1"/>
  <c r="Q269" i="5"/>
  <c r="R269" i="5" s="1"/>
  <c r="N269" i="5"/>
  <c r="P269" i="5" s="1"/>
  <c r="M269" i="5"/>
  <c r="L269" i="5"/>
  <c r="J269" i="5"/>
  <c r="AB268" i="5"/>
  <c r="AA268" i="5"/>
  <c r="Z268" i="5"/>
  <c r="Y268" i="5"/>
  <c r="X268" i="5"/>
  <c r="W268" i="5"/>
  <c r="U268" i="5"/>
  <c r="T268" i="5"/>
  <c r="V268" i="5" s="1"/>
  <c r="Q268" i="5"/>
  <c r="R268" i="5" s="1"/>
  <c r="N268" i="5"/>
  <c r="P268" i="5" s="1"/>
  <c r="M268" i="5"/>
  <c r="L268" i="5"/>
  <c r="J268" i="5"/>
  <c r="AB267" i="5"/>
  <c r="AA267" i="5"/>
  <c r="Z267" i="5"/>
  <c r="Y267" i="5"/>
  <c r="X267" i="5"/>
  <c r="W267" i="5"/>
  <c r="U267" i="5"/>
  <c r="T267" i="5"/>
  <c r="V267" i="5" s="1"/>
  <c r="S267" i="5"/>
  <c r="Q267" i="5"/>
  <c r="R267" i="5" s="1"/>
  <c r="O267" i="5"/>
  <c r="N267" i="5"/>
  <c r="P267" i="5" s="1"/>
  <c r="M267" i="5"/>
  <c r="L267" i="5"/>
  <c r="J267" i="5"/>
  <c r="AB266" i="5"/>
  <c r="AA266" i="5"/>
  <c r="Z266" i="5"/>
  <c r="Y266" i="5"/>
  <c r="X266" i="5"/>
  <c r="W266" i="5"/>
  <c r="T266" i="5"/>
  <c r="V266" i="5" s="1"/>
  <c r="Q266" i="5"/>
  <c r="R266" i="5" s="1"/>
  <c r="O266" i="5"/>
  <c r="N266" i="5"/>
  <c r="P266" i="5" s="1"/>
  <c r="M266" i="5"/>
  <c r="L266" i="5"/>
  <c r="J266" i="5"/>
  <c r="AB265" i="5"/>
  <c r="AA265" i="5"/>
  <c r="Z265" i="5"/>
  <c r="Y265" i="5"/>
  <c r="X265" i="5"/>
  <c r="W265" i="5"/>
  <c r="T265" i="5"/>
  <c r="V265" i="5" s="1"/>
  <c r="Q265" i="5"/>
  <c r="R265" i="5" s="1"/>
  <c r="N265" i="5"/>
  <c r="P265" i="5" s="1"/>
  <c r="M265" i="5"/>
  <c r="L265" i="5"/>
  <c r="J265" i="5"/>
  <c r="AB264" i="5"/>
  <c r="AA264" i="5"/>
  <c r="Z264" i="5"/>
  <c r="Y264" i="5"/>
  <c r="X264" i="5"/>
  <c r="W264" i="5"/>
  <c r="U264" i="5"/>
  <c r="T264" i="5"/>
  <c r="V264" i="5" s="1"/>
  <c r="Q264" i="5"/>
  <c r="R264" i="5" s="1"/>
  <c r="N264" i="5"/>
  <c r="P264" i="5" s="1"/>
  <c r="AB263" i="5"/>
  <c r="AA263" i="5"/>
  <c r="Z263" i="5"/>
  <c r="Y263" i="5"/>
  <c r="X263" i="5"/>
  <c r="W263" i="5"/>
  <c r="T263" i="5"/>
  <c r="U263" i="5" s="1"/>
  <c r="R263" i="5"/>
  <c r="Q263" i="5"/>
  <c r="S263" i="5" s="1"/>
  <c r="N263" i="5"/>
  <c r="O263" i="5" s="1"/>
  <c r="M263" i="5"/>
  <c r="L263" i="5"/>
  <c r="J263" i="5"/>
  <c r="AB262" i="5"/>
  <c r="AA262" i="5"/>
  <c r="Z262" i="5"/>
  <c r="Y262" i="5"/>
  <c r="X262" i="5"/>
  <c r="W262" i="5"/>
  <c r="V262" i="5"/>
  <c r="T262" i="5"/>
  <c r="U262" i="5" s="1"/>
  <c r="R262" i="5"/>
  <c r="Q262" i="5"/>
  <c r="S262" i="5" s="1"/>
  <c r="P262" i="5"/>
  <c r="N262" i="5"/>
  <c r="O262" i="5" s="1"/>
  <c r="M262" i="5"/>
  <c r="L262" i="5"/>
  <c r="J262" i="5"/>
  <c r="AB261" i="5"/>
  <c r="AA261" i="5"/>
  <c r="Z261" i="5"/>
  <c r="Y261" i="5"/>
  <c r="X261" i="5"/>
  <c r="W261" i="5"/>
  <c r="T261" i="5"/>
  <c r="U261" i="5" s="1"/>
  <c r="R261" i="5"/>
  <c r="Q261" i="5"/>
  <c r="S261" i="5" s="1"/>
  <c r="N261" i="5"/>
  <c r="O261" i="5" s="1"/>
  <c r="M261" i="5"/>
  <c r="L261" i="5"/>
  <c r="J261" i="5"/>
  <c r="AB260" i="5"/>
  <c r="AA260" i="5"/>
  <c r="Z260" i="5"/>
  <c r="Y260" i="5"/>
  <c r="X260" i="5"/>
  <c r="W260" i="5"/>
  <c r="V260" i="5"/>
  <c r="T260" i="5"/>
  <c r="U260" i="5" s="1"/>
  <c r="R260" i="5"/>
  <c r="Q260" i="5"/>
  <c r="S260" i="5" s="1"/>
  <c r="P260" i="5"/>
  <c r="N260" i="5"/>
  <c r="O260" i="5" s="1"/>
  <c r="M260" i="5"/>
  <c r="L260" i="5"/>
  <c r="J260" i="5"/>
  <c r="AB259" i="5"/>
  <c r="AA259" i="5"/>
  <c r="Z259" i="5"/>
  <c r="Y259" i="5"/>
  <c r="X259" i="5"/>
  <c r="W259" i="5"/>
  <c r="T259" i="5"/>
  <c r="U259" i="5" s="1"/>
  <c r="R259" i="5"/>
  <c r="Q259" i="5"/>
  <c r="S259" i="5" s="1"/>
  <c r="N259" i="5"/>
  <c r="O259" i="5" s="1"/>
  <c r="M259" i="5"/>
  <c r="L259" i="5"/>
  <c r="J259" i="5"/>
  <c r="AB258" i="5"/>
  <c r="AA258" i="5"/>
  <c r="Z258" i="5"/>
  <c r="Y258" i="5"/>
  <c r="X258" i="5"/>
  <c r="W258" i="5"/>
  <c r="V258" i="5"/>
  <c r="T258" i="5"/>
  <c r="U258" i="5" s="1"/>
  <c r="R258" i="5"/>
  <c r="Q258" i="5"/>
  <c r="S258" i="5" s="1"/>
  <c r="P258" i="5"/>
  <c r="N258" i="5"/>
  <c r="O258" i="5" s="1"/>
  <c r="M258" i="5"/>
  <c r="L258" i="5"/>
  <c r="J258" i="5"/>
  <c r="AB257" i="5"/>
  <c r="AA257" i="5"/>
  <c r="Z257" i="5"/>
  <c r="Y257" i="5"/>
  <c r="X257" i="5"/>
  <c r="W257" i="5"/>
  <c r="T257" i="5"/>
  <c r="U257" i="5" s="1"/>
  <c r="R257" i="5"/>
  <c r="Q257" i="5"/>
  <c r="S257" i="5" s="1"/>
  <c r="N257" i="5"/>
  <c r="O257" i="5" s="1"/>
  <c r="AB256" i="5"/>
  <c r="AA256" i="5"/>
  <c r="Z256" i="5"/>
  <c r="Y256" i="5"/>
  <c r="X256" i="5"/>
  <c r="W256" i="5"/>
  <c r="T256" i="5"/>
  <c r="V256" i="5" s="1"/>
  <c r="Q256" i="5"/>
  <c r="R256" i="5" s="1"/>
  <c r="O256" i="5"/>
  <c r="N256" i="5"/>
  <c r="P256" i="5" s="1"/>
  <c r="M256" i="5"/>
  <c r="L256" i="5"/>
  <c r="J256" i="5"/>
  <c r="AB255" i="5"/>
  <c r="AA255" i="5"/>
  <c r="Z255" i="5"/>
  <c r="Y255" i="5"/>
  <c r="X255" i="5"/>
  <c r="W255" i="5"/>
  <c r="T255" i="5"/>
  <c r="V255" i="5" s="1"/>
  <c r="Q255" i="5"/>
  <c r="R255" i="5" s="1"/>
  <c r="N255" i="5"/>
  <c r="P255" i="5" s="1"/>
  <c r="M255" i="5"/>
  <c r="L255" i="5"/>
  <c r="J255" i="5"/>
  <c r="AB254" i="5"/>
  <c r="AA254" i="5"/>
  <c r="Z254" i="5"/>
  <c r="Y254" i="5"/>
  <c r="X254" i="5"/>
  <c r="W254" i="5"/>
  <c r="U254" i="5"/>
  <c r="T254" i="5"/>
  <c r="V254" i="5" s="1"/>
  <c r="Q254" i="5"/>
  <c r="R254" i="5" s="1"/>
  <c r="N254" i="5"/>
  <c r="P254" i="5" s="1"/>
  <c r="M254" i="5"/>
  <c r="L254" i="5"/>
  <c r="J254" i="5"/>
  <c r="AB253" i="5"/>
  <c r="AA253" i="5"/>
  <c r="Z253" i="5"/>
  <c r="Y253" i="5"/>
  <c r="X253" i="5"/>
  <c r="W253" i="5"/>
  <c r="U253" i="5"/>
  <c r="T253" i="5"/>
  <c r="V253" i="5" s="1"/>
  <c r="S253" i="5"/>
  <c r="Q253" i="5"/>
  <c r="R253" i="5" s="1"/>
  <c r="O253" i="5"/>
  <c r="N253" i="5"/>
  <c r="P253" i="5" s="1"/>
  <c r="M253" i="5"/>
  <c r="L253" i="5"/>
  <c r="J253" i="5"/>
  <c r="AB252" i="5"/>
  <c r="AA252" i="5"/>
  <c r="Z252" i="5"/>
  <c r="Y252" i="5"/>
  <c r="X252" i="5"/>
  <c r="W252" i="5"/>
  <c r="T252" i="5"/>
  <c r="V252" i="5" s="1"/>
  <c r="Q252" i="5"/>
  <c r="R252" i="5" s="1"/>
  <c r="O252" i="5"/>
  <c r="N252" i="5"/>
  <c r="P252" i="5" s="1"/>
  <c r="M252" i="5"/>
  <c r="L252" i="5"/>
  <c r="J252" i="5"/>
  <c r="AB251" i="5"/>
  <c r="AA251" i="5"/>
  <c r="Z251" i="5"/>
  <c r="Y251" i="5"/>
  <c r="X251" i="5"/>
  <c r="W251" i="5"/>
  <c r="T251" i="5"/>
  <c r="V251" i="5" s="1"/>
  <c r="Q251" i="5"/>
  <c r="R251" i="5" s="1"/>
  <c r="N251" i="5"/>
  <c r="P251" i="5" s="1"/>
  <c r="M251" i="5"/>
  <c r="L251" i="5"/>
  <c r="J251" i="5"/>
  <c r="AB250" i="5"/>
  <c r="AA250" i="5"/>
  <c r="Z250" i="5"/>
  <c r="Y250" i="5"/>
  <c r="X250" i="5"/>
  <c r="W250" i="5"/>
  <c r="U250" i="5"/>
  <c r="T250" i="5"/>
  <c r="V250" i="5" s="1"/>
  <c r="Q250" i="5"/>
  <c r="R250" i="5" s="1"/>
  <c r="N250" i="5"/>
  <c r="P250" i="5" s="1"/>
  <c r="AB249" i="5"/>
  <c r="AA249" i="5"/>
  <c r="Z249" i="5"/>
  <c r="Y249" i="5"/>
  <c r="X249" i="5"/>
  <c r="W249" i="5"/>
  <c r="T249" i="5"/>
  <c r="U249" i="5" s="1"/>
  <c r="R249" i="5"/>
  <c r="Q249" i="5"/>
  <c r="S249" i="5" s="1"/>
  <c r="N249" i="5"/>
  <c r="O249" i="5" s="1"/>
  <c r="M249" i="5"/>
  <c r="L249" i="5"/>
  <c r="J249" i="5"/>
  <c r="AB248" i="5"/>
  <c r="AA248" i="5"/>
  <c r="Z248" i="5"/>
  <c r="Y248" i="5"/>
  <c r="X248" i="5"/>
  <c r="W248" i="5"/>
  <c r="V248" i="5"/>
  <c r="T248" i="5"/>
  <c r="U248" i="5" s="1"/>
  <c r="R248" i="5"/>
  <c r="Q248" i="5"/>
  <c r="S248" i="5" s="1"/>
  <c r="P248" i="5"/>
  <c r="N248" i="5"/>
  <c r="O248" i="5" s="1"/>
  <c r="M248" i="5"/>
  <c r="L248" i="5"/>
  <c r="J248" i="5"/>
  <c r="AB247" i="5"/>
  <c r="AA247" i="5"/>
  <c r="Z247" i="5"/>
  <c r="Y247" i="5"/>
  <c r="X247" i="5"/>
  <c r="W247" i="5"/>
  <c r="T247" i="5"/>
  <c r="U247" i="5" s="1"/>
  <c r="R247" i="5"/>
  <c r="Q247" i="5"/>
  <c r="S247" i="5" s="1"/>
  <c r="N247" i="5"/>
  <c r="O247" i="5" s="1"/>
  <c r="M247" i="5"/>
  <c r="L247" i="5"/>
  <c r="J247" i="5"/>
  <c r="AB246" i="5"/>
  <c r="AA246" i="5"/>
  <c r="Z246" i="5"/>
  <c r="Y246" i="5"/>
  <c r="X246" i="5"/>
  <c r="W246" i="5"/>
  <c r="V246" i="5"/>
  <c r="T246" i="5"/>
  <c r="U246" i="5" s="1"/>
  <c r="R246" i="5"/>
  <c r="Q246" i="5"/>
  <c r="S246" i="5" s="1"/>
  <c r="P246" i="5"/>
  <c r="N246" i="5"/>
  <c r="O246" i="5" s="1"/>
  <c r="M246" i="5"/>
  <c r="L246" i="5"/>
  <c r="J246" i="5"/>
  <c r="AB245" i="5"/>
  <c r="AA245" i="5"/>
  <c r="Z245" i="5"/>
  <c r="Y245" i="5"/>
  <c r="X245" i="5"/>
  <c r="W245" i="5"/>
  <c r="T245" i="5"/>
  <c r="U245" i="5" s="1"/>
  <c r="R245" i="5"/>
  <c r="Q245" i="5"/>
  <c r="S245" i="5" s="1"/>
  <c r="N245" i="5"/>
  <c r="O245" i="5" s="1"/>
  <c r="M245" i="5"/>
  <c r="L245" i="5"/>
  <c r="J245" i="5"/>
  <c r="AB244" i="5"/>
  <c r="AA244" i="5"/>
  <c r="Z244" i="5"/>
  <c r="Y244" i="5"/>
  <c r="X244" i="5"/>
  <c r="W244" i="5"/>
  <c r="V244" i="5"/>
  <c r="T244" i="5"/>
  <c r="U244" i="5" s="1"/>
  <c r="R244" i="5"/>
  <c r="Q244" i="5"/>
  <c r="S244" i="5" s="1"/>
  <c r="P244" i="5"/>
  <c r="N244" i="5"/>
  <c r="O244" i="5" s="1"/>
  <c r="M244" i="5"/>
  <c r="L244" i="5"/>
  <c r="J244" i="5"/>
  <c r="AB243" i="5"/>
  <c r="AA243" i="5"/>
  <c r="Z243" i="5"/>
  <c r="Y243" i="5"/>
  <c r="X243" i="5"/>
  <c r="W243" i="5"/>
  <c r="T243" i="5"/>
  <c r="U243" i="5" s="1"/>
  <c r="R243" i="5"/>
  <c r="Q243" i="5"/>
  <c r="S243" i="5" s="1"/>
  <c r="N243" i="5"/>
  <c r="O243" i="5" s="1"/>
  <c r="AB242" i="5"/>
  <c r="AA242" i="5"/>
  <c r="Z242" i="5"/>
  <c r="Y242" i="5"/>
  <c r="X242" i="5"/>
  <c r="W242" i="5"/>
  <c r="T242" i="5"/>
  <c r="V242" i="5" s="1"/>
  <c r="Q242" i="5"/>
  <c r="R242" i="5" s="1"/>
  <c r="O242" i="5"/>
  <c r="N242" i="5"/>
  <c r="P242" i="5" s="1"/>
  <c r="M242" i="5"/>
  <c r="L242" i="5"/>
  <c r="J242" i="5"/>
  <c r="AB241" i="5"/>
  <c r="AA241" i="5"/>
  <c r="Z241" i="5"/>
  <c r="Y241" i="5"/>
  <c r="X241" i="5"/>
  <c r="W241" i="5"/>
  <c r="T241" i="5"/>
  <c r="V241" i="5" s="1"/>
  <c r="Q241" i="5"/>
  <c r="R241" i="5" s="1"/>
  <c r="N241" i="5"/>
  <c r="P241" i="5" s="1"/>
  <c r="M241" i="5"/>
  <c r="L241" i="5"/>
  <c r="J241" i="5"/>
  <c r="AB240" i="5"/>
  <c r="AA240" i="5"/>
  <c r="Z240" i="5"/>
  <c r="Y240" i="5"/>
  <c r="X240" i="5"/>
  <c r="W240" i="5"/>
  <c r="U240" i="5"/>
  <c r="T240" i="5"/>
  <c r="V240" i="5" s="1"/>
  <c r="Q240" i="5"/>
  <c r="R240" i="5" s="1"/>
  <c r="N240" i="5"/>
  <c r="P240" i="5" s="1"/>
  <c r="M240" i="5"/>
  <c r="L240" i="5"/>
  <c r="J240" i="5"/>
  <c r="AB239" i="5"/>
  <c r="AA239" i="5"/>
  <c r="Z239" i="5"/>
  <c r="Y239" i="5"/>
  <c r="X239" i="5"/>
  <c r="W239" i="5"/>
  <c r="U239" i="5"/>
  <c r="T239" i="5"/>
  <c r="V239" i="5" s="1"/>
  <c r="S239" i="5"/>
  <c r="Q239" i="5"/>
  <c r="R239" i="5" s="1"/>
  <c r="O239" i="5"/>
  <c r="N239" i="5"/>
  <c r="P239" i="5" s="1"/>
  <c r="M239" i="5"/>
  <c r="L239" i="5"/>
  <c r="J239" i="5"/>
  <c r="AB238" i="5"/>
  <c r="AA238" i="5"/>
  <c r="Z238" i="5"/>
  <c r="Y238" i="5"/>
  <c r="X238" i="5"/>
  <c r="W238" i="5"/>
  <c r="T238" i="5"/>
  <c r="V238" i="5" s="1"/>
  <c r="Q238" i="5"/>
  <c r="R238" i="5" s="1"/>
  <c r="O238" i="5"/>
  <c r="N238" i="5"/>
  <c r="P238" i="5" s="1"/>
  <c r="M238" i="5"/>
  <c r="L238" i="5"/>
  <c r="J238" i="5"/>
  <c r="AB237" i="5"/>
  <c r="AA237" i="5"/>
  <c r="Z237" i="5"/>
  <c r="Y237" i="5"/>
  <c r="X237" i="5"/>
  <c r="W237" i="5"/>
  <c r="T237" i="5"/>
  <c r="V237" i="5" s="1"/>
  <c r="Q237" i="5"/>
  <c r="R237" i="5" s="1"/>
  <c r="N237" i="5"/>
  <c r="P237" i="5" s="1"/>
  <c r="M237" i="5"/>
  <c r="L237" i="5"/>
  <c r="J237" i="5"/>
  <c r="AB236" i="5"/>
  <c r="AA236" i="5"/>
  <c r="Z236" i="5"/>
  <c r="Y236" i="5"/>
  <c r="X236" i="5"/>
  <c r="W236" i="5"/>
  <c r="U236" i="5"/>
  <c r="T236" i="5"/>
  <c r="V236" i="5" s="1"/>
  <c r="Q236" i="5"/>
  <c r="R236" i="5" s="1"/>
  <c r="N236" i="5"/>
  <c r="P236" i="5" s="1"/>
  <c r="AB235" i="5"/>
  <c r="AA235" i="5"/>
  <c r="Z235" i="5"/>
  <c r="Y235" i="5"/>
  <c r="X235" i="5"/>
  <c r="W235" i="5"/>
  <c r="T235" i="5"/>
  <c r="U235" i="5" s="1"/>
  <c r="R235" i="5"/>
  <c r="Q235" i="5"/>
  <c r="S235" i="5" s="1"/>
  <c r="N235" i="5"/>
  <c r="O235" i="5" s="1"/>
  <c r="M235" i="5"/>
  <c r="L235" i="5"/>
  <c r="J235" i="5"/>
  <c r="AB234" i="5"/>
  <c r="AA234" i="5"/>
  <c r="Z234" i="5"/>
  <c r="Y234" i="5"/>
  <c r="X234" i="5"/>
  <c r="W234" i="5"/>
  <c r="V234" i="5"/>
  <c r="T234" i="5"/>
  <c r="U234" i="5" s="1"/>
  <c r="R234" i="5"/>
  <c r="Q234" i="5"/>
  <c r="S234" i="5" s="1"/>
  <c r="P234" i="5"/>
  <c r="N234" i="5"/>
  <c r="O234" i="5" s="1"/>
  <c r="M234" i="5"/>
  <c r="L234" i="5"/>
  <c r="J234" i="5"/>
  <c r="AB233" i="5"/>
  <c r="AA233" i="5"/>
  <c r="Z233" i="5"/>
  <c r="Y233" i="5"/>
  <c r="X233" i="5"/>
  <c r="W233" i="5"/>
  <c r="T233" i="5"/>
  <c r="U233" i="5" s="1"/>
  <c r="R233" i="5"/>
  <c r="Q233" i="5"/>
  <c r="S233" i="5" s="1"/>
  <c r="N233" i="5"/>
  <c r="O233" i="5" s="1"/>
  <c r="M233" i="5"/>
  <c r="L233" i="5"/>
  <c r="J233" i="5"/>
  <c r="AB232" i="5"/>
  <c r="AA232" i="5"/>
  <c r="Z232" i="5"/>
  <c r="Y232" i="5"/>
  <c r="X232" i="5"/>
  <c r="W232" i="5"/>
  <c r="V232" i="5"/>
  <c r="T232" i="5"/>
  <c r="U232" i="5" s="1"/>
  <c r="R232" i="5"/>
  <c r="Q232" i="5"/>
  <c r="S232" i="5" s="1"/>
  <c r="P232" i="5"/>
  <c r="N232" i="5"/>
  <c r="O232" i="5" s="1"/>
  <c r="M232" i="5"/>
  <c r="L232" i="5"/>
  <c r="J232" i="5"/>
  <c r="AB231" i="5"/>
  <c r="AA231" i="5"/>
  <c r="Z231" i="5"/>
  <c r="Y231" i="5"/>
  <c r="X231" i="5"/>
  <c r="W231" i="5"/>
  <c r="T231" i="5"/>
  <c r="U231" i="5" s="1"/>
  <c r="R231" i="5"/>
  <c r="Q231" i="5"/>
  <c r="S231" i="5" s="1"/>
  <c r="N231" i="5"/>
  <c r="O231" i="5" s="1"/>
  <c r="M231" i="5"/>
  <c r="L231" i="5"/>
  <c r="J231" i="5"/>
  <c r="AB230" i="5"/>
  <c r="AA230" i="5"/>
  <c r="Z230" i="5"/>
  <c r="Y230" i="5"/>
  <c r="X230" i="5"/>
  <c r="W230" i="5"/>
  <c r="V230" i="5"/>
  <c r="T230" i="5"/>
  <c r="U230" i="5" s="1"/>
  <c r="R230" i="5"/>
  <c r="Q230" i="5"/>
  <c r="S230" i="5" s="1"/>
  <c r="P230" i="5"/>
  <c r="N230" i="5"/>
  <c r="O230" i="5" s="1"/>
  <c r="M230" i="5"/>
  <c r="L230" i="5"/>
  <c r="J230" i="5"/>
  <c r="AB229" i="5"/>
  <c r="AA229" i="5"/>
  <c r="Z229" i="5"/>
  <c r="Y229" i="5"/>
  <c r="X229" i="5"/>
  <c r="W229" i="5"/>
  <c r="T229" i="5"/>
  <c r="U229" i="5" s="1"/>
  <c r="R229" i="5"/>
  <c r="Q229" i="5"/>
  <c r="S229" i="5" s="1"/>
  <c r="N229" i="5"/>
  <c r="O229" i="5" s="1"/>
  <c r="AB228" i="5"/>
  <c r="AA228" i="5"/>
  <c r="Z228" i="5"/>
  <c r="Y228" i="5"/>
  <c r="X228" i="5"/>
  <c r="W228" i="5"/>
  <c r="T228" i="5"/>
  <c r="V228" i="5" s="1"/>
  <c r="Q228" i="5"/>
  <c r="R228" i="5" s="1"/>
  <c r="O228" i="5"/>
  <c r="N228" i="5"/>
  <c r="P228" i="5" s="1"/>
  <c r="M228" i="5"/>
  <c r="L228" i="5"/>
  <c r="J228" i="5"/>
  <c r="AB227" i="5"/>
  <c r="AA227" i="5"/>
  <c r="Z227" i="5"/>
  <c r="Y227" i="5"/>
  <c r="X227" i="5"/>
  <c r="W227" i="5"/>
  <c r="T227" i="5"/>
  <c r="V227" i="5" s="1"/>
  <c r="Q227" i="5"/>
  <c r="R227" i="5" s="1"/>
  <c r="N227" i="5"/>
  <c r="P227" i="5" s="1"/>
  <c r="M227" i="5"/>
  <c r="L227" i="5"/>
  <c r="J227" i="5"/>
  <c r="AB226" i="5"/>
  <c r="AA226" i="5"/>
  <c r="Z226" i="5"/>
  <c r="Y226" i="5"/>
  <c r="X226" i="5"/>
  <c r="W226" i="5"/>
  <c r="T226" i="5"/>
  <c r="V226" i="5" s="1"/>
  <c r="Q226" i="5"/>
  <c r="S226" i="5" s="1"/>
  <c r="N226" i="5"/>
  <c r="O226" i="5" s="1"/>
  <c r="M226" i="5"/>
  <c r="L226" i="5"/>
  <c r="J226" i="5"/>
  <c r="AB225" i="5"/>
  <c r="AA225" i="5"/>
  <c r="Z225" i="5"/>
  <c r="Y225" i="5"/>
  <c r="X225" i="5"/>
  <c r="W225" i="5"/>
  <c r="T225" i="5"/>
  <c r="U225" i="5" s="1"/>
  <c r="R225" i="5"/>
  <c r="Q225" i="5"/>
  <c r="S225" i="5" s="1"/>
  <c r="N225" i="5"/>
  <c r="O225" i="5" s="1"/>
  <c r="M225" i="5"/>
  <c r="L225" i="5"/>
  <c r="J225" i="5"/>
  <c r="AB224" i="5"/>
  <c r="AA224" i="5"/>
  <c r="Z224" i="5"/>
  <c r="Y224" i="5"/>
  <c r="X224" i="5"/>
  <c r="W224" i="5"/>
  <c r="T224" i="5"/>
  <c r="U224" i="5" s="1"/>
  <c r="Q224" i="5"/>
  <c r="S224" i="5" s="1"/>
  <c r="N224" i="5"/>
  <c r="O224" i="5" s="1"/>
  <c r="M224" i="5"/>
  <c r="L224" i="5"/>
  <c r="J224" i="5"/>
  <c r="AB223" i="5"/>
  <c r="AA223" i="5"/>
  <c r="Z223" i="5"/>
  <c r="Y223" i="5"/>
  <c r="X223" i="5"/>
  <c r="W223" i="5"/>
  <c r="T223" i="5"/>
  <c r="U223" i="5" s="1"/>
  <c r="R223" i="5"/>
  <c r="Q223" i="5"/>
  <c r="S223" i="5" s="1"/>
  <c r="N223" i="5"/>
  <c r="O223" i="5" s="1"/>
  <c r="M223" i="5"/>
  <c r="L223" i="5"/>
  <c r="J223" i="5"/>
  <c r="AB222" i="5"/>
  <c r="AA222" i="5"/>
  <c r="Z222" i="5"/>
  <c r="Y222" i="5"/>
  <c r="X222" i="5"/>
  <c r="W222" i="5"/>
  <c r="T222" i="5"/>
  <c r="U222" i="5" s="1"/>
  <c r="Q222" i="5"/>
  <c r="S222" i="5" s="1"/>
  <c r="N222" i="5"/>
  <c r="O222" i="5" s="1"/>
  <c r="AB221" i="5"/>
  <c r="AA221" i="5"/>
  <c r="Z221" i="5"/>
  <c r="Y221" i="5"/>
  <c r="X221" i="5"/>
  <c r="W221" i="5"/>
  <c r="U221" i="5"/>
  <c r="T221" i="5"/>
  <c r="V221" i="5" s="1"/>
  <c r="Q221" i="5"/>
  <c r="R221" i="5" s="1"/>
  <c r="N221" i="5"/>
  <c r="P221" i="5" s="1"/>
  <c r="M221" i="5"/>
  <c r="L221" i="5"/>
  <c r="J221" i="5"/>
  <c r="AB220" i="5"/>
  <c r="AA220" i="5"/>
  <c r="Z220" i="5"/>
  <c r="Y220" i="5"/>
  <c r="X220" i="5"/>
  <c r="W220" i="5"/>
  <c r="U220" i="5"/>
  <c r="T220" i="5"/>
  <c r="V220" i="5" s="1"/>
  <c r="Q220" i="5"/>
  <c r="R220" i="5" s="1"/>
  <c r="N220" i="5"/>
  <c r="P220" i="5" s="1"/>
  <c r="M220" i="5"/>
  <c r="L220" i="5"/>
  <c r="J220" i="5"/>
  <c r="AB219" i="5"/>
  <c r="AA219" i="5"/>
  <c r="Z219" i="5"/>
  <c r="Y219" i="5"/>
  <c r="X219" i="5"/>
  <c r="W219" i="5"/>
  <c r="U219" i="5"/>
  <c r="T219" i="5"/>
  <c r="V219" i="5" s="1"/>
  <c r="Q219" i="5"/>
  <c r="R219" i="5" s="1"/>
  <c r="N219" i="5"/>
  <c r="P219" i="5" s="1"/>
  <c r="M219" i="5"/>
  <c r="L219" i="5"/>
  <c r="J219" i="5"/>
  <c r="AB218" i="5"/>
  <c r="AA218" i="5"/>
  <c r="Z218" i="5"/>
  <c r="Y218" i="5"/>
  <c r="X218" i="5"/>
  <c r="W218" i="5"/>
  <c r="U218" i="5"/>
  <c r="T218" i="5"/>
  <c r="V218" i="5" s="1"/>
  <c r="Q218" i="5"/>
  <c r="R218" i="5" s="1"/>
  <c r="N218" i="5"/>
  <c r="P218" i="5" s="1"/>
  <c r="M218" i="5"/>
  <c r="L218" i="5"/>
  <c r="J218" i="5"/>
  <c r="AB217" i="5"/>
  <c r="AA217" i="5"/>
  <c r="Z217" i="5"/>
  <c r="Y217" i="5"/>
  <c r="X217" i="5"/>
  <c r="W217" i="5"/>
  <c r="U217" i="5"/>
  <c r="T217" i="5"/>
  <c r="V217" i="5" s="1"/>
  <c r="Q217" i="5"/>
  <c r="R217" i="5" s="1"/>
  <c r="N217" i="5"/>
  <c r="P217" i="5" s="1"/>
  <c r="M217" i="5"/>
  <c r="L217" i="5"/>
  <c r="J217" i="5"/>
  <c r="AB216" i="5"/>
  <c r="AA216" i="5"/>
  <c r="Z216" i="5"/>
  <c r="Y216" i="5"/>
  <c r="X216" i="5"/>
  <c r="W216" i="5"/>
  <c r="U216" i="5"/>
  <c r="T216" i="5"/>
  <c r="V216" i="5" s="1"/>
  <c r="Q216" i="5"/>
  <c r="R216" i="5" s="1"/>
  <c r="N216" i="5"/>
  <c r="P216" i="5" s="1"/>
  <c r="M216" i="5"/>
  <c r="L216" i="5"/>
  <c r="J216" i="5"/>
  <c r="AB215" i="5"/>
  <c r="AA215" i="5"/>
  <c r="Z215" i="5"/>
  <c r="Y215" i="5"/>
  <c r="X215" i="5"/>
  <c r="W215" i="5"/>
  <c r="U215" i="5"/>
  <c r="T215" i="5"/>
  <c r="V215" i="5" s="1"/>
  <c r="Q215" i="5"/>
  <c r="R215" i="5" s="1"/>
  <c r="N215" i="5"/>
  <c r="P215" i="5" s="1"/>
  <c r="AB214" i="5"/>
  <c r="AA214" i="5"/>
  <c r="Z214" i="5"/>
  <c r="Y214" i="5"/>
  <c r="X214" i="5"/>
  <c r="W214" i="5"/>
  <c r="T214" i="5"/>
  <c r="U214" i="5" s="1"/>
  <c r="R214" i="5"/>
  <c r="Q214" i="5"/>
  <c r="S214" i="5" s="1"/>
  <c r="N214" i="5"/>
  <c r="O214" i="5" s="1"/>
  <c r="M214" i="5"/>
  <c r="L214" i="5"/>
  <c r="J214" i="5"/>
  <c r="AB213" i="5"/>
  <c r="AA213" i="5"/>
  <c r="Z213" i="5"/>
  <c r="Y213" i="5"/>
  <c r="X213" i="5"/>
  <c r="W213" i="5"/>
  <c r="T213" i="5"/>
  <c r="U213" i="5" s="1"/>
  <c r="Q213" i="5"/>
  <c r="S213" i="5" s="1"/>
  <c r="N213" i="5"/>
  <c r="O213" i="5" s="1"/>
  <c r="M213" i="5"/>
  <c r="L213" i="5"/>
  <c r="J213" i="5"/>
  <c r="AB212" i="5"/>
  <c r="AA212" i="5"/>
  <c r="Z212" i="5"/>
  <c r="Y212" i="5"/>
  <c r="X212" i="5"/>
  <c r="W212" i="5"/>
  <c r="T212" i="5"/>
  <c r="U212" i="5" s="1"/>
  <c r="R212" i="5"/>
  <c r="Q212" i="5"/>
  <c r="S212" i="5" s="1"/>
  <c r="N212" i="5"/>
  <c r="O212" i="5" s="1"/>
  <c r="M212" i="5"/>
  <c r="L212" i="5"/>
  <c r="J212" i="5"/>
  <c r="AB211" i="5"/>
  <c r="AA211" i="5"/>
  <c r="Z211" i="5"/>
  <c r="Y211" i="5"/>
  <c r="X211" i="5"/>
  <c r="W211" i="5"/>
  <c r="T211" i="5"/>
  <c r="U211" i="5" s="1"/>
  <c r="Q211" i="5"/>
  <c r="S211" i="5" s="1"/>
  <c r="N211" i="5"/>
  <c r="O211" i="5" s="1"/>
  <c r="M211" i="5"/>
  <c r="L211" i="5"/>
  <c r="J211" i="5"/>
  <c r="AB210" i="5"/>
  <c r="AA210" i="5"/>
  <c r="Z210" i="5"/>
  <c r="Y210" i="5"/>
  <c r="X210" i="5"/>
  <c r="W210" i="5"/>
  <c r="T210" i="5"/>
  <c r="U210" i="5" s="1"/>
  <c r="R210" i="5"/>
  <c r="Q210" i="5"/>
  <c r="S210" i="5" s="1"/>
  <c r="N210" i="5"/>
  <c r="O210" i="5" s="1"/>
  <c r="M210" i="5"/>
  <c r="L210" i="5"/>
  <c r="J210" i="5"/>
  <c r="AB209" i="5"/>
  <c r="AA209" i="5"/>
  <c r="Z209" i="5"/>
  <c r="Y209" i="5"/>
  <c r="X209" i="5"/>
  <c r="W209" i="5"/>
  <c r="T209" i="5"/>
  <c r="U209" i="5" s="1"/>
  <c r="Q209" i="5"/>
  <c r="S209" i="5" s="1"/>
  <c r="N209" i="5"/>
  <c r="O209" i="5" s="1"/>
  <c r="M209" i="5"/>
  <c r="L209" i="5"/>
  <c r="J209" i="5"/>
  <c r="AB208" i="5"/>
  <c r="AA208" i="5"/>
  <c r="Z208" i="5"/>
  <c r="Y208" i="5"/>
  <c r="X208" i="5"/>
  <c r="W208" i="5"/>
  <c r="T208" i="5"/>
  <c r="U208" i="5" s="1"/>
  <c r="R208" i="5"/>
  <c r="Q208" i="5"/>
  <c r="S208" i="5" s="1"/>
  <c r="N208" i="5"/>
  <c r="O208" i="5" s="1"/>
  <c r="AB207" i="5"/>
  <c r="AA207" i="5"/>
  <c r="Z207" i="5"/>
  <c r="Y207" i="5"/>
  <c r="X207" i="5"/>
  <c r="W207" i="5"/>
  <c r="T207" i="5"/>
  <c r="V207" i="5" s="1"/>
  <c r="Q207" i="5"/>
  <c r="R207" i="5" s="1"/>
  <c r="O207" i="5"/>
  <c r="N207" i="5"/>
  <c r="P207" i="5" s="1"/>
  <c r="M207" i="5"/>
  <c r="L207" i="5"/>
  <c r="J207" i="5"/>
  <c r="AB206" i="5"/>
  <c r="AA206" i="5"/>
  <c r="Z206" i="5"/>
  <c r="Y206" i="5"/>
  <c r="X206" i="5"/>
  <c r="W206" i="5"/>
  <c r="T206" i="5"/>
  <c r="V206" i="5" s="1"/>
  <c r="Q206" i="5"/>
  <c r="R206" i="5" s="1"/>
  <c r="O206" i="5"/>
  <c r="N206" i="5"/>
  <c r="P206" i="5" s="1"/>
  <c r="M206" i="5"/>
  <c r="L206" i="5"/>
  <c r="J206" i="5"/>
  <c r="AB205" i="5"/>
  <c r="AA205" i="5"/>
  <c r="Z205" i="5"/>
  <c r="Y205" i="5"/>
  <c r="X205" i="5"/>
  <c r="W205" i="5"/>
  <c r="T205" i="5"/>
  <c r="V205" i="5" s="1"/>
  <c r="Q205" i="5"/>
  <c r="R205" i="5" s="1"/>
  <c r="O205" i="5"/>
  <c r="N205" i="5"/>
  <c r="P205" i="5" s="1"/>
  <c r="M205" i="5"/>
  <c r="L205" i="5"/>
  <c r="J205" i="5"/>
  <c r="AB204" i="5"/>
  <c r="AA204" i="5"/>
  <c r="Z204" i="5"/>
  <c r="Y204" i="5"/>
  <c r="X204" i="5"/>
  <c r="W204" i="5"/>
  <c r="T204" i="5"/>
  <c r="V204" i="5" s="1"/>
  <c r="Q204" i="5"/>
  <c r="R204" i="5" s="1"/>
  <c r="O204" i="5"/>
  <c r="N204" i="5"/>
  <c r="P204" i="5" s="1"/>
  <c r="M204" i="5"/>
  <c r="L204" i="5"/>
  <c r="J204" i="5"/>
  <c r="AB203" i="5"/>
  <c r="AA203" i="5"/>
  <c r="Z203" i="5"/>
  <c r="Y203" i="5"/>
  <c r="X203" i="5"/>
  <c r="W203" i="5"/>
  <c r="T203" i="5"/>
  <c r="V203" i="5" s="1"/>
  <c r="Q203" i="5"/>
  <c r="R203" i="5" s="1"/>
  <c r="O203" i="5"/>
  <c r="N203" i="5"/>
  <c r="P203" i="5" s="1"/>
  <c r="M203" i="5"/>
  <c r="L203" i="5"/>
  <c r="J203" i="5"/>
  <c r="AB202" i="5"/>
  <c r="AA202" i="5"/>
  <c r="Z202" i="5"/>
  <c r="Y202" i="5"/>
  <c r="X202" i="5"/>
  <c r="W202" i="5"/>
  <c r="T202" i="5"/>
  <c r="V202" i="5" s="1"/>
  <c r="Q202" i="5"/>
  <c r="R202" i="5" s="1"/>
  <c r="O202" i="5"/>
  <c r="N202" i="5"/>
  <c r="P202" i="5" s="1"/>
  <c r="M202" i="5"/>
  <c r="L202" i="5"/>
  <c r="J202" i="5"/>
  <c r="AB201" i="5"/>
  <c r="AA201" i="5"/>
  <c r="Z201" i="5"/>
  <c r="Y201" i="5"/>
  <c r="X201" i="5"/>
  <c r="W201" i="5"/>
  <c r="T201" i="5"/>
  <c r="V201" i="5" s="1"/>
  <c r="Q201" i="5"/>
  <c r="R201" i="5" s="1"/>
  <c r="O201" i="5"/>
  <c r="N201" i="5"/>
  <c r="P201" i="5" s="1"/>
  <c r="AB200" i="5"/>
  <c r="AA200" i="5"/>
  <c r="Z200" i="5"/>
  <c r="Y200" i="5"/>
  <c r="X200" i="5"/>
  <c r="W200" i="5"/>
  <c r="T200" i="5"/>
  <c r="U200" i="5" s="1"/>
  <c r="Q200" i="5"/>
  <c r="N200" i="5"/>
  <c r="O200" i="5" s="1"/>
  <c r="M200" i="5"/>
  <c r="L200" i="5"/>
  <c r="J200" i="5"/>
  <c r="AB199" i="5"/>
  <c r="AA199" i="5"/>
  <c r="Z199" i="5"/>
  <c r="Y199" i="5"/>
  <c r="X199" i="5"/>
  <c r="W199" i="5"/>
  <c r="T199" i="5"/>
  <c r="U199" i="5" s="1"/>
  <c r="R199" i="5"/>
  <c r="Q199" i="5"/>
  <c r="S199" i="5" s="1"/>
  <c r="N199" i="5"/>
  <c r="O199" i="5" s="1"/>
  <c r="M199" i="5"/>
  <c r="L199" i="5"/>
  <c r="J199" i="5"/>
  <c r="AB198" i="5"/>
  <c r="AA198" i="5"/>
  <c r="Z198" i="5"/>
  <c r="Y198" i="5"/>
  <c r="X198" i="5"/>
  <c r="W198" i="5"/>
  <c r="T198" i="5"/>
  <c r="U198" i="5" s="1"/>
  <c r="Q198" i="5"/>
  <c r="N198" i="5"/>
  <c r="O198" i="5" s="1"/>
  <c r="M198" i="5"/>
  <c r="L198" i="5"/>
  <c r="J198" i="5"/>
  <c r="AB197" i="5"/>
  <c r="AA197" i="5"/>
  <c r="Z197" i="5"/>
  <c r="Y197" i="5"/>
  <c r="X197" i="5"/>
  <c r="W197" i="5"/>
  <c r="T197" i="5"/>
  <c r="U197" i="5" s="1"/>
  <c r="R197" i="5"/>
  <c r="Q197" i="5"/>
  <c r="S197" i="5" s="1"/>
  <c r="N197" i="5"/>
  <c r="O197" i="5" s="1"/>
  <c r="M197" i="5"/>
  <c r="L197" i="5"/>
  <c r="J197" i="5"/>
  <c r="AB196" i="5"/>
  <c r="AA196" i="5"/>
  <c r="Z196" i="5"/>
  <c r="Y196" i="5"/>
  <c r="X196" i="5"/>
  <c r="W196" i="5"/>
  <c r="T196" i="5"/>
  <c r="U196" i="5" s="1"/>
  <c r="Q196" i="5"/>
  <c r="N196" i="5"/>
  <c r="O196" i="5" s="1"/>
  <c r="M196" i="5"/>
  <c r="L196" i="5"/>
  <c r="J196" i="5"/>
  <c r="AB195" i="5"/>
  <c r="AA195" i="5"/>
  <c r="Z195" i="5"/>
  <c r="Y195" i="5"/>
  <c r="X195" i="5"/>
  <c r="W195" i="5"/>
  <c r="T195" i="5"/>
  <c r="U195" i="5" s="1"/>
  <c r="R195" i="5"/>
  <c r="Q195" i="5"/>
  <c r="S195" i="5" s="1"/>
  <c r="N195" i="5"/>
  <c r="O195" i="5" s="1"/>
  <c r="M195" i="5"/>
  <c r="L195" i="5"/>
  <c r="J195" i="5"/>
  <c r="AB194" i="5"/>
  <c r="AA194" i="5"/>
  <c r="Z194" i="5"/>
  <c r="Y194" i="5"/>
  <c r="X194" i="5"/>
  <c r="W194" i="5"/>
  <c r="T194" i="5"/>
  <c r="U194" i="5" s="1"/>
  <c r="Q194" i="5"/>
  <c r="N194" i="5"/>
  <c r="O194" i="5" s="1"/>
  <c r="AB193" i="5"/>
  <c r="AA193" i="5"/>
  <c r="Z193" i="5"/>
  <c r="Y193" i="5"/>
  <c r="X193" i="5"/>
  <c r="W193" i="5"/>
  <c r="U193" i="5"/>
  <c r="T193" i="5"/>
  <c r="V193" i="5" s="1"/>
  <c r="Q193" i="5"/>
  <c r="R193" i="5" s="1"/>
  <c r="N193" i="5"/>
  <c r="M193" i="5"/>
  <c r="L193" i="5"/>
  <c r="J193" i="5"/>
  <c r="AB192" i="5"/>
  <c r="AA192" i="5"/>
  <c r="Z192" i="5"/>
  <c r="Y192" i="5"/>
  <c r="X192" i="5"/>
  <c r="W192" i="5"/>
  <c r="U192" i="5"/>
  <c r="T192" i="5"/>
  <c r="V192" i="5" s="1"/>
  <c r="Q192" i="5"/>
  <c r="R192" i="5" s="1"/>
  <c r="N192" i="5"/>
  <c r="M192" i="5"/>
  <c r="L192" i="5"/>
  <c r="J192" i="5"/>
  <c r="AB191" i="5"/>
  <c r="AA191" i="5"/>
  <c r="Z191" i="5"/>
  <c r="Y191" i="5"/>
  <c r="X191" i="5"/>
  <c r="W191" i="5"/>
  <c r="U191" i="5"/>
  <c r="T191" i="5"/>
  <c r="V191" i="5" s="1"/>
  <c r="Q191" i="5"/>
  <c r="R191" i="5" s="1"/>
  <c r="N191" i="5"/>
  <c r="M191" i="5"/>
  <c r="L191" i="5"/>
  <c r="J191" i="5"/>
  <c r="AB190" i="5"/>
  <c r="AA190" i="5"/>
  <c r="Z190" i="5"/>
  <c r="Y190" i="5"/>
  <c r="X190" i="5"/>
  <c r="W190" i="5"/>
  <c r="U190" i="5"/>
  <c r="T190" i="5"/>
  <c r="V190" i="5" s="1"/>
  <c r="Q190" i="5"/>
  <c r="R190" i="5" s="1"/>
  <c r="N190" i="5"/>
  <c r="M190" i="5"/>
  <c r="L190" i="5"/>
  <c r="J190" i="5"/>
  <c r="AB189" i="5"/>
  <c r="AA189" i="5"/>
  <c r="Z189" i="5"/>
  <c r="Y189" i="5"/>
  <c r="X189" i="5"/>
  <c r="W189" i="5"/>
  <c r="U189" i="5"/>
  <c r="T189" i="5"/>
  <c r="V189" i="5" s="1"/>
  <c r="Q189" i="5"/>
  <c r="R189" i="5" s="1"/>
  <c r="N189" i="5"/>
  <c r="M189" i="5"/>
  <c r="L189" i="5"/>
  <c r="J189" i="5"/>
  <c r="AB188" i="5"/>
  <c r="AA188" i="5"/>
  <c r="Z188" i="5"/>
  <c r="Y188" i="5"/>
  <c r="X188" i="5"/>
  <c r="W188" i="5"/>
  <c r="U188" i="5"/>
  <c r="T188" i="5"/>
  <c r="V188" i="5" s="1"/>
  <c r="Q188" i="5"/>
  <c r="R188" i="5" s="1"/>
  <c r="N188" i="5"/>
  <c r="M188" i="5"/>
  <c r="L188" i="5"/>
  <c r="J188" i="5"/>
  <c r="AB187" i="5"/>
  <c r="AA187" i="5"/>
  <c r="Z187" i="5"/>
  <c r="Y187" i="5"/>
  <c r="X187" i="5"/>
  <c r="W187" i="5"/>
  <c r="U187" i="5"/>
  <c r="T187" i="5"/>
  <c r="V187" i="5" s="1"/>
  <c r="Q187" i="5"/>
  <c r="R187" i="5" s="1"/>
  <c r="N187" i="5"/>
  <c r="AB186" i="5"/>
  <c r="AA186" i="5"/>
  <c r="Z186" i="5"/>
  <c r="Y186" i="5"/>
  <c r="X186" i="5"/>
  <c r="W186" i="5"/>
  <c r="T186" i="5"/>
  <c r="U186" i="5" s="1"/>
  <c r="R186" i="5"/>
  <c r="Q186" i="5"/>
  <c r="S186" i="5" s="1"/>
  <c r="N186" i="5"/>
  <c r="O186" i="5" s="1"/>
  <c r="M186" i="5"/>
  <c r="L186" i="5"/>
  <c r="J186" i="5"/>
  <c r="AB185" i="5"/>
  <c r="AA185" i="5"/>
  <c r="Z185" i="5"/>
  <c r="Y185" i="5"/>
  <c r="X185" i="5"/>
  <c r="W185" i="5"/>
  <c r="T185" i="5"/>
  <c r="U185" i="5" s="1"/>
  <c r="Q185" i="5"/>
  <c r="N185" i="5"/>
  <c r="O185" i="5" s="1"/>
  <c r="M185" i="5"/>
  <c r="L185" i="5"/>
  <c r="J185" i="5"/>
  <c r="AB184" i="5"/>
  <c r="AA184" i="5"/>
  <c r="Z184" i="5"/>
  <c r="Y184" i="5"/>
  <c r="X184" i="5"/>
  <c r="W184" i="5"/>
  <c r="T184" i="5"/>
  <c r="U184" i="5" s="1"/>
  <c r="R184" i="5"/>
  <c r="Q184" i="5"/>
  <c r="S184" i="5" s="1"/>
  <c r="N184" i="5"/>
  <c r="O184" i="5" s="1"/>
  <c r="M184" i="5"/>
  <c r="L184" i="5"/>
  <c r="J184" i="5"/>
  <c r="AB183" i="5"/>
  <c r="AA183" i="5"/>
  <c r="Z183" i="5"/>
  <c r="Y183" i="5"/>
  <c r="X183" i="5"/>
  <c r="W183" i="5"/>
  <c r="T183" i="5"/>
  <c r="U183" i="5" s="1"/>
  <c r="Q183" i="5"/>
  <c r="N183" i="5"/>
  <c r="O183" i="5" s="1"/>
  <c r="M183" i="5"/>
  <c r="L183" i="5"/>
  <c r="J183" i="5"/>
  <c r="AB182" i="5"/>
  <c r="AA182" i="5"/>
  <c r="Z182" i="5"/>
  <c r="Y182" i="5"/>
  <c r="X182" i="5"/>
  <c r="W182" i="5"/>
  <c r="T182" i="5"/>
  <c r="U182" i="5" s="1"/>
  <c r="R182" i="5"/>
  <c r="Q182" i="5"/>
  <c r="S182" i="5" s="1"/>
  <c r="N182" i="5"/>
  <c r="O182" i="5" s="1"/>
  <c r="M182" i="5"/>
  <c r="L182" i="5"/>
  <c r="J182" i="5"/>
  <c r="AB181" i="5"/>
  <c r="AA181" i="5"/>
  <c r="Z181" i="5"/>
  <c r="Y181" i="5"/>
  <c r="X181" i="5"/>
  <c r="W181" i="5"/>
  <c r="T181" i="5"/>
  <c r="U181" i="5" s="1"/>
  <c r="Q181" i="5"/>
  <c r="N181" i="5"/>
  <c r="O181" i="5" s="1"/>
  <c r="M181" i="5"/>
  <c r="L181" i="5"/>
  <c r="J181" i="5"/>
  <c r="AB180" i="5"/>
  <c r="AA180" i="5"/>
  <c r="Z180" i="5"/>
  <c r="Y180" i="5"/>
  <c r="X180" i="5"/>
  <c r="W180" i="5"/>
  <c r="T180" i="5"/>
  <c r="U180" i="5" s="1"/>
  <c r="R180" i="5"/>
  <c r="Q180" i="5"/>
  <c r="S180" i="5" s="1"/>
  <c r="N180" i="5"/>
  <c r="O180" i="5" s="1"/>
  <c r="AB179" i="5"/>
  <c r="AA179" i="5"/>
  <c r="Z179" i="5"/>
  <c r="Y179" i="5"/>
  <c r="X179" i="5"/>
  <c r="W179" i="5"/>
  <c r="T179" i="5"/>
  <c r="Q179" i="5"/>
  <c r="R179" i="5" s="1"/>
  <c r="O179" i="5"/>
  <c r="N179" i="5"/>
  <c r="P179" i="5" s="1"/>
  <c r="M179" i="5"/>
  <c r="L179" i="5"/>
  <c r="J179" i="5"/>
  <c r="AB178" i="5"/>
  <c r="AA178" i="5"/>
  <c r="Z178" i="5"/>
  <c r="Y178" i="5"/>
  <c r="X178" i="5"/>
  <c r="W178" i="5"/>
  <c r="T178" i="5"/>
  <c r="Q178" i="5"/>
  <c r="R178" i="5" s="1"/>
  <c r="O178" i="5"/>
  <c r="N178" i="5"/>
  <c r="P178" i="5" s="1"/>
  <c r="M178" i="5"/>
  <c r="L178" i="5"/>
  <c r="J178" i="5"/>
  <c r="AB177" i="5"/>
  <c r="AA177" i="5"/>
  <c r="Z177" i="5"/>
  <c r="Y177" i="5"/>
  <c r="X177" i="5"/>
  <c r="W177" i="5"/>
  <c r="T177" i="5"/>
  <c r="Q177" i="5"/>
  <c r="R177" i="5" s="1"/>
  <c r="O177" i="5"/>
  <c r="N177" i="5"/>
  <c r="P177" i="5" s="1"/>
  <c r="M177" i="5"/>
  <c r="L177" i="5"/>
  <c r="J177" i="5"/>
  <c r="AB176" i="5"/>
  <c r="AA176" i="5"/>
  <c r="Z176" i="5"/>
  <c r="Y176" i="5"/>
  <c r="X176" i="5"/>
  <c r="W176" i="5"/>
  <c r="T176" i="5"/>
  <c r="Q176" i="5"/>
  <c r="R176" i="5" s="1"/>
  <c r="O176" i="5"/>
  <c r="N176" i="5"/>
  <c r="P176" i="5" s="1"/>
  <c r="M176" i="5"/>
  <c r="L176" i="5"/>
  <c r="J176" i="5"/>
  <c r="AB175" i="5"/>
  <c r="AA175" i="5"/>
  <c r="Z175" i="5"/>
  <c r="Y175" i="5"/>
  <c r="X175" i="5"/>
  <c r="W175" i="5"/>
  <c r="T175" i="5"/>
  <c r="Q175" i="5"/>
  <c r="R175" i="5" s="1"/>
  <c r="O175" i="5"/>
  <c r="N175" i="5"/>
  <c r="P175" i="5" s="1"/>
  <c r="M175" i="5"/>
  <c r="L175" i="5"/>
  <c r="J175" i="5"/>
  <c r="AB174" i="5"/>
  <c r="AA174" i="5"/>
  <c r="Z174" i="5"/>
  <c r="Y174" i="5"/>
  <c r="X174" i="5"/>
  <c r="W174" i="5"/>
  <c r="T174" i="5"/>
  <c r="Q174" i="5"/>
  <c r="R174" i="5" s="1"/>
  <c r="O174" i="5"/>
  <c r="N174" i="5"/>
  <c r="P174" i="5" s="1"/>
  <c r="M174" i="5"/>
  <c r="L174" i="5"/>
  <c r="J174" i="5"/>
  <c r="AB173" i="5"/>
  <c r="AA173" i="5"/>
  <c r="Z173" i="5"/>
  <c r="Y173" i="5"/>
  <c r="X173" i="5"/>
  <c r="W173" i="5"/>
  <c r="T173" i="5"/>
  <c r="Q173" i="5"/>
  <c r="R173" i="5" s="1"/>
  <c r="O173" i="5"/>
  <c r="N173" i="5"/>
  <c r="P173" i="5" s="1"/>
  <c r="AB172" i="5"/>
  <c r="AA172" i="5"/>
  <c r="Z172" i="5"/>
  <c r="Y172" i="5"/>
  <c r="X172" i="5"/>
  <c r="W172" i="5"/>
  <c r="T172" i="5"/>
  <c r="U172" i="5" s="1"/>
  <c r="Q172" i="5"/>
  <c r="N172" i="5"/>
  <c r="O172" i="5" s="1"/>
  <c r="M172" i="5"/>
  <c r="L172" i="5"/>
  <c r="J172" i="5"/>
  <c r="AB171" i="5"/>
  <c r="AA171" i="5"/>
  <c r="Z171" i="5"/>
  <c r="Y171" i="5"/>
  <c r="X171" i="5"/>
  <c r="W171" i="5"/>
  <c r="T171" i="5"/>
  <c r="U171" i="5" s="1"/>
  <c r="R171" i="5"/>
  <c r="Q171" i="5"/>
  <c r="S171" i="5" s="1"/>
  <c r="N171" i="5"/>
  <c r="O171" i="5" s="1"/>
  <c r="M171" i="5"/>
  <c r="L171" i="5"/>
  <c r="J171" i="5"/>
  <c r="AB170" i="5"/>
  <c r="AA170" i="5"/>
  <c r="Z170" i="5"/>
  <c r="Y170" i="5"/>
  <c r="X170" i="5"/>
  <c r="W170" i="5"/>
  <c r="T170" i="5"/>
  <c r="U170" i="5" s="1"/>
  <c r="Q170" i="5"/>
  <c r="N170" i="5"/>
  <c r="O170" i="5" s="1"/>
  <c r="M170" i="5"/>
  <c r="L170" i="5"/>
  <c r="J170" i="5"/>
  <c r="AB169" i="5"/>
  <c r="AA169" i="5"/>
  <c r="Z169" i="5"/>
  <c r="Y169" i="5"/>
  <c r="X169" i="5"/>
  <c r="W169" i="5"/>
  <c r="T169" i="5"/>
  <c r="U169" i="5" s="1"/>
  <c r="R169" i="5"/>
  <c r="Q169" i="5"/>
  <c r="S169" i="5" s="1"/>
  <c r="N169" i="5"/>
  <c r="O169" i="5" s="1"/>
  <c r="M169" i="5"/>
  <c r="L169" i="5"/>
  <c r="J169" i="5"/>
  <c r="AB168" i="5"/>
  <c r="AA168" i="5"/>
  <c r="Z168" i="5"/>
  <c r="Y168" i="5"/>
  <c r="X168" i="5"/>
  <c r="W168" i="5"/>
  <c r="T168" i="5"/>
  <c r="U168" i="5" s="1"/>
  <c r="Q168" i="5"/>
  <c r="N168" i="5"/>
  <c r="O168" i="5" s="1"/>
  <c r="M168" i="5"/>
  <c r="L168" i="5"/>
  <c r="J168" i="5"/>
  <c r="AB167" i="5"/>
  <c r="AA167" i="5"/>
  <c r="Z167" i="5"/>
  <c r="Y167" i="5"/>
  <c r="X167" i="5"/>
  <c r="W167" i="5"/>
  <c r="T167" i="5"/>
  <c r="U167" i="5" s="1"/>
  <c r="Q167" i="5"/>
  <c r="S167" i="5" s="1"/>
  <c r="N167" i="5"/>
  <c r="O167" i="5" s="1"/>
  <c r="M167" i="5"/>
  <c r="L167" i="5"/>
  <c r="J167" i="5"/>
  <c r="AB166" i="5"/>
  <c r="AA166" i="5"/>
  <c r="Z166" i="5"/>
  <c r="Y166" i="5"/>
  <c r="X166" i="5"/>
  <c r="W166" i="5"/>
  <c r="T166" i="5"/>
  <c r="U166" i="5" s="1"/>
  <c r="R166" i="5"/>
  <c r="Q166" i="5"/>
  <c r="S166" i="5" s="1"/>
  <c r="N166" i="5"/>
  <c r="O166" i="5" s="1"/>
  <c r="AB165" i="5"/>
  <c r="AA165" i="5"/>
  <c r="Z165" i="5"/>
  <c r="Y165" i="5"/>
  <c r="X165" i="5"/>
  <c r="W165" i="5"/>
  <c r="T165" i="5"/>
  <c r="V165" i="5" s="1"/>
  <c r="Q165" i="5"/>
  <c r="R165" i="5" s="1"/>
  <c r="O165" i="5"/>
  <c r="N165" i="5"/>
  <c r="P165" i="5" s="1"/>
  <c r="M165" i="5"/>
  <c r="L165" i="5"/>
  <c r="J165" i="5"/>
  <c r="AB164" i="5"/>
  <c r="AA164" i="5"/>
  <c r="Z164" i="5"/>
  <c r="Y164" i="5"/>
  <c r="X164" i="5"/>
  <c r="W164" i="5"/>
  <c r="T164" i="5"/>
  <c r="V164" i="5" s="1"/>
  <c r="Q164" i="5"/>
  <c r="R164" i="5" s="1"/>
  <c r="O164" i="5"/>
  <c r="N164" i="5"/>
  <c r="P164" i="5" s="1"/>
  <c r="M164" i="5"/>
  <c r="L164" i="5"/>
  <c r="J164" i="5"/>
  <c r="AB163" i="5"/>
  <c r="AA163" i="5"/>
  <c r="Z163" i="5"/>
  <c r="Y163" i="5"/>
  <c r="X163" i="5"/>
  <c r="W163" i="5"/>
  <c r="T163" i="5"/>
  <c r="V163" i="5" s="1"/>
  <c r="Q163" i="5"/>
  <c r="R163" i="5" s="1"/>
  <c r="O163" i="5"/>
  <c r="N163" i="5"/>
  <c r="P163" i="5" s="1"/>
  <c r="M163" i="5"/>
  <c r="L163" i="5"/>
  <c r="J163" i="5"/>
  <c r="AB162" i="5"/>
  <c r="AA162" i="5"/>
  <c r="Z162" i="5"/>
  <c r="Y162" i="5"/>
  <c r="X162" i="5"/>
  <c r="W162" i="5"/>
  <c r="T162" i="5"/>
  <c r="V162" i="5" s="1"/>
  <c r="Q162" i="5"/>
  <c r="R162" i="5" s="1"/>
  <c r="O162" i="5"/>
  <c r="N162" i="5"/>
  <c r="P162" i="5" s="1"/>
  <c r="M162" i="5"/>
  <c r="L162" i="5"/>
  <c r="J162" i="5"/>
  <c r="AB161" i="5"/>
  <c r="AA161" i="5"/>
  <c r="Z161" i="5"/>
  <c r="Y161" i="5"/>
  <c r="X161" i="5"/>
  <c r="W161" i="5"/>
  <c r="T161" i="5"/>
  <c r="V161" i="5" s="1"/>
  <c r="Q161" i="5"/>
  <c r="R161" i="5" s="1"/>
  <c r="O161" i="5"/>
  <c r="N161" i="5"/>
  <c r="P161" i="5" s="1"/>
  <c r="M161" i="5"/>
  <c r="L161" i="5"/>
  <c r="J161" i="5"/>
  <c r="AB160" i="5"/>
  <c r="AA160" i="5"/>
  <c r="Z160" i="5"/>
  <c r="Y160" i="5"/>
  <c r="X160" i="5"/>
  <c r="W160" i="5"/>
  <c r="T160" i="5"/>
  <c r="V160" i="5" s="1"/>
  <c r="Q160" i="5"/>
  <c r="R160" i="5" s="1"/>
  <c r="O160" i="5"/>
  <c r="N160" i="5"/>
  <c r="P160" i="5" s="1"/>
  <c r="M160" i="5"/>
  <c r="L160" i="5"/>
  <c r="J160" i="5"/>
  <c r="AB159" i="5"/>
  <c r="AA159" i="5"/>
  <c r="Z159" i="5"/>
  <c r="Y159" i="5"/>
  <c r="X159" i="5"/>
  <c r="W159" i="5"/>
  <c r="T159" i="5"/>
  <c r="V159" i="5" s="1"/>
  <c r="Q159" i="5"/>
  <c r="R159" i="5" s="1"/>
  <c r="O159" i="5"/>
  <c r="N159" i="5"/>
  <c r="P159" i="5" s="1"/>
  <c r="AB158" i="5"/>
  <c r="AA158" i="5"/>
  <c r="Z158" i="5"/>
  <c r="Y158" i="5"/>
  <c r="X158" i="5"/>
  <c r="W158" i="5"/>
  <c r="T158" i="5"/>
  <c r="U158" i="5" s="1"/>
  <c r="Q158" i="5"/>
  <c r="S158" i="5" s="1"/>
  <c r="N158" i="5"/>
  <c r="O158" i="5" s="1"/>
  <c r="M158" i="5"/>
  <c r="L158" i="5"/>
  <c r="J158" i="5"/>
  <c r="AB157" i="5"/>
  <c r="AA157" i="5"/>
  <c r="Z157" i="5"/>
  <c r="Y157" i="5"/>
  <c r="X157" i="5"/>
  <c r="W157" i="5"/>
  <c r="T157" i="5"/>
  <c r="U157" i="5" s="1"/>
  <c r="R157" i="5"/>
  <c r="Q157" i="5"/>
  <c r="S157" i="5" s="1"/>
  <c r="N157" i="5"/>
  <c r="O157" i="5" s="1"/>
  <c r="M157" i="5"/>
  <c r="L157" i="5"/>
  <c r="J157" i="5"/>
  <c r="AB156" i="5"/>
  <c r="AA156" i="5"/>
  <c r="Z156" i="5"/>
  <c r="Y156" i="5"/>
  <c r="X156" i="5"/>
  <c r="W156" i="5"/>
  <c r="T156" i="5"/>
  <c r="U156" i="5" s="1"/>
  <c r="Q156" i="5"/>
  <c r="S156" i="5" s="1"/>
  <c r="N156" i="5"/>
  <c r="O156" i="5" s="1"/>
  <c r="M156" i="5"/>
  <c r="L156" i="5"/>
  <c r="J156" i="5"/>
  <c r="AB155" i="5"/>
  <c r="AA155" i="5"/>
  <c r="Z155" i="5"/>
  <c r="Y155" i="5"/>
  <c r="X155" i="5"/>
  <c r="W155" i="5"/>
  <c r="T155" i="5"/>
  <c r="U155" i="5" s="1"/>
  <c r="R155" i="5"/>
  <c r="Q155" i="5"/>
  <c r="S155" i="5" s="1"/>
  <c r="N155" i="5"/>
  <c r="O155" i="5" s="1"/>
  <c r="M155" i="5"/>
  <c r="L155" i="5"/>
  <c r="J155" i="5"/>
  <c r="AB154" i="5"/>
  <c r="AA154" i="5"/>
  <c r="Z154" i="5"/>
  <c r="Y154" i="5"/>
  <c r="X154" i="5"/>
  <c r="W154" i="5"/>
  <c r="T154" i="5"/>
  <c r="U154" i="5" s="1"/>
  <c r="Q154" i="5"/>
  <c r="S154" i="5" s="1"/>
  <c r="N154" i="5"/>
  <c r="O154" i="5" s="1"/>
  <c r="M154" i="5"/>
  <c r="L154" i="5"/>
  <c r="J154" i="5"/>
  <c r="AB153" i="5"/>
  <c r="AA153" i="5"/>
  <c r="Z153" i="5"/>
  <c r="Y153" i="5"/>
  <c r="X153" i="5"/>
  <c r="W153" i="5"/>
  <c r="T153" i="5"/>
  <c r="U153" i="5" s="1"/>
  <c r="R153" i="5"/>
  <c r="Q153" i="5"/>
  <c r="S153" i="5" s="1"/>
  <c r="N153" i="5"/>
  <c r="O153" i="5" s="1"/>
  <c r="M153" i="5"/>
  <c r="L153" i="5"/>
  <c r="J153" i="5"/>
  <c r="AB152" i="5"/>
  <c r="AA152" i="5"/>
  <c r="Z152" i="5"/>
  <c r="Y152" i="5"/>
  <c r="X152" i="5"/>
  <c r="W152" i="5"/>
  <c r="T152" i="5"/>
  <c r="U152" i="5" s="1"/>
  <c r="Q152" i="5"/>
  <c r="S152" i="5" s="1"/>
  <c r="N152" i="5"/>
  <c r="O152" i="5" s="1"/>
  <c r="AB151" i="5"/>
  <c r="AA151" i="5"/>
  <c r="Z151" i="5"/>
  <c r="Y151" i="5"/>
  <c r="X151" i="5"/>
  <c r="W151" i="5"/>
  <c r="U151" i="5"/>
  <c r="T151" i="5"/>
  <c r="V151" i="5" s="1"/>
  <c r="Q151" i="5"/>
  <c r="R151" i="5" s="1"/>
  <c r="N151" i="5"/>
  <c r="P151" i="5" s="1"/>
  <c r="M151" i="5"/>
  <c r="L151" i="5"/>
  <c r="J151" i="5"/>
  <c r="AB150" i="5"/>
  <c r="AA150" i="5"/>
  <c r="Z150" i="5"/>
  <c r="Y150" i="5"/>
  <c r="X150" i="5"/>
  <c r="W150" i="5"/>
  <c r="U150" i="5"/>
  <c r="T150" i="5"/>
  <c r="V150" i="5" s="1"/>
  <c r="Q150" i="5"/>
  <c r="R150" i="5" s="1"/>
  <c r="N150" i="5"/>
  <c r="P150" i="5" s="1"/>
  <c r="M150" i="5"/>
  <c r="L150" i="5"/>
  <c r="J150" i="5"/>
  <c r="AB149" i="5"/>
  <c r="AA149" i="5"/>
  <c r="Z149" i="5"/>
  <c r="Y149" i="5"/>
  <c r="X149" i="5"/>
  <c r="W149" i="5"/>
  <c r="U149" i="5"/>
  <c r="T149" i="5"/>
  <c r="V149" i="5" s="1"/>
  <c r="Q149" i="5"/>
  <c r="R149" i="5" s="1"/>
  <c r="N149" i="5"/>
  <c r="P149" i="5" s="1"/>
  <c r="M149" i="5"/>
  <c r="L149" i="5"/>
  <c r="J149" i="5"/>
  <c r="AB148" i="5"/>
  <c r="AA148" i="5"/>
  <c r="Z148" i="5"/>
  <c r="Y148" i="5"/>
  <c r="X148" i="5"/>
  <c r="W148" i="5"/>
  <c r="U148" i="5"/>
  <c r="T148" i="5"/>
  <c r="V148" i="5" s="1"/>
  <c r="Q148" i="5"/>
  <c r="R148" i="5" s="1"/>
  <c r="N148" i="5"/>
  <c r="P148" i="5" s="1"/>
  <c r="M148" i="5"/>
  <c r="L148" i="5"/>
  <c r="J148" i="5"/>
  <c r="AB147" i="5"/>
  <c r="AA147" i="5"/>
  <c r="Z147" i="5"/>
  <c r="Y147" i="5"/>
  <c r="X147" i="5"/>
  <c r="W147" i="5"/>
  <c r="U147" i="5"/>
  <c r="T147" i="5"/>
  <c r="V147" i="5" s="1"/>
  <c r="Q147" i="5"/>
  <c r="R147" i="5" s="1"/>
  <c r="N147" i="5"/>
  <c r="P147" i="5" s="1"/>
  <c r="M147" i="5"/>
  <c r="L147" i="5"/>
  <c r="J147" i="5"/>
  <c r="AB146" i="5"/>
  <c r="AA146" i="5"/>
  <c r="Z146" i="5"/>
  <c r="Y146" i="5"/>
  <c r="X146" i="5"/>
  <c r="W146" i="5"/>
  <c r="U146" i="5"/>
  <c r="T146" i="5"/>
  <c r="V146" i="5" s="1"/>
  <c r="Q146" i="5"/>
  <c r="R146" i="5" s="1"/>
  <c r="N146" i="5"/>
  <c r="P146" i="5" s="1"/>
  <c r="M146" i="5"/>
  <c r="L146" i="5"/>
  <c r="J146" i="5"/>
  <c r="AB145" i="5"/>
  <c r="AA145" i="5"/>
  <c r="Z145" i="5"/>
  <c r="Y145" i="5"/>
  <c r="X145" i="5"/>
  <c r="W145" i="5"/>
  <c r="U145" i="5"/>
  <c r="T145" i="5"/>
  <c r="V145" i="5" s="1"/>
  <c r="Q145" i="5"/>
  <c r="R145" i="5" s="1"/>
  <c r="N145" i="5"/>
  <c r="P145" i="5" s="1"/>
  <c r="AB144" i="5"/>
  <c r="AA144" i="5"/>
  <c r="Z144" i="5"/>
  <c r="Y144" i="5"/>
  <c r="X144" i="5"/>
  <c r="W144" i="5"/>
  <c r="T144" i="5"/>
  <c r="U144" i="5" s="1"/>
  <c r="R144" i="5"/>
  <c r="Q144" i="5"/>
  <c r="S144" i="5" s="1"/>
  <c r="N144" i="5"/>
  <c r="O144" i="5" s="1"/>
  <c r="M144" i="5"/>
  <c r="L144" i="5"/>
  <c r="J144" i="5"/>
  <c r="AB143" i="5"/>
  <c r="AA143" i="5"/>
  <c r="Z143" i="5"/>
  <c r="Y143" i="5"/>
  <c r="X143" i="5"/>
  <c r="W143" i="5"/>
  <c r="T143" i="5"/>
  <c r="U143" i="5" s="1"/>
  <c r="Q143" i="5"/>
  <c r="S143" i="5" s="1"/>
  <c r="N143" i="5"/>
  <c r="O143" i="5" s="1"/>
  <c r="M143" i="5"/>
  <c r="L143" i="5"/>
  <c r="J143" i="5"/>
  <c r="AB142" i="5"/>
  <c r="AA142" i="5"/>
  <c r="Z142" i="5"/>
  <c r="Y142" i="5"/>
  <c r="X142" i="5"/>
  <c r="W142" i="5"/>
  <c r="T142" i="5"/>
  <c r="U142" i="5" s="1"/>
  <c r="R142" i="5"/>
  <c r="Q142" i="5"/>
  <c r="S142" i="5" s="1"/>
  <c r="N142" i="5"/>
  <c r="O142" i="5" s="1"/>
  <c r="M142" i="5"/>
  <c r="L142" i="5"/>
  <c r="J142" i="5"/>
  <c r="AB141" i="5"/>
  <c r="AA141" i="5"/>
  <c r="Z141" i="5"/>
  <c r="Y141" i="5"/>
  <c r="X141" i="5"/>
  <c r="W141" i="5"/>
  <c r="T141" i="5"/>
  <c r="U141" i="5" s="1"/>
  <c r="Q141" i="5"/>
  <c r="S141" i="5" s="1"/>
  <c r="N141" i="5"/>
  <c r="O141" i="5" s="1"/>
  <c r="M141" i="5"/>
  <c r="L141" i="5"/>
  <c r="J141" i="5"/>
  <c r="AB140" i="5"/>
  <c r="AA140" i="5"/>
  <c r="Z140" i="5"/>
  <c r="Y140" i="5"/>
  <c r="X140" i="5"/>
  <c r="W140" i="5"/>
  <c r="T140" i="5"/>
  <c r="U140" i="5" s="1"/>
  <c r="R140" i="5"/>
  <c r="Q140" i="5"/>
  <c r="S140" i="5" s="1"/>
  <c r="N140" i="5"/>
  <c r="O140" i="5" s="1"/>
  <c r="M140" i="5"/>
  <c r="L140" i="5"/>
  <c r="J140" i="5"/>
  <c r="AB139" i="5"/>
  <c r="AA139" i="5"/>
  <c r="Z139" i="5"/>
  <c r="Y139" i="5"/>
  <c r="X139" i="5"/>
  <c r="W139" i="5"/>
  <c r="T139" i="5"/>
  <c r="U139" i="5" s="1"/>
  <c r="Q139" i="5"/>
  <c r="S139" i="5" s="1"/>
  <c r="N139" i="5"/>
  <c r="O139" i="5" s="1"/>
  <c r="M139" i="5"/>
  <c r="L139" i="5"/>
  <c r="J139" i="5"/>
  <c r="AB138" i="5"/>
  <c r="AA138" i="5"/>
  <c r="Z138" i="5"/>
  <c r="Y138" i="5"/>
  <c r="X138" i="5"/>
  <c r="W138" i="5"/>
  <c r="T138" i="5"/>
  <c r="U138" i="5" s="1"/>
  <c r="R138" i="5"/>
  <c r="Q138" i="5"/>
  <c r="S138" i="5" s="1"/>
  <c r="N138" i="5"/>
  <c r="O138" i="5" s="1"/>
  <c r="AB137" i="5"/>
  <c r="AA137" i="5"/>
  <c r="Z137" i="5"/>
  <c r="Y137" i="5"/>
  <c r="X137" i="5"/>
  <c r="W137" i="5"/>
  <c r="T137" i="5"/>
  <c r="V137" i="5" s="1"/>
  <c r="Q137" i="5"/>
  <c r="R137" i="5" s="1"/>
  <c r="O137" i="5"/>
  <c r="N137" i="5"/>
  <c r="P137" i="5" s="1"/>
  <c r="M137" i="5"/>
  <c r="L137" i="5"/>
  <c r="J137" i="5"/>
  <c r="AB136" i="5"/>
  <c r="AA136" i="5"/>
  <c r="Z136" i="5"/>
  <c r="Y136" i="5"/>
  <c r="X136" i="5"/>
  <c r="W136" i="5"/>
  <c r="T136" i="5"/>
  <c r="V136" i="5" s="1"/>
  <c r="Q136" i="5"/>
  <c r="R136" i="5" s="1"/>
  <c r="O136" i="5"/>
  <c r="N136" i="5"/>
  <c r="P136" i="5" s="1"/>
  <c r="M136" i="5"/>
  <c r="L136" i="5"/>
  <c r="J136" i="5"/>
  <c r="AB135" i="5"/>
  <c r="AA135" i="5"/>
  <c r="Z135" i="5"/>
  <c r="Y135" i="5"/>
  <c r="X135" i="5"/>
  <c r="W135" i="5"/>
  <c r="T135" i="5"/>
  <c r="V135" i="5" s="1"/>
  <c r="Q135" i="5"/>
  <c r="R135" i="5" s="1"/>
  <c r="O135" i="5"/>
  <c r="N135" i="5"/>
  <c r="P135" i="5" s="1"/>
  <c r="M135" i="5"/>
  <c r="L135" i="5"/>
  <c r="J135" i="5"/>
  <c r="AB134" i="5"/>
  <c r="AA134" i="5"/>
  <c r="Z134" i="5"/>
  <c r="Y134" i="5"/>
  <c r="X134" i="5"/>
  <c r="W134" i="5"/>
  <c r="T134" i="5"/>
  <c r="V134" i="5" s="1"/>
  <c r="Q134" i="5"/>
  <c r="R134" i="5" s="1"/>
  <c r="O134" i="5"/>
  <c r="N134" i="5"/>
  <c r="P134" i="5" s="1"/>
  <c r="M134" i="5"/>
  <c r="L134" i="5"/>
  <c r="J134" i="5"/>
  <c r="AB133" i="5"/>
  <c r="AA133" i="5"/>
  <c r="Z133" i="5"/>
  <c r="Y133" i="5"/>
  <c r="X133" i="5"/>
  <c r="W133" i="5"/>
  <c r="T133" i="5"/>
  <c r="V133" i="5" s="1"/>
  <c r="Q133" i="5"/>
  <c r="R133" i="5" s="1"/>
  <c r="O133" i="5"/>
  <c r="N133" i="5"/>
  <c r="P133" i="5" s="1"/>
  <c r="M133" i="5"/>
  <c r="L133" i="5"/>
  <c r="J133" i="5"/>
  <c r="AB132" i="5"/>
  <c r="AA132" i="5"/>
  <c r="Z132" i="5"/>
  <c r="Y132" i="5"/>
  <c r="X132" i="5"/>
  <c r="W132" i="5"/>
  <c r="T132" i="5"/>
  <c r="V132" i="5" s="1"/>
  <c r="Q132" i="5"/>
  <c r="R132" i="5" s="1"/>
  <c r="O132" i="5"/>
  <c r="N132" i="5"/>
  <c r="P132" i="5" s="1"/>
  <c r="M132" i="5"/>
  <c r="L132" i="5"/>
  <c r="J132" i="5"/>
  <c r="AB131" i="5"/>
  <c r="AA131" i="5"/>
  <c r="Z131" i="5"/>
  <c r="Y131" i="5"/>
  <c r="X131" i="5"/>
  <c r="W131" i="5"/>
  <c r="T131" i="5"/>
  <c r="V131" i="5" s="1"/>
  <c r="Q131" i="5"/>
  <c r="R131" i="5" s="1"/>
  <c r="O131" i="5"/>
  <c r="N131" i="5"/>
  <c r="P131" i="5" s="1"/>
  <c r="AB130" i="5"/>
  <c r="AA130" i="5"/>
  <c r="Z130" i="5"/>
  <c r="Y130" i="5"/>
  <c r="X130" i="5"/>
  <c r="W130" i="5"/>
  <c r="T130" i="5"/>
  <c r="U130" i="5" s="1"/>
  <c r="Q130" i="5"/>
  <c r="S130" i="5" s="1"/>
  <c r="N130" i="5"/>
  <c r="O130" i="5" s="1"/>
  <c r="M130" i="5"/>
  <c r="L130" i="5"/>
  <c r="J130" i="5"/>
  <c r="AB129" i="5"/>
  <c r="AA129" i="5"/>
  <c r="Z129" i="5"/>
  <c r="Y129" i="5"/>
  <c r="X129" i="5"/>
  <c r="W129" i="5"/>
  <c r="T129" i="5"/>
  <c r="U129" i="5" s="1"/>
  <c r="R129" i="5"/>
  <c r="Q129" i="5"/>
  <c r="S129" i="5" s="1"/>
  <c r="N129" i="5"/>
  <c r="O129" i="5" s="1"/>
  <c r="M129" i="5"/>
  <c r="L129" i="5"/>
  <c r="J129" i="5"/>
  <c r="AB128" i="5"/>
  <c r="AA128" i="5"/>
  <c r="Z128" i="5"/>
  <c r="Y128" i="5"/>
  <c r="X128" i="5"/>
  <c r="W128" i="5"/>
  <c r="T128" i="5"/>
  <c r="U128" i="5" s="1"/>
  <c r="Q128" i="5"/>
  <c r="S128" i="5" s="1"/>
  <c r="N128" i="5"/>
  <c r="O128" i="5" s="1"/>
  <c r="M128" i="5"/>
  <c r="L128" i="5"/>
  <c r="J128" i="5"/>
  <c r="AB127" i="5"/>
  <c r="AA127" i="5"/>
  <c r="Z127" i="5"/>
  <c r="Y127" i="5"/>
  <c r="X127" i="5"/>
  <c r="W127" i="5"/>
  <c r="T127" i="5"/>
  <c r="U127" i="5" s="1"/>
  <c r="R127" i="5"/>
  <c r="Q127" i="5"/>
  <c r="S127" i="5" s="1"/>
  <c r="N127" i="5"/>
  <c r="O127" i="5" s="1"/>
  <c r="M127" i="5"/>
  <c r="L127" i="5"/>
  <c r="J127" i="5"/>
  <c r="AB126" i="5"/>
  <c r="AA126" i="5"/>
  <c r="Z126" i="5"/>
  <c r="Y126" i="5"/>
  <c r="X126" i="5"/>
  <c r="W126" i="5"/>
  <c r="T126" i="5"/>
  <c r="U126" i="5" s="1"/>
  <c r="Q126" i="5"/>
  <c r="S126" i="5" s="1"/>
  <c r="N126" i="5"/>
  <c r="O126" i="5" s="1"/>
  <c r="M126" i="5"/>
  <c r="L126" i="5"/>
  <c r="J126" i="5"/>
  <c r="AB125" i="5"/>
  <c r="AA125" i="5"/>
  <c r="Z125" i="5"/>
  <c r="Y125" i="5"/>
  <c r="X125" i="5"/>
  <c r="W125" i="5"/>
  <c r="T125" i="5"/>
  <c r="U125" i="5" s="1"/>
  <c r="R125" i="5"/>
  <c r="Q125" i="5"/>
  <c r="S125" i="5" s="1"/>
  <c r="N125" i="5"/>
  <c r="O125" i="5" s="1"/>
  <c r="M125" i="5"/>
  <c r="L125" i="5"/>
  <c r="J125" i="5"/>
  <c r="AB124" i="5"/>
  <c r="AA124" i="5"/>
  <c r="Z124" i="5"/>
  <c r="Y124" i="5"/>
  <c r="X124" i="5"/>
  <c r="W124" i="5"/>
  <c r="T124" i="5"/>
  <c r="U124" i="5" s="1"/>
  <c r="Q124" i="5"/>
  <c r="S124" i="5" s="1"/>
  <c r="N124" i="5"/>
  <c r="O124" i="5" s="1"/>
  <c r="AB123" i="5"/>
  <c r="AA123" i="5"/>
  <c r="Z123" i="5"/>
  <c r="Y123" i="5"/>
  <c r="X123" i="5"/>
  <c r="W123" i="5"/>
  <c r="U123" i="5"/>
  <c r="T123" i="5"/>
  <c r="V123" i="5" s="1"/>
  <c r="Q123" i="5"/>
  <c r="R123" i="5" s="1"/>
  <c r="N123" i="5"/>
  <c r="P123" i="5" s="1"/>
  <c r="M123" i="5"/>
  <c r="L123" i="5"/>
  <c r="J123" i="5"/>
  <c r="AB122" i="5"/>
  <c r="AA122" i="5"/>
  <c r="Z122" i="5"/>
  <c r="Y122" i="5"/>
  <c r="X122" i="5"/>
  <c r="W122" i="5"/>
  <c r="U122" i="5"/>
  <c r="T122" i="5"/>
  <c r="V122" i="5" s="1"/>
  <c r="Q122" i="5"/>
  <c r="R122" i="5" s="1"/>
  <c r="N122" i="5"/>
  <c r="P122" i="5" s="1"/>
  <c r="M122" i="5"/>
  <c r="L122" i="5"/>
  <c r="J122" i="5"/>
  <c r="AB121" i="5"/>
  <c r="AA121" i="5"/>
  <c r="Z121" i="5"/>
  <c r="Y121" i="5"/>
  <c r="X121" i="5"/>
  <c r="W121" i="5"/>
  <c r="U121" i="5"/>
  <c r="T121" i="5"/>
  <c r="V121" i="5" s="1"/>
  <c r="Q121" i="5"/>
  <c r="R121" i="5" s="1"/>
  <c r="N121" i="5"/>
  <c r="P121" i="5" s="1"/>
  <c r="M121" i="5"/>
  <c r="L121" i="5"/>
  <c r="J121" i="5"/>
  <c r="AB120" i="5"/>
  <c r="AA120" i="5"/>
  <c r="Z120" i="5"/>
  <c r="Y120" i="5"/>
  <c r="X120" i="5"/>
  <c r="W120" i="5"/>
  <c r="U120" i="5"/>
  <c r="T120" i="5"/>
  <c r="V120" i="5" s="1"/>
  <c r="Q120" i="5"/>
  <c r="R120" i="5" s="1"/>
  <c r="N120" i="5"/>
  <c r="P120" i="5" s="1"/>
  <c r="M120" i="5"/>
  <c r="L120" i="5"/>
  <c r="J120" i="5"/>
  <c r="AB119" i="5"/>
  <c r="AA119" i="5"/>
  <c r="Z119" i="5"/>
  <c r="Y119" i="5"/>
  <c r="X119" i="5"/>
  <c r="W119" i="5"/>
  <c r="U119" i="5"/>
  <c r="T119" i="5"/>
  <c r="V119" i="5" s="1"/>
  <c r="Q119" i="5"/>
  <c r="R119" i="5" s="1"/>
  <c r="N119" i="5"/>
  <c r="P119" i="5" s="1"/>
  <c r="M119" i="5"/>
  <c r="L119" i="5"/>
  <c r="J119" i="5"/>
  <c r="AB118" i="5"/>
  <c r="AA118" i="5"/>
  <c r="Z118" i="5"/>
  <c r="Y118" i="5"/>
  <c r="X118" i="5"/>
  <c r="W118" i="5"/>
  <c r="U118" i="5"/>
  <c r="T118" i="5"/>
  <c r="V118" i="5" s="1"/>
  <c r="Q118" i="5"/>
  <c r="N118" i="5"/>
  <c r="P118" i="5" s="1"/>
  <c r="M118" i="5"/>
  <c r="L118" i="5"/>
  <c r="J118" i="5"/>
  <c r="AB117" i="5"/>
  <c r="AA117" i="5"/>
  <c r="Z117" i="5"/>
  <c r="Y117" i="5"/>
  <c r="X117" i="5"/>
  <c r="W117" i="5"/>
  <c r="U117" i="5"/>
  <c r="T117" i="5"/>
  <c r="V117" i="5" s="1"/>
  <c r="S117" i="5"/>
  <c r="Q117" i="5"/>
  <c r="R117" i="5" s="1"/>
  <c r="O117" i="5"/>
  <c r="N117" i="5"/>
  <c r="P117" i="5" s="1"/>
  <c r="AB116" i="5"/>
  <c r="AA116" i="5"/>
  <c r="Z116" i="5"/>
  <c r="Y116" i="5"/>
  <c r="X116" i="5"/>
  <c r="W116" i="5"/>
  <c r="V116" i="5"/>
  <c r="T116" i="5"/>
  <c r="U116" i="5" s="1"/>
  <c r="R116" i="5"/>
  <c r="Q116" i="5"/>
  <c r="S116" i="5" s="1"/>
  <c r="P116" i="5"/>
  <c r="N116" i="5"/>
  <c r="O116" i="5" s="1"/>
  <c r="M116" i="5"/>
  <c r="L116" i="5"/>
  <c r="J116" i="5"/>
  <c r="AB115" i="5"/>
  <c r="AA115" i="5"/>
  <c r="Z115" i="5"/>
  <c r="Y115" i="5"/>
  <c r="X115" i="5"/>
  <c r="W115" i="5"/>
  <c r="T115" i="5"/>
  <c r="U115" i="5" s="1"/>
  <c r="R115" i="5"/>
  <c r="Q115" i="5"/>
  <c r="S115" i="5" s="1"/>
  <c r="N115" i="5"/>
  <c r="O115" i="5" s="1"/>
  <c r="M115" i="5"/>
  <c r="L115" i="5"/>
  <c r="J115" i="5"/>
  <c r="AB114" i="5"/>
  <c r="AA114" i="5"/>
  <c r="Z114" i="5"/>
  <c r="Y114" i="5"/>
  <c r="X114" i="5"/>
  <c r="W114" i="5"/>
  <c r="V114" i="5"/>
  <c r="T114" i="5"/>
  <c r="U114" i="5" s="1"/>
  <c r="R114" i="5"/>
  <c r="Q114" i="5"/>
  <c r="S114" i="5" s="1"/>
  <c r="P114" i="5"/>
  <c r="N114" i="5"/>
  <c r="O114" i="5" s="1"/>
  <c r="M114" i="5"/>
  <c r="L114" i="5"/>
  <c r="J114" i="5"/>
  <c r="AB113" i="5"/>
  <c r="AA113" i="5"/>
  <c r="Z113" i="5"/>
  <c r="Y113" i="5"/>
  <c r="X113" i="5"/>
  <c r="W113" i="5"/>
  <c r="T113" i="5"/>
  <c r="U113" i="5" s="1"/>
  <c r="Q113" i="5"/>
  <c r="S113" i="5" s="1"/>
  <c r="N113" i="5"/>
  <c r="O113" i="5" s="1"/>
  <c r="M113" i="5"/>
  <c r="L113" i="5"/>
  <c r="J113" i="5"/>
  <c r="AB112" i="5"/>
  <c r="AA112" i="5"/>
  <c r="Z112" i="5"/>
  <c r="Y112" i="5"/>
  <c r="X112" i="5"/>
  <c r="W112" i="5"/>
  <c r="T112" i="5"/>
  <c r="U112" i="5" s="1"/>
  <c r="Q112" i="5"/>
  <c r="S112" i="5" s="1"/>
  <c r="N112" i="5"/>
  <c r="O112" i="5" s="1"/>
  <c r="M112" i="5"/>
  <c r="L112" i="5"/>
  <c r="J112" i="5"/>
  <c r="AB111" i="5"/>
  <c r="AA111" i="5"/>
  <c r="Z111" i="5"/>
  <c r="Y111" i="5"/>
  <c r="X111" i="5"/>
  <c r="W111" i="5"/>
  <c r="T111" i="5"/>
  <c r="U111" i="5" s="1"/>
  <c r="Q111" i="5"/>
  <c r="S111" i="5" s="1"/>
  <c r="N111" i="5"/>
  <c r="O111" i="5" s="1"/>
  <c r="M111" i="5"/>
  <c r="L111" i="5"/>
  <c r="J111" i="5"/>
  <c r="AB110" i="5"/>
  <c r="AA110" i="5"/>
  <c r="Z110" i="5"/>
  <c r="Y110" i="5"/>
  <c r="X110" i="5"/>
  <c r="W110" i="5"/>
  <c r="T110" i="5"/>
  <c r="U110" i="5" s="1"/>
  <c r="Q110" i="5"/>
  <c r="S110" i="5" s="1"/>
  <c r="N110" i="5"/>
  <c r="O110" i="5" s="1"/>
  <c r="Y109" i="5"/>
  <c r="X109" i="5"/>
  <c r="W109" i="5"/>
  <c r="T109" i="5"/>
  <c r="U109" i="5" s="1"/>
  <c r="Q109" i="5"/>
  <c r="S109" i="5" s="1"/>
  <c r="N109" i="5"/>
  <c r="O109" i="5" s="1"/>
  <c r="M109" i="5"/>
  <c r="L109" i="5"/>
  <c r="J109" i="5"/>
  <c r="Y108" i="5"/>
  <c r="X108" i="5"/>
  <c r="W108" i="5"/>
  <c r="T108" i="5"/>
  <c r="V108" i="5" s="1"/>
  <c r="Q108" i="5"/>
  <c r="R108" i="5" s="1"/>
  <c r="O108" i="5"/>
  <c r="N108" i="5"/>
  <c r="P108" i="5" s="1"/>
  <c r="M108" i="5"/>
  <c r="L108" i="5"/>
  <c r="J108" i="5"/>
  <c r="Y107" i="5"/>
  <c r="X107" i="5"/>
  <c r="W107" i="5"/>
  <c r="T107" i="5"/>
  <c r="U107" i="5" s="1"/>
  <c r="Q107" i="5"/>
  <c r="S107" i="5" s="1"/>
  <c r="N107" i="5"/>
  <c r="O107" i="5" s="1"/>
  <c r="M107" i="5"/>
  <c r="L107" i="5"/>
  <c r="J107" i="5"/>
  <c r="Y106" i="5"/>
  <c r="X106" i="5"/>
  <c r="W106" i="5"/>
  <c r="T106" i="5"/>
  <c r="V106" i="5" s="1"/>
  <c r="Q106" i="5"/>
  <c r="R106" i="5" s="1"/>
  <c r="O106" i="5"/>
  <c r="N106" i="5"/>
  <c r="P106" i="5" s="1"/>
  <c r="M106" i="5"/>
  <c r="L106" i="5"/>
  <c r="J106" i="5"/>
  <c r="Y105" i="5"/>
  <c r="X105" i="5"/>
  <c r="W105" i="5"/>
  <c r="T105" i="5"/>
  <c r="U105" i="5" s="1"/>
  <c r="Q105" i="5"/>
  <c r="S105" i="5" s="1"/>
  <c r="N105" i="5"/>
  <c r="O105" i="5" s="1"/>
  <c r="M105" i="5"/>
  <c r="L105" i="5"/>
  <c r="J105" i="5"/>
  <c r="Y104" i="5"/>
  <c r="X104" i="5"/>
  <c r="W104" i="5"/>
  <c r="T104" i="5"/>
  <c r="V104" i="5" s="1"/>
  <c r="Q104" i="5"/>
  <c r="R104" i="5" s="1"/>
  <c r="O104" i="5"/>
  <c r="N104" i="5"/>
  <c r="P104" i="5" s="1"/>
  <c r="M104" i="5"/>
  <c r="L104" i="5"/>
  <c r="J104" i="5"/>
  <c r="Y103" i="5"/>
  <c r="X103" i="5"/>
  <c r="W103" i="5"/>
  <c r="T103" i="5"/>
  <c r="U103" i="5" s="1"/>
  <c r="Q103" i="5"/>
  <c r="S103" i="5" s="1"/>
  <c r="N103" i="5"/>
  <c r="O103" i="5" s="1"/>
  <c r="Y102" i="5"/>
  <c r="X102" i="5"/>
  <c r="W102" i="5"/>
  <c r="V102" i="5"/>
  <c r="T102" i="5"/>
  <c r="U102" i="5" s="1"/>
  <c r="R102" i="5"/>
  <c r="Q102" i="5"/>
  <c r="S102" i="5" s="1"/>
  <c r="P102" i="5"/>
  <c r="N102" i="5"/>
  <c r="O102" i="5" s="1"/>
  <c r="M102" i="5"/>
  <c r="L102" i="5"/>
  <c r="J102" i="5"/>
  <c r="Y101" i="5"/>
  <c r="X101" i="5"/>
  <c r="W101" i="5"/>
  <c r="U101" i="5"/>
  <c r="T101" i="5"/>
  <c r="V101" i="5" s="1"/>
  <c r="S101" i="5"/>
  <c r="Q101" i="5"/>
  <c r="R101" i="5" s="1"/>
  <c r="O101" i="5"/>
  <c r="N101" i="5"/>
  <c r="P101" i="5" s="1"/>
  <c r="M101" i="5"/>
  <c r="L101" i="5"/>
  <c r="J101" i="5"/>
  <c r="Y100" i="5"/>
  <c r="X100" i="5"/>
  <c r="W100" i="5"/>
  <c r="V100" i="5"/>
  <c r="T100" i="5"/>
  <c r="U100" i="5" s="1"/>
  <c r="R100" i="5"/>
  <c r="Q100" i="5"/>
  <c r="S100" i="5" s="1"/>
  <c r="P100" i="5"/>
  <c r="N100" i="5"/>
  <c r="O100" i="5" s="1"/>
  <c r="M100" i="5"/>
  <c r="L100" i="5"/>
  <c r="J100" i="5"/>
  <c r="Y99" i="5"/>
  <c r="X99" i="5"/>
  <c r="W99" i="5"/>
  <c r="U99" i="5"/>
  <c r="T99" i="5"/>
  <c r="V99" i="5" s="1"/>
  <c r="S99" i="5"/>
  <c r="Q99" i="5"/>
  <c r="R99" i="5" s="1"/>
  <c r="O99" i="5"/>
  <c r="N99" i="5"/>
  <c r="P99" i="5" s="1"/>
  <c r="M99" i="5"/>
  <c r="L99" i="5"/>
  <c r="J99" i="5"/>
  <c r="Y98" i="5"/>
  <c r="X98" i="5"/>
  <c r="W98" i="5"/>
  <c r="V98" i="5"/>
  <c r="T98" i="5"/>
  <c r="U98" i="5" s="1"/>
  <c r="R98" i="5"/>
  <c r="Q98" i="5"/>
  <c r="S98" i="5" s="1"/>
  <c r="P98" i="5"/>
  <c r="N98" i="5"/>
  <c r="O98" i="5" s="1"/>
  <c r="M98" i="5"/>
  <c r="L98" i="5"/>
  <c r="J98" i="5"/>
  <c r="Y97" i="5"/>
  <c r="X97" i="5"/>
  <c r="W97" i="5"/>
  <c r="U97" i="5"/>
  <c r="T97" i="5"/>
  <c r="V97" i="5" s="1"/>
  <c r="S97" i="5"/>
  <c r="Q97" i="5"/>
  <c r="R97" i="5" s="1"/>
  <c r="O97" i="5"/>
  <c r="N97" i="5"/>
  <c r="P97" i="5" s="1"/>
  <c r="M97" i="5"/>
  <c r="L97" i="5"/>
  <c r="J97" i="5"/>
  <c r="Y96" i="5"/>
  <c r="X96" i="5"/>
  <c r="W96" i="5"/>
  <c r="V96" i="5"/>
  <c r="T96" i="5"/>
  <c r="U96" i="5" s="1"/>
  <c r="R96" i="5"/>
  <c r="Q96" i="5"/>
  <c r="S96" i="5" s="1"/>
  <c r="P96" i="5"/>
  <c r="N96" i="5"/>
  <c r="O96" i="5" s="1"/>
  <c r="Y95" i="5"/>
  <c r="X95" i="5"/>
  <c r="W95" i="5"/>
  <c r="T95" i="5"/>
  <c r="U95" i="5" s="1"/>
  <c r="R95" i="5"/>
  <c r="Q95" i="5"/>
  <c r="S95" i="5" s="1"/>
  <c r="N95" i="5"/>
  <c r="O95" i="5" s="1"/>
  <c r="M95" i="5"/>
  <c r="L95" i="5"/>
  <c r="J95" i="5"/>
  <c r="Y94" i="5"/>
  <c r="X94" i="5"/>
  <c r="W94" i="5"/>
  <c r="T94" i="5"/>
  <c r="V94" i="5" s="1"/>
  <c r="Q94" i="5"/>
  <c r="R94" i="5" s="1"/>
  <c r="O94" i="5"/>
  <c r="N94" i="5"/>
  <c r="P94" i="5" s="1"/>
  <c r="M94" i="5"/>
  <c r="L94" i="5"/>
  <c r="J94" i="5"/>
  <c r="Y93" i="5"/>
  <c r="X93" i="5"/>
  <c r="W93" i="5"/>
  <c r="T93" i="5"/>
  <c r="U93" i="5" s="1"/>
  <c r="Q93" i="5"/>
  <c r="S93" i="5" s="1"/>
  <c r="N93" i="5"/>
  <c r="O93" i="5" s="1"/>
  <c r="M93" i="5"/>
  <c r="L93" i="5"/>
  <c r="J93" i="5"/>
  <c r="Y92" i="5"/>
  <c r="X92" i="5"/>
  <c r="W92" i="5"/>
  <c r="U92" i="5"/>
  <c r="T92" i="5"/>
  <c r="V92" i="5" s="1"/>
  <c r="Q92" i="5"/>
  <c r="R92" i="5" s="1"/>
  <c r="N92" i="5"/>
  <c r="P92" i="5" s="1"/>
  <c r="M92" i="5"/>
  <c r="L92" i="5"/>
  <c r="J92" i="5"/>
  <c r="Y91" i="5"/>
  <c r="X91" i="5"/>
  <c r="W91" i="5"/>
  <c r="T91" i="5"/>
  <c r="U91" i="5" s="1"/>
  <c r="R91" i="5"/>
  <c r="Q91" i="5"/>
  <c r="S91" i="5" s="1"/>
  <c r="N91" i="5"/>
  <c r="O91" i="5" s="1"/>
  <c r="M91" i="5"/>
  <c r="L91" i="5"/>
  <c r="J91" i="5"/>
  <c r="Y90" i="5"/>
  <c r="X90" i="5"/>
  <c r="W90" i="5"/>
  <c r="T90" i="5"/>
  <c r="V90" i="5" s="1"/>
  <c r="Q90" i="5"/>
  <c r="R90" i="5" s="1"/>
  <c r="O90" i="5"/>
  <c r="N90" i="5"/>
  <c r="P90" i="5" s="1"/>
  <c r="M90" i="5"/>
  <c r="L90" i="5"/>
  <c r="J90" i="5"/>
  <c r="Y89" i="5"/>
  <c r="X89" i="5"/>
  <c r="W89" i="5"/>
  <c r="T89" i="5"/>
  <c r="U89" i="5" s="1"/>
  <c r="Q89" i="5"/>
  <c r="S89" i="5" s="1"/>
  <c r="N89" i="5"/>
  <c r="O89" i="5" s="1"/>
  <c r="Y88" i="5"/>
  <c r="X88" i="5"/>
  <c r="W88" i="5"/>
  <c r="T88" i="5"/>
  <c r="U88" i="5" s="1"/>
  <c r="Q88" i="5"/>
  <c r="S88" i="5" s="1"/>
  <c r="N88" i="5"/>
  <c r="O88" i="5" s="1"/>
  <c r="M88" i="5"/>
  <c r="L88" i="5"/>
  <c r="J88" i="5"/>
  <c r="Y87" i="5"/>
  <c r="X87" i="5"/>
  <c r="W87" i="5"/>
  <c r="T87" i="5"/>
  <c r="V87" i="5" s="1"/>
  <c r="Q87" i="5"/>
  <c r="R87" i="5" s="1"/>
  <c r="N87" i="5"/>
  <c r="P87" i="5" s="1"/>
  <c r="M87" i="5"/>
  <c r="L87" i="5"/>
  <c r="J87" i="5"/>
  <c r="Y86" i="5"/>
  <c r="X86" i="5"/>
  <c r="W86" i="5"/>
  <c r="T86" i="5"/>
  <c r="U86" i="5" s="1"/>
  <c r="Q86" i="5"/>
  <c r="S86" i="5" s="1"/>
  <c r="N86" i="5"/>
  <c r="O86" i="5" s="1"/>
  <c r="M86" i="5"/>
  <c r="L86" i="5"/>
  <c r="J86" i="5"/>
  <c r="Y85" i="5"/>
  <c r="X85" i="5"/>
  <c r="W85" i="5"/>
  <c r="T85" i="5"/>
  <c r="V85" i="5" s="1"/>
  <c r="Q85" i="5"/>
  <c r="R85" i="5" s="1"/>
  <c r="N85" i="5"/>
  <c r="P85" i="5" s="1"/>
  <c r="M85" i="5"/>
  <c r="L85" i="5"/>
  <c r="J85" i="5"/>
  <c r="Y84" i="5"/>
  <c r="X84" i="5"/>
  <c r="W84" i="5"/>
  <c r="T84" i="5"/>
  <c r="U84" i="5" s="1"/>
  <c r="Q84" i="5"/>
  <c r="S84" i="5" s="1"/>
  <c r="N84" i="5"/>
  <c r="O84" i="5" s="1"/>
  <c r="M84" i="5"/>
  <c r="L84" i="5"/>
  <c r="J84" i="5"/>
  <c r="Y83" i="5"/>
  <c r="X83" i="5"/>
  <c r="W83" i="5"/>
  <c r="T83" i="5"/>
  <c r="V83" i="5" s="1"/>
  <c r="Q83" i="5"/>
  <c r="R83" i="5" s="1"/>
  <c r="N83" i="5"/>
  <c r="P83" i="5" s="1"/>
  <c r="M83" i="5"/>
  <c r="L83" i="5"/>
  <c r="J83" i="5"/>
  <c r="Y82" i="5"/>
  <c r="X82" i="5"/>
  <c r="W82" i="5"/>
  <c r="T82" i="5"/>
  <c r="U82" i="5" s="1"/>
  <c r="Q82" i="5"/>
  <c r="S82" i="5" s="1"/>
  <c r="N82" i="5"/>
  <c r="O82" i="5" s="1"/>
  <c r="Y81" i="5"/>
  <c r="X81" i="5"/>
  <c r="W81" i="5"/>
  <c r="T81" i="5"/>
  <c r="U81" i="5" s="1"/>
  <c r="Q81" i="5"/>
  <c r="S81" i="5" s="1"/>
  <c r="N81" i="5"/>
  <c r="O81" i="5" s="1"/>
  <c r="M81" i="5"/>
  <c r="L81" i="5"/>
  <c r="J81" i="5"/>
  <c r="Y80" i="5"/>
  <c r="X80" i="5"/>
  <c r="W80" i="5"/>
  <c r="U80" i="5"/>
  <c r="T80" i="5"/>
  <c r="V80" i="5" s="1"/>
  <c r="Q80" i="5"/>
  <c r="R80" i="5" s="1"/>
  <c r="N80" i="5"/>
  <c r="P80" i="5" s="1"/>
  <c r="M80" i="5"/>
  <c r="L80" i="5"/>
  <c r="J80" i="5"/>
  <c r="Y79" i="5"/>
  <c r="X79" i="5"/>
  <c r="W79" i="5"/>
  <c r="T79" i="5"/>
  <c r="U79" i="5" s="1"/>
  <c r="R79" i="5"/>
  <c r="Q79" i="5"/>
  <c r="S79" i="5" s="1"/>
  <c r="N79" i="5"/>
  <c r="O79" i="5" s="1"/>
  <c r="M79" i="5"/>
  <c r="L79" i="5"/>
  <c r="J79" i="5"/>
  <c r="Y78" i="5"/>
  <c r="X78" i="5"/>
  <c r="W78" i="5"/>
  <c r="T78" i="5"/>
  <c r="V78" i="5" s="1"/>
  <c r="Q78" i="5"/>
  <c r="R78" i="5" s="1"/>
  <c r="O78" i="5"/>
  <c r="N78" i="5"/>
  <c r="P78" i="5" s="1"/>
  <c r="M78" i="5"/>
  <c r="L78" i="5"/>
  <c r="J78" i="5"/>
  <c r="Y77" i="5"/>
  <c r="X77" i="5"/>
  <c r="W77" i="5"/>
  <c r="T77" i="5"/>
  <c r="U77" i="5" s="1"/>
  <c r="Q77" i="5"/>
  <c r="S77" i="5" s="1"/>
  <c r="N77" i="5"/>
  <c r="O77" i="5" s="1"/>
  <c r="M77" i="5"/>
  <c r="L77" i="5"/>
  <c r="J77" i="5"/>
  <c r="Y76" i="5"/>
  <c r="X76" i="5"/>
  <c r="W76" i="5"/>
  <c r="U76" i="5"/>
  <c r="T76" i="5"/>
  <c r="V76" i="5" s="1"/>
  <c r="Q76" i="5"/>
  <c r="R76" i="5" s="1"/>
  <c r="N76" i="5"/>
  <c r="P76" i="5" s="1"/>
  <c r="M76" i="5"/>
  <c r="L76" i="5"/>
  <c r="J76" i="5"/>
  <c r="Y75" i="5"/>
  <c r="X75" i="5"/>
  <c r="W75" i="5"/>
  <c r="T75" i="5"/>
  <c r="U75" i="5" s="1"/>
  <c r="R75" i="5"/>
  <c r="Q75" i="5"/>
  <c r="S75" i="5" s="1"/>
  <c r="N75" i="5"/>
  <c r="O75" i="5" s="1"/>
  <c r="Y74" i="5"/>
  <c r="X74" i="5"/>
  <c r="W74" i="5"/>
  <c r="V74" i="5"/>
  <c r="T74" i="5"/>
  <c r="U74" i="5" s="1"/>
  <c r="R74" i="5"/>
  <c r="Q74" i="5"/>
  <c r="S74" i="5" s="1"/>
  <c r="P74" i="5"/>
  <c r="N74" i="5"/>
  <c r="O74" i="5" s="1"/>
  <c r="M74" i="5"/>
  <c r="L74" i="5"/>
  <c r="J74" i="5"/>
  <c r="Y73" i="5"/>
  <c r="X73" i="5"/>
  <c r="W73" i="5"/>
  <c r="U73" i="5"/>
  <c r="T73" i="5"/>
  <c r="V73" i="5" s="1"/>
  <c r="S73" i="5"/>
  <c r="Q73" i="5"/>
  <c r="R73" i="5" s="1"/>
  <c r="O73" i="5"/>
  <c r="N73" i="5"/>
  <c r="P73" i="5" s="1"/>
  <c r="M73" i="5"/>
  <c r="L73" i="5"/>
  <c r="J73" i="5"/>
  <c r="Y72" i="5"/>
  <c r="X72" i="5"/>
  <c r="W72" i="5"/>
  <c r="V72" i="5"/>
  <c r="T72" i="5"/>
  <c r="U72" i="5" s="1"/>
  <c r="R72" i="5"/>
  <c r="Q72" i="5"/>
  <c r="S72" i="5" s="1"/>
  <c r="P72" i="5"/>
  <c r="N72" i="5"/>
  <c r="O72" i="5" s="1"/>
  <c r="M72" i="5"/>
  <c r="L72" i="5"/>
  <c r="J72" i="5"/>
  <c r="Y71" i="5"/>
  <c r="X71" i="5"/>
  <c r="W71" i="5"/>
  <c r="U71" i="5"/>
  <c r="T71" i="5"/>
  <c r="V71" i="5" s="1"/>
  <c r="S71" i="5"/>
  <c r="Q71" i="5"/>
  <c r="R71" i="5" s="1"/>
  <c r="O71" i="5"/>
  <c r="N71" i="5"/>
  <c r="P71" i="5" s="1"/>
  <c r="M71" i="5"/>
  <c r="L71" i="5"/>
  <c r="J71" i="5"/>
  <c r="Y70" i="5"/>
  <c r="X70" i="5"/>
  <c r="W70" i="5"/>
  <c r="V70" i="5"/>
  <c r="T70" i="5"/>
  <c r="U70" i="5" s="1"/>
  <c r="R70" i="5"/>
  <c r="Q70" i="5"/>
  <c r="S70" i="5" s="1"/>
  <c r="P70" i="5"/>
  <c r="N70" i="5"/>
  <c r="O70" i="5" s="1"/>
  <c r="M70" i="5"/>
  <c r="L70" i="5"/>
  <c r="J70" i="5"/>
  <c r="Y69" i="5"/>
  <c r="X69" i="5"/>
  <c r="W69" i="5"/>
  <c r="U69" i="5"/>
  <c r="T69" i="5"/>
  <c r="V69" i="5" s="1"/>
  <c r="S69" i="5"/>
  <c r="Q69" i="5"/>
  <c r="R69" i="5" s="1"/>
  <c r="O69" i="5"/>
  <c r="N69" i="5"/>
  <c r="P69" i="5" s="1"/>
  <c r="M69" i="5"/>
  <c r="L69" i="5"/>
  <c r="J69" i="5"/>
  <c r="Y68" i="5"/>
  <c r="X68" i="5"/>
  <c r="W68" i="5"/>
  <c r="V68" i="5"/>
  <c r="T68" i="5"/>
  <c r="U68" i="5" s="1"/>
  <c r="R68" i="5"/>
  <c r="Q68" i="5"/>
  <c r="S68" i="5" s="1"/>
  <c r="P68" i="5"/>
  <c r="N68" i="5"/>
  <c r="O68" i="5" s="1"/>
  <c r="Y67" i="5"/>
  <c r="X67" i="5"/>
  <c r="W67" i="5"/>
  <c r="T67" i="5"/>
  <c r="U67" i="5" s="1"/>
  <c r="R67" i="5"/>
  <c r="Q67" i="5"/>
  <c r="S67" i="5" s="1"/>
  <c r="N67" i="5"/>
  <c r="O67" i="5" s="1"/>
  <c r="M67" i="5"/>
  <c r="L67" i="5"/>
  <c r="J67" i="5"/>
  <c r="Y66" i="5"/>
  <c r="X66" i="5"/>
  <c r="W66" i="5"/>
  <c r="T66" i="5"/>
  <c r="V66" i="5" s="1"/>
  <c r="Q66" i="5"/>
  <c r="R66" i="5" s="1"/>
  <c r="O66" i="5"/>
  <c r="N66" i="5"/>
  <c r="P66" i="5" s="1"/>
  <c r="M66" i="5"/>
  <c r="L66" i="5"/>
  <c r="J66" i="5"/>
  <c r="Y65" i="5"/>
  <c r="X65" i="5"/>
  <c r="W65" i="5"/>
  <c r="T65" i="5"/>
  <c r="U65" i="5" s="1"/>
  <c r="Q65" i="5"/>
  <c r="S65" i="5" s="1"/>
  <c r="N65" i="5"/>
  <c r="O65" i="5" s="1"/>
  <c r="M65" i="5"/>
  <c r="L65" i="5"/>
  <c r="J65" i="5"/>
  <c r="Y64" i="5"/>
  <c r="X64" i="5"/>
  <c r="W64" i="5"/>
  <c r="U64" i="5"/>
  <c r="T64" i="5"/>
  <c r="V64" i="5" s="1"/>
  <c r="Q64" i="5"/>
  <c r="R64" i="5" s="1"/>
  <c r="N64" i="5"/>
  <c r="P64" i="5" s="1"/>
  <c r="M64" i="5"/>
  <c r="L64" i="5"/>
  <c r="J64" i="5"/>
  <c r="Y63" i="5"/>
  <c r="X63" i="5"/>
  <c r="W63" i="5"/>
  <c r="T63" i="5"/>
  <c r="U63" i="5" s="1"/>
  <c r="R63" i="5"/>
  <c r="Q63" i="5"/>
  <c r="S63" i="5" s="1"/>
  <c r="N63" i="5"/>
  <c r="O63" i="5" s="1"/>
  <c r="M63" i="5"/>
  <c r="L63" i="5"/>
  <c r="J63" i="5"/>
  <c r="Y62" i="5"/>
  <c r="X62" i="5"/>
  <c r="W62" i="5"/>
  <c r="T62" i="5"/>
  <c r="V62" i="5" s="1"/>
  <c r="Q62" i="5"/>
  <c r="S62" i="5" s="1"/>
  <c r="O62" i="5"/>
  <c r="N62" i="5"/>
  <c r="P62" i="5" s="1"/>
  <c r="M62" i="5"/>
  <c r="L62" i="5"/>
  <c r="J62" i="5"/>
  <c r="Y61" i="5"/>
  <c r="X61" i="5"/>
  <c r="W61" i="5"/>
  <c r="T61" i="5"/>
  <c r="V61" i="5" s="1"/>
  <c r="Q61" i="5"/>
  <c r="S61" i="5" s="1"/>
  <c r="N61" i="5"/>
  <c r="P61" i="5" s="1"/>
  <c r="Y60" i="5"/>
  <c r="X60" i="5"/>
  <c r="W60" i="5"/>
  <c r="T60" i="5"/>
  <c r="V60" i="5" s="1"/>
  <c r="R60" i="5"/>
  <c r="Q60" i="5"/>
  <c r="S60" i="5" s="1"/>
  <c r="N60" i="5"/>
  <c r="P60" i="5" s="1"/>
  <c r="M60" i="5"/>
  <c r="L60" i="5"/>
  <c r="J60" i="5"/>
  <c r="Y59" i="5"/>
  <c r="X59" i="5"/>
  <c r="W59" i="5"/>
  <c r="T59" i="5"/>
  <c r="V59" i="5" s="1"/>
  <c r="Q59" i="5"/>
  <c r="S59" i="5" s="1"/>
  <c r="O59" i="5"/>
  <c r="N59" i="5"/>
  <c r="P59" i="5" s="1"/>
  <c r="M59" i="5"/>
  <c r="L59" i="5"/>
  <c r="J59" i="5"/>
  <c r="Y58" i="5"/>
  <c r="X58" i="5"/>
  <c r="W58" i="5"/>
  <c r="T58" i="5"/>
  <c r="V58" i="5" s="1"/>
  <c r="Q58" i="5"/>
  <c r="S58" i="5" s="1"/>
  <c r="N58" i="5"/>
  <c r="P58" i="5" s="1"/>
  <c r="M58" i="5"/>
  <c r="L58" i="5"/>
  <c r="J58" i="5"/>
  <c r="Y57" i="5"/>
  <c r="X57" i="5"/>
  <c r="W57" i="5"/>
  <c r="U57" i="5"/>
  <c r="T57" i="5"/>
  <c r="V57" i="5" s="1"/>
  <c r="Q57" i="5"/>
  <c r="S57" i="5" s="1"/>
  <c r="N57" i="5"/>
  <c r="P57" i="5" s="1"/>
  <c r="M57" i="5"/>
  <c r="L57" i="5"/>
  <c r="J57" i="5"/>
  <c r="Y56" i="5"/>
  <c r="X56" i="5"/>
  <c r="W56" i="5"/>
  <c r="T56" i="5"/>
  <c r="V56" i="5" s="1"/>
  <c r="R56" i="5"/>
  <c r="Q56" i="5"/>
  <c r="S56" i="5" s="1"/>
  <c r="N56" i="5"/>
  <c r="P56" i="5" s="1"/>
  <c r="M56" i="5"/>
  <c r="L56" i="5"/>
  <c r="J56" i="5"/>
  <c r="Y55" i="5"/>
  <c r="X55" i="5"/>
  <c r="W55" i="5"/>
  <c r="T55" i="5"/>
  <c r="V55" i="5" s="1"/>
  <c r="Q55" i="5"/>
  <c r="S55" i="5" s="1"/>
  <c r="O55" i="5"/>
  <c r="N55" i="5"/>
  <c r="P55" i="5" s="1"/>
  <c r="M55" i="5"/>
  <c r="L55" i="5"/>
  <c r="J55" i="5"/>
  <c r="Y54" i="5"/>
  <c r="X54" i="5"/>
  <c r="W54" i="5"/>
  <c r="T54" i="5"/>
  <c r="V54" i="5" s="1"/>
  <c r="Q54" i="5"/>
  <c r="S54" i="5" s="1"/>
  <c r="N54" i="5"/>
  <c r="P54" i="5" s="1"/>
  <c r="Y53" i="5"/>
  <c r="X53" i="5"/>
  <c r="W53" i="5"/>
  <c r="T53" i="5"/>
  <c r="V53" i="5" s="1"/>
  <c r="R53" i="5"/>
  <c r="Q53" i="5"/>
  <c r="S53" i="5" s="1"/>
  <c r="N53" i="5"/>
  <c r="P53" i="5" s="1"/>
  <c r="M53" i="5"/>
  <c r="L53" i="5"/>
  <c r="J53" i="5"/>
  <c r="Y52" i="5"/>
  <c r="X52" i="5"/>
  <c r="W52" i="5"/>
  <c r="T52" i="5"/>
  <c r="V52" i="5" s="1"/>
  <c r="Q52" i="5"/>
  <c r="S52" i="5" s="1"/>
  <c r="O52" i="5"/>
  <c r="N52" i="5"/>
  <c r="P52" i="5" s="1"/>
  <c r="M52" i="5"/>
  <c r="L52" i="5"/>
  <c r="J52" i="5"/>
  <c r="Y51" i="5"/>
  <c r="X51" i="5"/>
  <c r="W51" i="5"/>
  <c r="T51" i="5"/>
  <c r="V51" i="5" s="1"/>
  <c r="Q51" i="5"/>
  <c r="S51" i="5" s="1"/>
  <c r="N51" i="5"/>
  <c r="P51" i="5" s="1"/>
  <c r="M51" i="5"/>
  <c r="L51" i="5"/>
  <c r="J51" i="5"/>
  <c r="Y50" i="5"/>
  <c r="X50" i="5"/>
  <c r="W50" i="5"/>
  <c r="U50" i="5"/>
  <c r="T50" i="5"/>
  <c r="V50" i="5" s="1"/>
  <c r="Q50" i="5"/>
  <c r="S50" i="5" s="1"/>
  <c r="N50" i="5"/>
  <c r="P50" i="5" s="1"/>
  <c r="M50" i="5"/>
  <c r="L50" i="5"/>
  <c r="J50" i="5"/>
  <c r="Y49" i="5"/>
  <c r="X49" i="5"/>
  <c r="W49" i="5"/>
  <c r="T49" i="5"/>
  <c r="V49" i="5" s="1"/>
  <c r="R49" i="5"/>
  <c r="Q49" i="5"/>
  <c r="S49" i="5" s="1"/>
  <c r="N49" i="5"/>
  <c r="P49" i="5" s="1"/>
  <c r="M49" i="5"/>
  <c r="L49" i="5"/>
  <c r="J49" i="5"/>
  <c r="Y48" i="5"/>
  <c r="X48" i="5"/>
  <c r="W48" i="5"/>
  <c r="T48" i="5"/>
  <c r="V48" i="5" s="1"/>
  <c r="Q48" i="5"/>
  <c r="S48" i="5" s="1"/>
  <c r="O48" i="5"/>
  <c r="N48" i="5"/>
  <c r="P48" i="5" s="1"/>
  <c r="M48" i="5"/>
  <c r="L48" i="5"/>
  <c r="J48" i="5"/>
  <c r="Y47" i="5"/>
  <c r="X47" i="5"/>
  <c r="W47" i="5"/>
  <c r="T47" i="5"/>
  <c r="V47" i="5" s="1"/>
  <c r="Q47" i="5"/>
  <c r="S47" i="5" s="1"/>
  <c r="N47" i="5"/>
  <c r="P47" i="5" s="1"/>
  <c r="Y46" i="5"/>
  <c r="X46" i="5"/>
  <c r="W46" i="5"/>
  <c r="T46" i="5"/>
  <c r="V46" i="5" s="1"/>
  <c r="R46" i="5"/>
  <c r="Q46" i="5"/>
  <c r="S46" i="5" s="1"/>
  <c r="N46" i="5"/>
  <c r="P46" i="5" s="1"/>
  <c r="M46" i="5"/>
  <c r="L46" i="5"/>
  <c r="J46" i="5"/>
  <c r="Y45" i="5"/>
  <c r="X45" i="5"/>
  <c r="W45" i="5"/>
  <c r="T45" i="5"/>
  <c r="V45" i="5" s="1"/>
  <c r="Q45" i="5"/>
  <c r="S45" i="5" s="1"/>
  <c r="O45" i="5"/>
  <c r="N45" i="5"/>
  <c r="P45" i="5" s="1"/>
  <c r="M45" i="5"/>
  <c r="L45" i="5"/>
  <c r="J45" i="5"/>
  <c r="Y44" i="5"/>
  <c r="X44" i="5"/>
  <c r="W44" i="5"/>
  <c r="T44" i="5"/>
  <c r="V44" i="5" s="1"/>
  <c r="Q44" i="5"/>
  <c r="S44" i="5" s="1"/>
  <c r="N44" i="5"/>
  <c r="P44" i="5" s="1"/>
  <c r="M44" i="5"/>
  <c r="L44" i="5"/>
  <c r="J44" i="5"/>
  <c r="Y43" i="5"/>
  <c r="X43" i="5"/>
  <c r="W43" i="5"/>
  <c r="U43" i="5"/>
  <c r="T43" i="5"/>
  <c r="V43" i="5" s="1"/>
  <c r="Q43" i="5"/>
  <c r="S43" i="5" s="1"/>
  <c r="N43" i="5"/>
  <c r="P43" i="5" s="1"/>
  <c r="M43" i="5"/>
  <c r="L43" i="5"/>
  <c r="J43" i="5"/>
  <c r="Y42" i="5"/>
  <c r="X42" i="5"/>
  <c r="W42" i="5"/>
  <c r="T42" i="5"/>
  <c r="V42" i="5" s="1"/>
  <c r="R42" i="5"/>
  <c r="Q42" i="5"/>
  <c r="S42" i="5" s="1"/>
  <c r="N42" i="5"/>
  <c r="P42" i="5" s="1"/>
  <c r="M42" i="5"/>
  <c r="L42" i="5"/>
  <c r="J42" i="5"/>
  <c r="Y41" i="5"/>
  <c r="X41" i="5"/>
  <c r="W41" i="5"/>
  <c r="T41" i="5"/>
  <c r="V41" i="5" s="1"/>
  <c r="Q41" i="5"/>
  <c r="S41" i="5" s="1"/>
  <c r="O41" i="5"/>
  <c r="N41" i="5"/>
  <c r="P41" i="5" s="1"/>
  <c r="M41" i="5"/>
  <c r="L41" i="5"/>
  <c r="J41" i="5"/>
  <c r="Y40" i="5"/>
  <c r="X40" i="5"/>
  <c r="W40" i="5"/>
  <c r="T40" i="5"/>
  <c r="V40" i="5" s="1"/>
  <c r="Q40" i="5"/>
  <c r="S40" i="5" s="1"/>
  <c r="N40" i="5"/>
  <c r="P40" i="5" s="1"/>
  <c r="Y39" i="5"/>
  <c r="X39" i="5"/>
  <c r="W39" i="5"/>
  <c r="T39" i="5"/>
  <c r="V39" i="5" s="1"/>
  <c r="R39" i="5"/>
  <c r="Q39" i="5"/>
  <c r="S39" i="5" s="1"/>
  <c r="N39" i="5"/>
  <c r="P39" i="5" s="1"/>
  <c r="M39" i="5"/>
  <c r="L39" i="5"/>
  <c r="J39" i="5"/>
  <c r="Y38" i="5"/>
  <c r="X38" i="5"/>
  <c r="W38" i="5"/>
  <c r="T38" i="5"/>
  <c r="V38" i="5" s="1"/>
  <c r="Q38" i="5"/>
  <c r="S38" i="5" s="1"/>
  <c r="O38" i="5"/>
  <c r="N38" i="5"/>
  <c r="P38" i="5" s="1"/>
  <c r="M38" i="5"/>
  <c r="L38" i="5"/>
  <c r="J38" i="5"/>
  <c r="Y37" i="5"/>
  <c r="X37" i="5"/>
  <c r="W37" i="5"/>
  <c r="T37" i="5"/>
  <c r="V37" i="5" s="1"/>
  <c r="Q37" i="5"/>
  <c r="S37" i="5" s="1"/>
  <c r="N37" i="5"/>
  <c r="P37" i="5" s="1"/>
  <c r="M37" i="5"/>
  <c r="L37" i="5"/>
  <c r="J37" i="5"/>
  <c r="Y36" i="5"/>
  <c r="X36" i="5"/>
  <c r="W36" i="5"/>
  <c r="U36" i="5"/>
  <c r="T36" i="5"/>
  <c r="V36" i="5" s="1"/>
  <c r="Q36" i="5"/>
  <c r="S36" i="5" s="1"/>
  <c r="N36" i="5"/>
  <c r="P36" i="5" s="1"/>
  <c r="M36" i="5"/>
  <c r="L36" i="5"/>
  <c r="J36" i="5"/>
  <c r="Y35" i="5"/>
  <c r="X35" i="5"/>
  <c r="W35" i="5"/>
  <c r="T35" i="5"/>
  <c r="V35" i="5" s="1"/>
  <c r="R35" i="5"/>
  <c r="Q35" i="5"/>
  <c r="S35" i="5" s="1"/>
  <c r="N35" i="5"/>
  <c r="P35" i="5" s="1"/>
  <c r="M35" i="5"/>
  <c r="L35" i="5"/>
  <c r="J35" i="5"/>
  <c r="Y34" i="5"/>
  <c r="X34" i="5"/>
  <c r="W34" i="5"/>
  <c r="T34" i="5"/>
  <c r="V34" i="5" s="1"/>
  <c r="Q34" i="5"/>
  <c r="S34" i="5" s="1"/>
  <c r="O34" i="5"/>
  <c r="N34" i="5"/>
  <c r="P34" i="5" s="1"/>
  <c r="M34" i="5"/>
  <c r="L34" i="5"/>
  <c r="J34" i="5"/>
  <c r="Y33" i="5"/>
  <c r="X33" i="5"/>
  <c r="W33" i="5"/>
  <c r="T33" i="5"/>
  <c r="V33" i="5" s="1"/>
  <c r="Q33" i="5"/>
  <c r="S33" i="5" s="1"/>
  <c r="N33" i="5"/>
  <c r="P33" i="5" s="1"/>
  <c r="Y32" i="5"/>
  <c r="X32" i="5"/>
  <c r="W32" i="5"/>
  <c r="T32" i="5"/>
  <c r="V32" i="5" s="1"/>
  <c r="R32" i="5"/>
  <c r="Q32" i="5"/>
  <c r="S32" i="5" s="1"/>
  <c r="N32" i="5"/>
  <c r="P32" i="5" s="1"/>
  <c r="M32" i="5"/>
  <c r="L32" i="5"/>
  <c r="J32" i="5"/>
  <c r="Y31" i="5"/>
  <c r="X31" i="5"/>
  <c r="W31" i="5"/>
  <c r="T31" i="5"/>
  <c r="V31" i="5" s="1"/>
  <c r="Q31" i="5"/>
  <c r="S31" i="5" s="1"/>
  <c r="O31" i="5"/>
  <c r="N31" i="5"/>
  <c r="P31" i="5" s="1"/>
  <c r="M31" i="5"/>
  <c r="L31" i="5"/>
  <c r="J31" i="5"/>
  <c r="Y30" i="5"/>
  <c r="X30" i="5"/>
  <c r="W30" i="5"/>
  <c r="T30" i="5"/>
  <c r="V30" i="5" s="1"/>
  <c r="Q30" i="5"/>
  <c r="S30" i="5" s="1"/>
  <c r="N30" i="5"/>
  <c r="P30" i="5" s="1"/>
  <c r="M30" i="5"/>
  <c r="L30" i="5"/>
  <c r="J30" i="5"/>
  <c r="Y29" i="5"/>
  <c r="X29" i="5"/>
  <c r="W29" i="5"/>
  <c r="U29" i="5"/>
  <c r="T29" i="5"/>
  <c r="V29" i="5" s="1"/>
  <c r="Q29" i="5"/>
  <c r="S29" i="5" s="1"/>
  <c r="N29" i="5"/>
  <c r="P29" i="5" s="1"/>
  <c r="M29" i="5"/>
  <c r="L29" i="5"/>
  <c r="J29" i="5"/>
  <c r="Y28" i="5"/>
  <c r="X28" i="5"/>
  <c r="W28" i="5"/>
  <c r="T28" i="5"/>
  <c r="V28" i="5" s="1"/>
  <c r="R28" i="5"/>
  <c r="Q28" i="5"/>
  <c r="S28" i="5" s="1"/>
  <c r="N28" i="5"/>
  <c r="P28" i="5" s="1"/>
  <c r="M28" i="5"/>
  <c r="L28" i="5"/>
  <c r="J28" i="5"/>
  <c r="Y27" i="5"/>
  <c r="X27" i="5"/>
  <c r="W27" i="5"/>
  <c r="T27" i="5"/>
  <c r="V27" i="5" s="1"/>
  <c r="Q27" i="5"/>
  <c r="S27" i="5" s="1"/>
  <c r="O27" i="5"/>
  <c r="N27" i="5"/>
  <c r="P27" i="5" s="1"/>
  <c r="M27" i="5"/>
  <c r="L27" i="5"/>
  <c r="J27" i="5"/>
  <c r="Y26" i="5"/>
  <c r="X26" i="5"/>
  <c r="T26" i="5"/>
  <c r="V26" i="5" s="1"/>
  <c r="R26" i="5"/>
  <c r="Q26" i="5"/>
  <c r="S26" i="5" s="1"/>
  <c r="N26" i="5"/>
  <c r="P26" i="5" s="1"/>
  <c r="T25" i="5"/>
  <c r="V25" i="5" s="1"/>
  <c r="Q25" i="5"/>
  <c r="S25" i="5" s="1"/>
  <c r="O25" i="5"/>
  <c r="N25" i="5"/>
  <c r="P25" i="5" s="1"/>
  <c r="M25" i="5"/>
  <c r="L25" i="5"/>
  <c r="J25" i="5"/>
  <c r="T24" i="5"/>
  <c r="V24" i="5" s="1"/>
  <c r="Q24" i="5"/>
  <c r="S24" i="5" s="1"/>
  <c r="O24" i="5"/>
  <c r="N24" i="5"/>
  <c r="P24" i="5" s="1"/>
  <c r="M24" i="5"/>
  <c r="L24" i="5"/>
  <c r="J24" i="5"/>
  <c r="T23" i="5"/>
  <c r="V23" i="5" s="1"/>
  <c r="Q23" i="5"/>
  <c r="S23" i="5" s="1"/>
  <c r="O23" i="5"/>
  <c r="N23" i="5"/>
  <c r="P23" i="5" s="1"/>
  <c r="M23" i="5"/>
  <c r="L23" i="5"/>
  <c r="J23" i="5"/>
  <c r="T22" i="5"/>
  <c r="V22" i="5" s="1"/>
  <c r="Q22" i="5"/>
  <c r="S22" i="5" s="1"/>
  <c r="O22" i="5"/>
  <c r="N22" i="5"/>
  <c r="P22" i="5" s="1"/>
  <c r="M22" i="5"/>
  <c r="L22" i="5"/>
  <c r="J22" i="5"/>
  <c r="T21" i="5"/>
  <c r="V21" i="5" s="1"/>
  <c r="Q21" i="5"/>
  <c r="S21" i="5" s="1"/>
  <c r="O21" i="5"/>
  <c r="N21" i="5"/>
  <c r="P21" i="5" s="1"/>
  <c r="M21" i="5"/>
  <c r="L21" i="5"/>
  <c r="J21" i="5"/>
  <c r="T20" i="5"/>
  <c r="V20" i="5" s="1"/>
  <c r="Q20" i="5"/>
  <c r="S20" i="5" s="1"/>
  <c r="O20" i="5"/>
  <c r="N20" i="5"/>
  <c r="P20" i="5" s="1"/>
  <c r="M20" i="5"/>
  <c r="L20" i="5"/>
  <c r="J20" i="5"/>
  <c r="T19" i="5"/>
  <c r="V19" i="5" s="1"/>
  <c r="Q19" i="5"/>
  <c r="S19" i="5" s="1"/>
  <c r="O19" i="5"/>
  <c r="P19" i="5"/>
  <c r="T18" i="5"/>
  <c r="V18" i="5" s="1"/>
  <c r="Q18" i="5"/>
  <c r="S18" i="5" s="1"/>
  <c r="P18" i="5"/>
  <c r="M18" i="5"/>
  <c r="L18" i="5"/>
  <c r="J18" i="5"/>
  <c r="T17" i="5"/>
  <c r="V17" i="5" s="1"/>
  <c r="R17" i="5"/>
  <c r="Q17" i="5"/>
  <c r="S17" i="5" s="1"/>
  <c r="P17" i="5"/>
  <c r="M17" i="5"/>
  <c r="L17" i="5"/>
  <c r="J17" i="5"/>
  <c r="T16" i="5"/>
  <c r="V16" i="5" s="1"/>
  <c r="Q16" i="5"/>
  <c r="S16" i="5" s="1"/>
  <c r="N16" i="5"/>
  <c r="P16" i="5" s="1"/>
  <c r="M16" i="5"/>
  <c r="L16" i="5"/>
  <c r="J16" i="5"/>
  <c r="T15" i="5"/>
  <c r="V15" i="5" s="1"/>
  <c r="R15" i="5"/>
  <c r="Q15" i="5"/>
  <c r="S15" i="5" s="1"/>
  <c r="N15" i="5"/>
  <c r="P15" i="5" s="1"/>
  <c r="M15" i="5"/>
  <c r="L15" i="5"/>
  <c r="J15" i="5"/>
  <c r="T14" i="5"/>
  <c r="V14" i="5" s="1"/>
  <c r="Q14" i="5"/>
  <c r="S14" i="5" s="1"/>
  <c r="N14" i="5"/>
  <c r="P14" i="5" s="1"/>
  <c r="M14" i="5"/>
  <c r="L14" i="5"/>
  <c r="J14" i="5"/>
  <c r="T13" i="5"/>
  <c r="V13" i="5" s="1"/>
  <c r="R13" i="5"/>
  <c r="S13" i="5"/>
  <c r="P13" i="5"/>
  <c r="M13" i="5"/>
  <c r="L13" i="5"/>
  <c r="R12" i="5"/>
  <c r="M11" i="5"/>
  <c r="L11" i="5"/>
  <c r="J11" i="5"/>
  <c r="M10" i="5"/>
  <c r="L10" i="5"/>
  <c r="J10" i="5"/>
  <c r="M9" i="5"/>
  <c r="L9" i="5"/>
  <c r="J9" i="5"/>
  <c r="M8" i="5"/>
  <c r="L8" i="5"/>
  <c r="J8" i="5"/>
  <c r="M7" i="5"/>
  <c r="L7" i="5"/>
  <c r="M6" i="5"/>
  <c r="M427" i="5" s="1"/>
  <c r="L6" i="5"/>
  <c r="J427" i="5"/>
  <c r="AB424" i="4"/>
  <c r="AA424" i="4"/>
  <c r="Z424" i="4"/>
  <c r="Y424" i="4"/>
  <c r="X424" i="4"/>
  <c r="W424" i="4"/>
  <c r="T424" i="4"/>
  <c r="Q424" i="4"/>
  <c r="N424" i="4"/>
  <c r="M424" i="4"/>
  <c r="L424" i="4"/>
  <c r="J424" i="4"/>
  <c r="AB423" i="4"/>
  <c r="AA423" i="4"/>
  <c r="Z423" i="4"/>
  <c r="Y423" i="4"/>
  <c r="X423" i="4"/>
  <c r="W423" i="4"/>
  <c r="U423" i="4"/>
  <c r="T423" i="4"/>
  <c r="V423" i="4" s="1"/>
  <c r="Q423" i="4"/>
  <c r="N423" i="4"/>
  <c r="M423" i="4"/>
  <c r="L423" i="4"/>
  <c r="J423" i="4"/>
  <c r="AB422" i="4"/>
  <c r="AA422" i="4"/>
  <c r="Z422" i="4"/>
  <c r="Y422" i="4"/>
  <c r="X422" i="4"/>
  <c r="W422" i="4"/>
  <c r="U422" i="4"/>
  <c r="T422" i="4"/>
  <c r="V422" i="4" s="1"/>
  <c r="S422" i="4"/>
  <c r="Q422" i="4"/>
  <c r="R422" i="4" s="1"/>
  <c r="O422" i="4"/>
  <c r="N422" i="4"/>
  <c r="P422" i="4" s="1"/>
  <c r="M422" i="4"/>
  <c r="L422" i="4"/>
  <c r="J422" i="4"/>
  <c r="AB421" i="4"/>
  <c r="AA421" i="4"/>
  <c r="Z421" i="4"/>
  <c r="Y421" i="4"/>
  <c r="X421" i="4"/>
  <c r="W421" i="4"/>
  <c r="T421" i="4"/>
  <c r="Q421" i="4"/>
  <c r="O421" i="4"/>
  <c r="N421" i="4"/>
  <c r="P421" i="4" s="1"/>
  <c r="M421" i="4"/>
  <c r="L421" i="4"/>
  <c r="J421" i="4"/>
  <c r="AB420" i="4"/>
  <c r="AA420" i="4"/>
  <c r="Z420" i="4"/>
  <c r="Y420" i="4"/>
  <c r="X420" i="4"/>
  <c r="W420" i="4"/>
  <c r="T420" i="4"/>
  <c r="Q420" i="4"/>
  <c r="N420" i="4"/>
  <c r="M420" i="4"/>
  <c r="L420" i="4"/>
  <c r="J420" i="4"/>
  <c r="AB419" i="4"/>
  <c r="AA419" i="4"/>
  <c r="Z419" i="4"/>
  <c r="Y419" i="4"/>
  <c r="X419" i="4"/>
  <c r="W419" i="4"/>
  <c r="U419" i="4"/>
  <c r="T419" i="4"/>
  <c r="V419" i="4" s="1"/>
  <c r="Q419" i="4"/>
  <c r="N419" i="4"/>
  <c r="M419" i="4"/>
  <c r="L419" i="4"/>
  <c r="J419" i="4"/>
  <c r="AB418" i="4"/>
  <c r="AA418" i="4"/>
  <c r="Z418" i="4"/>
  <c r="Y418" i="4"/>
  <c r="X418" i="4"/>
  <c r="W418" i="4"/>
  <c r="U418" i="4"/>
  <c r="T418" i="4"/>
  <c r="V418" i="4" s="1"/>
  <c r="S418" i="4"/>
  <c r="Q418" i="4"/>
  <c r="R418" i="4" s="1"/>
  <c r="O418" i="4"/>
  <c r="N418" i="4"/>
  <c r="P418" i="4" s="1"/>
  <c r="AB417" i="4"/>
  <c r="AA417" i="4"/>
  <c r="Z417" i="4"/>
  <c r="Y417" i="4"/>
  <c r="X417" i="4"/>
  <c r="W417" i="4"/>
  <c r="V417" i="4"/>
  <c r="T417" i="4"/>
  <c r="U417" i="4" s="1"/>
  <c r="R417" i="4"/>
  <c r="Q417" i="4"/>
  <c r="S417" i="4" s="1"/>
  <c r="P417" i="4"/>
  <c r="N417" i="4"/>
  <c r="O417" i="4" s="1"/>
  <c r="M417" i="4"/>
  <c r="L417" i="4"/>
  <c r="J417" i="4"/>
  <c r="AB416" i="4"/>
  <c r="AA416" i="4"/>
  <c r="Z416" i="4"/>
  <c r="Y416" i="4"/>
  <c r="X416" i="4"/>
  <c r="W416" i="4"/>
  <c r="T416" i="4"/>
  <c r="R416" i="4"/>
  <c r="Q416" i="4"/>
  <c r="S416" i="4" s="1"/>
  <c r="N416" i="4"/>
  <c r="M416" i="4"/>
  <c r="L416" i="4"/>
  <c r="J416" i="4"/>
  <c r="AB415" i="4"/>
  <c r="AA415" i="4"/>
  <c r="Z415" i="4"/>
  <c r="Y415" i="4"/>
  <c r="X415" i="4"/>
  <c r="W415" i="4"/>
  <c r="V415" i="4"/>
  <c r="T415" i="4"/>
  <c r="U415" i="4" s="1"/>
  <c r="R415" i="4"/>
  <c r="Q415" i="4"/>
  <c r="S415" i="4" s="1"/>
  <c r="P415" i="4"/>
  <c r="N415" i="4"/>
  <c r="O415" i="4" s="1"/>
  <c r="M415" i="4"/>
  <c r="L415" i="4"/>
  <c r="J415" i="4"/>
  <c r="AB414" i="4"/>
  <c r="AA414" i="4"/>
  <c r="Z414" i="4"/>
  <c r="Y414" i="4"/>
  <c r="X414" i="4"/>
  <c r="W414" i="4"/>
  <c r="T414" i="4"/>
  <c r="R414" i="4"/>
  <c r="Q414" i="4"/>
  <c r="S414" i="4" s="1"/>
  <c r="N414" i="4"/>
  <c r="M414" i="4"/>
  <c r="L414" i="4"/>
  <c r="J414" i="4"/>
  <c r="AB413" i="4"/>
  <c r="AA413" i="4"/>
  <c r="Z413" i="4"/>
  <c r="Y413" i="4"/>
  <c r="X413" i="4"/>
  <c r="W413" i="4"/>
  <c r="V413" i="4"/>
  <c r="T413" i="4"/>
  <c r="U413" i="4" s="1"/>
  <c r="R413" i="4"/>
  <c r="Q413" i="4"/>
  <c r="S413" i="4" s="1"/>
  <c r="P413" i="4"/>
  <c r="N413" i="4"/>
  <c r="O413" i="4" s="1"/>
  <c r="M413" i="4"/>
  <c r="L413" i="4"/>
  <c r="J413" i="4"/>
  <c r="AB412" i="4"/>
  <c r="AA412" i="4"/>
  <c r="Z412" i="4"/>
  <c r="Y412" i="4"/>
  <c r="X412" i="4"/>
  <c r="W412" i="4"/>
  <c r="T412" i="4"/>
  <c r="R412" i="4"/>
  <c r="Q412" i="4"/>
  <c r="S412" i="4" s="1"/>
  <c r="N412" i="4"/>
  <c r="M412" i="4"/>
  <c r="L412" i="4"/>
  <c r="J412" i="4"/>
  <c r="AB411" i="4"/>
  <c r="AA411" i="4"/>
  <c r="Z411" i="4"/>
  <c r="Y411" i="4"/>
  <c r="X411" i="4"/>
  <c r="W411" i="4"/>
  <c r="V411" i="4"/>
  <c r="T411" i="4"/>
  <c r="U411" i="4" s="1"/>
  <c r="R411" i="4"/>
  <c r="Q411" i="4"/>
  <c r="S411" i="4" s="1"/>
  <c r="P411" i="4"/>
  <c r="N411" i="4"/>
  <c r="O411" i="4" s="1"/>
  <c r="AB410" i="4"/>
  <c r="AA410" i="4"/>
  <c r="Z410" i="4"/>
  <c r="Y410" i="4"/>
  <c r="X410" i="4"/>
  <c r="W410" i="4"/>
  <c r="U410" i="4"/>
  <c r="T410" i="4"/>
  <c r="V410" i="4" s="1"/>
  <c r="S410" i="4"/>
  <c r="Q410" i="4"/>
  <c r="R410" i="4" s="1"/>
  <c r="O410" i="4"/>
  <c r="N410" i="4"/>
  <c r="P410" i="4" s="1"/>
  <c r="M410" i="4"/>
  <c r="L410" i="4"/>
  <c r="J410" i="4"/>
  <c r="AB409" i="4"/>
  <c r="AA409" i="4"/>
  <c r="Z409" i="4"/>
  <c r="Y409" i="4"/>
  <c r="X409" i="4"/>
  <c r="W409" i="4"/>
  <c r="T409" i="4"/>
  <c r="Q409" i="4"/>
  <c r="O409" i="4"/>
  <c r="N409" i="4"/>
  <c r="P409" i="4" s="1"/>
  <c r="M409" i="4"/>
  <c r="L409" i="4"/>
  <c r="J409" i="4"/>
  <c r="AB408" i="4"/>
  <c r="AA408" i="4"/>
  <c r="Z408" i="4"/>
  <c r="Y408" i="4"/>
  <c r="X408" i="4"/>
  <c r="W408" i="4"/>
  <c r="T408" i="4"/>
  <c r="Q408" i="4"/>
  <c r="N408" i="4"/>
  <c r="M408" i="4"/>
  <c r="L408" i="4"/>
  <c r="J408" i="4"/>
  <c r="AB407" i="4"/>
  <c r="AA407" i="4"/>
  <c r="Z407" i="4"/>
  <c r="Y407" i="4"/>
  <c r="X407" i="4"/>
  <c r="W407" i="4"/>
  <c r="U407" i="4"/>
  <c r="T407" i="4"/>
  <c r="V407" i="4" s="1"/>
  <c r="Q407" i="4"/>
  <c r="N407" i="4"/>
  <c r="M407" i="4"/>
  <c r="L407" i="4"/>
  <c r="J407" i="4"/>
  <c r="AB406" i="4"/>
  <c r="AA406" i="4"/>
  <c r="Z406" i="4"/>
  <c r="Y406" i="4"/>
  <c r="X406" i="4"/>
  <c r="W406" i="4"/>
  <c r="U406" i="4"/>
  <c r="T406" i="4"/>
  <c r="V406" i="4" s="1"/>
  <c r="S406" i="4"/>
  <c r="Q406" i="4"/>
  <c r="R406" i="4" s="1"/>
  <c r="O406" i="4"/>
  <c r="N406" i="4"/>
  <c r="P406" i="4" s="1"/>
  <c r="M406" i="4"/>
  <c r="L406" i="4"/>
  <c r="J406" i="4"/>
  <c r="AB405" i="4"/>
  <c r="AA405" i="4"/>
  <c r="Z405" i="4"/>
  <c r="Y405" i="4"/>
  <c r="X405" i="4"/>
  <c r="W405" i="4"/>
  <c r="T405" i="4"/>
  <c r="Q405" i="4"/>
  <c r="O405" i="4"/>
  <c r="N405" i="4"/>
  <c r="P405" i="4" s="1"/>
  <c r="M405" i="4"/>
  <c r="L405" i="4"/>
  <c r="J405" i="4"/>
  <c r="AB404" i="4"/>
  <c r="AA404" i="4"/>
  <c r="Z404" i="4"/>
  <c r="Y404" i="4"/>
  <c r="X404" i="4"/>
  <c r="W404" i="4"/>
  <c r="T404" i="4"/>
  <c r="Q404" i="4"/>
  <c r="N404" i="4"/>
  <c r="AB403" i="4"/>
  <c r="AA403" i="4"/>
  <c r="Z403" i="4"/>
  <c r="Y403" i="4"/>
  <c r="X403" i="4"/>
  <c r="W403" i="4"/>
  <c r="T403" i="4"/>
  <c r="Q403" i="4"/>
  <c r="N403" i="4"/>
  <c r="M403" i="4"/>
  <c r="L403" i="4"/>
  <c r="J403" i="4"/>
  <c r="AB402" i="4"/>
  <c r="AA402" i="4"/>
  <c r="Z402" i="4"/>
  <c r="Y402" i="4"/>
  <c r="X402" i="4"/>
  <c r="W402" i="4"/>
  <c r="T402" i="4"/>
  <c r="Q402" i="4"/>
  <c r="N402" i="4"/>
  <c r="M402" i="4"/>
  <c r="L402" i="4"/>
  <c r="J402" i="4"/>
  <c r="AB401" i="4"/>
  <c r="AA401" i="4"/>
  <c r="Z401" i="4"/>
  <c r="Y401" i="4"/>
  <c r="X401" i="4"/>
  <c r="W401" i="4"/>
  <c r="T401" i="4"/>
  <c r="Q401" i="4"/>
  <c r="N401" i="4"/>
  <c r="M401" i="4"/>
  <c r="L401" i="4"/>
  <c r="J401" i="4"/>
  <c r="AB400" i="4"/>
  <c r="AA400" i="4"/>
  <c r="Z400" i="4"/>
  <c r="Y400" i="4"/>
  <c r="X400" i="4"/>
  <c r="W400" i="4"/>
  <c r="T400" i="4"/>
  <c r="Q400" i="4"/>
  <c r="N400" i="4"/>
  <c r="M400" i="4"/>
  <c r="L400" i="4"/>
  <c r="J400" i="4"/>
  <c r="AB399" i="4"/>
  <c r="AA399" i="4"/>
  <c r="Z399" i="4"/>
  <c r="Y399" i="4"/>
  <c r="X399" i="4"/>
  <c r="W399" i="4"/>
  <c r="T399" i="4"/>
  <c r="Q399" i="4"/>
  <c r="O399" i="4"/>
  <c r="N399" i="4"/>
  <c r="P399" i="4" s="1"/>
  <c r="M399" i="4"/>
  <c r="L399" i="4"/>
  <c r="J399" i="4"/>
  <c r="AB398" i="4"/>
  <c r="AA398" i="4"/>
  <c r="Z398" i="4"/>
  <c r="Y398" i="4"/>
  <c r="X398" i="4"/>
  <c r="W398" i="4"/>
  <c r="T398" i="4"/>
  <c r="Q398" i="4"/>
  <c r="N398" i="4"/>
  <c r="M398" i="4"/>
  <c r="L398" i="4"/>
  <c r="J398" i="4"/>
  <c r="AB397" i="4"/>
  <c r="AA397" i="4"/>
  <c r="Z397" i="4"/>
  <c r="Y397" i="4"/>
  <c r="X397" i="4"/>
  <c r="W397" i="4"/>
  <c r="U397" i="4"/>
  <c r="T397" i="4"/>
  <c r="V397" i="4" s="1"/>
  <c r="Q397" i="4"/>
  <c r="N397" i="4"/>
  <c r="AB396" i="4"/>
  <c r="AA396" i="4"/>
  <c r="Z396" i="4"/>
  <c r="Y396" i="4"/>
  <c r="X396" i="4"/>
  <c r="W396" i="4"/>
  <c r="T396" i="4"/>
  <c r="R396" i="4"/>
  <c r="Q396" i="4"/>
  <c r="S396" i="4" s="1"/>
  <c r="N396" i="4"/>
  <c r="M396" i="4"/>
  <c r="L396" i="4"/>
  <c r="J396" i="4"/>
  <c r="AB395" i="4"/>
  <c r="AA395" i="4"/>
  <c r="Z395" i="4"/>
  <c r="Y395" i="4"/>
  <c r="X395" i="4"/>
  <c r="W395" i="4"/>
  <c r="V395" i="4"/>
  <c r="T395" i="4"/>
  <c r="U395" i="4" s="1"/>
  <c r="R395" i="4"/>
  <c r="Q395" i="4"/>
  <c r="S395" i="4" s="1"/>
  <c r="P395" i="4"/>
  <c r="N395" i="4"/>
  <c r="O395" i="4" s="1"/>
  <c r="M395" i="4"/>
  <c r="L395" i="4"/>
  <c r="J395" i="4"/>
  <c r="AB394" i="4"/>
  <c r="AA394" i="4"/>
  <c r="Z394" i="4"/>
  <c r="Y394" i="4"/>
  <c r="X394" i="4"/>
  <c r="W394" i="4"/>
  <c r="T394" i="4"/>
  <c r="R394" i="4"/>
  <c r="Q394" i="4"/>
  <c r="S394" i="4" s="1"/>
  <c r="N394" i="4"/>
  <c r="M394" i="4"/>
  <c r="L394" i="4"/>
  <c r="J394" i="4"/>
  <c r="AB393" i="4"/>
  <c r="AA393" i="4"/>
  <c r="Z393" i="4"/>
  <c r="Y393" i="4"/>
  <c r="X393" i="4"/>
  <c r="W393" i="4"/>
  <c r="V393" i="4"/>
  <c r="T393" i="4"/>
  <c r="U393" i="4" s="1"/>
  <c r="R393" i="4"/>
  <c r="Q393" i="4"/>
  <c r="S393" i="4" s="1"/>
  <c r="P393" i="4"/>
  <c r="N393" i="4"/>
  <c r="O393" i="4" s="1"/>
  <c r="M393" i="4"/>
  <c r="L393" i="4"/>
  <c r="J393" i="4"/>
  <c r="AB392" i="4"/>
  <c r="AA392" i="4"/>
  <c r="Z392" i="4"/>
  <c r="Y392" i="4"/>
  <c r="X392" i="4"/>
  <c r="W392" i="4"/>
  <c r="T392" i="4"/>
  <c r="R392" i="4"/>
  <c r="Q392" i="4"/>
  <c r="S392" i="4" s="1"/>
  <c r="N392" i="4"/>
  <c r="M392" i="4"/>
  <c r="L392" i="4"/>
  <c r="J392" i="4"/>
  <c r="AB391" i="4"/>
  <c r="AA391" i="4"/>
  <c r="Z391" i="4"/>
  <c r="Y391" i="4"/>
  <c r="X391" i="4"/>
  <c r="W391" i="4"/>
  <c r="V391" i="4"/>
  <c r="T391" i="4"/>
  <c r="U391" i="4" s="1"/>
  <c r="R391" i="4"/>
  <c r="Q391" i="4"/>
  <c r="S391" i="4" s="1"/>
  <c r="P391" i="4"/>
  <c r="N391" i="4"/>
  <c r="O391" i="4" s="1"/>
  <c r="M391" i="4"/>
  <c r="L391" i="4"/>
  <c r="J391" i="4"/>
  <c r="AB390" i="4"/>
  <c r="AA390" i="4"/>
  <c r="Z390" i="4"/>
  <c r="Y390" i="4"/>
  <c r="X390" i="4"/>
  <c r="W390" i="4"/>
  <c r="T390" i="4"/>
  <c r="R390" i="4"/>
  <c r="Q390" i="4"/>
  <c r="S390" i="4" s="1"/>
  <c r="N390" i="4"/>
  <c r="AB389" i="4"/>
  <c r="AA389" i="4"/>
  <c r="Z389" i="4"/>
  <c r="Y389" i="4"/>
  <c r="X389" i="4"/>
  <c r="W389" i="4"/>
  <c r="T389" i="4"/>
  <c r="Q389" i="4"/>
  <c r="O389" i="4"/>
  <c r="N389" i="4"/>
  <c r="P389" i="4" s="1"/>
  <c r="M389" i="4"/>
  <c r="L389" i="4"/>
  <c r="J389" i="4"/>
  <c r="AB388" i="4"/>
  <c r="AA388" i="4"/>
  <c r="Z388" i="4"/>
  <c r="Y388" i="4"/>
  <c r="X388" i="4"/>
  <c r="W388" i="4"/>
  <c r="T388" i="4"/>
  <c r="Q388" i="4"/>
  <c r="N388" i="4"/>
  <c r="M388" i="4"/>
  <c r="L388" i="4"/>
  <c r="J388" i="4"/>
  <c r="AB387" i="4"/>
  <c r="AA387" i="4"/>
  <c r="Z387" i="4"/>
  <c r="Y387" i="4"/>
  <c r="X387" i="4"/>
  <c r="W387" i="4"/>
  <c r="U387" i="4"/>
  <c r="T387" i="4"/>
  <c r="V387" i="4" s="1"/>
  <c r="Q387" i="4"/>
  <c r="N387" i="4"/>
  <c r="M387" i="4"/>
  <c r="L387" i="4"/>
  <c r="J387" i="4"/>
  <c r="AB386" i="4"/>
  <c r="AA386" i="4"/>
  <c r="Z386" i="4"/>
  <c r="Y386" i="4"/>
  <c r="X386" i="4"/>
  <c r="W386" i="4"/>
  <c r="U386" i="4"/>
  <c r="T386" i="4"/>
  <c r="V386" i="4" s="1"/>
  <c r="S386" i="4"/>
  <c r="Q386" i="4"/>
  <c r="R386" i="4" s="1"/>
  <c r="O386" i="4"/>
  <c r="N386" i="4"/>
  <c r="P386" i="4" s="1"/>
  <c r="M386" i="4"/>
  <c r="L386" i="4"/>
  <c r="J386" i="4"/>
  <c r="AB385" i="4"/>
  <c r="AA385" i="4"/>
  <c r="Z385" i="4"/>
  <c r="Y385" i="4"/>
  <c r="X385" i="4"/>
  <c r="W385" i="4"/>
  <c r="T385" i="4"/>
  <c r="Q385" i="4"/>
  <c r="O385" i="4"/>
  <c r="N385" i="4"/>
  <c r="P385" i="4" s="1"/>
  <c r="M385" i="4"/>
  <c r="L385" i="4"/>
  <c r="J385" i="4"/>
  <c r="AB384" i="4"/>
  <c r="AA384" i="4"/>
  <c r="Z384" i="4"/>
  <c r="Y384" i="4"/>
  <c r="X384" i="4"/>
  <c r="W384" i="4"/>
  <c r="T384" i="4"/>
  <c r="Q384" i="4"/>
  <c r="N384" i="4"/>
  <c r="M384" i="4"/>
  <c r="L384" i="4"/>
  <c r="J384" i="4"/>
  <c r="AB383" i="4"/>
  <c r="AA383" i="4"/>
  <c r="Z383" i="4"/>
  <c r="Y383" i="4"/>
  <c r="X383" i="4"/>
  <c r="W383" i="4"/>
  <c r="U383" i="4"/>
  <c r="T383" i="4"/>
  <c r="V383" i="4" s="1"/>
  <c r="Q383" i="4"/>
  <c r="N383" i="4"/>
  <c r="AB382" i="4"/>
  <c r="AA382" i="4"/>
  <c r="Z382" i="4"/>
  <c r="Y382" i="4"/>
  <c r="X382" i="4"/>
  <c r="W382" i="4"/>
  <c r="T382" i="4"/>
  <c r="R382" i="4"/>
  <c r="Q382" i="4"/>
  <c r="S382" i="4" s="1"/>
  <c r="N382" i="4"/>
  <c r="M382" i="4"/>
  <c r="L382" i="4"/>
  <c r="J382" i="4"/>
  <c r="AB381" i="4"/>
  <c r="AA381" i="4"/>
  <c r="Z381" i="4"/>
  <c r="Y381" i="4"/>
  <c r="X381" i="4"/>
  <c r="W381" i="4"/>
  <c r="V381" i="4"/>
  <c r="T381" i="4"/>
  <c r="U381" i="4" s="1"/>
  <c r="R381" i="4"/>
  <c r="Q381" i="4"/>
  <c r="S381" i="4" s="1"/>
  <c r="P381" i="4"/>
  <c r="N381" i="4"/>
  <c r="O381" i="4" s="1"/>
  <c r="M381" i="4"/>
  <c r="L381" i="4"/>
  <c r="J381" i="4"/>
  <c r="AB380" i="4"/>
  <c r="AA380" i="4"/>
  <c r="Z380" i="4"/>
  <c r="Y380" i="4"/>
  <c r="X380" i="4"/>
  <c r="W380" i="4"/>
  <c r="T380" i="4"/>
  <c r="R380" i="4"/>
  <c r="Q380" i="4"/>
  <c r="S380" i="4" s="1"/>
  <c r="N380" i="4"/>
  <c r="M380" i="4"/>
  <c r="L380" i="4"/>
  <c r="J380" i="4"/>
  <c r="AB379" i="4"/>
  <c r="AA379" i="4"/>
  <c r="Z379" i="4"/>
  <c r="Y379" i="4"/>
  <c r="X379" i="4"/>
  <c r="W379" i="4"/>
  <c r="V379" i="4"/>
  <c r="T379" i="4"/>
  <c r="U379" i="4" s="1"/>
  <c r="R379" i="4"/>
  <c r="Q379" i="4"/>
  <c r="S379" i="4" s="1"/>
  <c r="P379" i="4"/>
  <c r="N379" i="4"/>
  <c r="O379" i="4" s="1"/>
  <c r="M379" i="4"/>
  <c r="L379" i="4"/>
  <c r="J379" i="4"/>
  <c r="AB378" i="4"/>
  <c r="AA378" i="4"/>
  <c r="Z378" i="4"/>
  <c r="Y378" i="4"/>
  <c r="X378" i="4"/>
  <c r="W378" i="4"/>
  <c r="T378" i="4"/>
  <c r="R378" i="4"/>
  <c r="Q378" i="4"/>
  <c r="S378" i="4" s="1"/>
  <c r="N378" i="4"/>
  <c r="M378" i="4"/>
  <c r="L378" i="4"/>
  <c r="J378" i="4"/>
  <c r="AB377" i="4"/>
  <c r="AA377" i="4"/>
  <c r="Z377" i="4"/>
  <c r="Y377" i="4"/>
  <c r="X377" i="4"/>
  <c r="W377" i="4"/>
  <c r="V377" i="4"/>
  <c r="T377" i="4"/>
  <c r="U377" i="4" s="1"/>
  <c r="R377" i="4"/>
  <c r="Q377" i="4"/>
  <c r="S377" i="4" s="1"/>
  <c r="P377" i="4"/>
  <c r="N377" i="4"/>
  <c r="O377" i="4" s="1"/>
  <c r="M377" i="4"/>
  <c r="L377" i="4"/>
  <c r="J377" i="4"/>
  <c r="AB376" i="4"/>
  <c r="AA376" i="4"/>
  <c r="Z376" i="4"/>
  <c r="Y376" i="4"/>
  <c r="X376" i="4"/>
  <c r="W376" i="4"/>
  <c r="T376" i="4"/>
  <c r="R376" i="4"/>
  <c r="Q376" i="4"/>
  <c r="S376" i="4" s="1"/>
  <c r="N376" i="4"/>
  <c r="AB375" i="4"/>
  <c r="AA375" i="4"/>
  <c r="Z375" i="4"/>
  <c r="Y375" i="4"/>
  <c r="X375" i="4"/>
  <c r="W375" i="4"/>
  <c r="T375" i="4"/>
  <c r="Q375" i="4"/>
  <c r="O375" i="4"/>
  <c r="N375" i="4"/>
  <c r="P375" i="4" s="1"/>
  <c r="M375" i="4"/>
  <c r="L375" i="4"/>
  <c r="J375" i="4"/>
  <c r="AB374" i="4"/>
  <c r="AA374" i="4"/>
  <c r="Z374" i="4"/>
  <c r="Y374" i="4"/>
  <c r="X374" i="4"/>
  <c r="W374" i="4"/>
  <c r="T374" i="4"/>
  <c r="Q374" i="4"/>
  <c r="N374" i="4"/>
  <c r="M374" i="4"/>
  <c r="L374" i="4"/>
  <c r="J374" i="4"/>
  <c r="AB373" i="4"/>
  <c r="AA373" i="4"/>
  <c r="Z373" i="4"/>
  <c r="Y373" i="4"/>
  <c r="X373" i="4"/>
  <c r="W373" i="4"/>
  <c r="U373" i="4"/>
  <c r="T373" i="4"/>
  <c r="V373" i="4" s="1"/>
  <c r="Q373" i="4"/>
  <c r="N373" i="4"/>
  <c r="M373" i="4"/>
  <c r="L373" i="4"/>
  <c r="J373" i="4"/>
  <c r="AB372" i="4"/>
  <c r="AA372" i="4"/>
  <c r="Z372" i="4"/>
  <c r="Y372" i="4"/>
  <c r="X372" i="4"/>
  <c r="W372" i="4"/>
  <c r="U372" i="4"/>
  <c r="T372" i="4"/>
  <c r="V372" i="4" s="1"/>
  <c r="S372" i="4"/>
  <c r="Q372" i="4"/>
  <c r="R372" i="4" s="1"/>
  <c r="O372" i="4"/>
  <c r="N372" i="4"/>
  <c r="P372" i="4" s="1"/>
  <c r="M372" i="4"/>
  <c r="L372" i="4"/>
  <c r="J372" i="4"/>
  <c r="AB371" i="4"/>
  <c r="AA371" i="4"/>
  <c r="Z371" i="4"/>
  <c r="Y371" i="4"/>
  <c r="X371" i="4"/>
  <c r="W371" i="4"/>
  <c r="T371" i="4"/>
  <c r="Q371" i="4"/>
  <c r="O371" i="4"/>
  <c r="N371" i="4"/>
  <c r="P371" i="4" s="1"/>
  <c r="M371" i="4"/>
  <c r="L371" i="4"/>
  <c r="J371" i="4"/>
  <c r="AB370" i="4"/>
  <c r="AA370" i="4"/>
  <c r="Z370" i="4"/>
  <c r="Y370" i="4"/>
  <c r="X370" i="4"/>
  <c r="W370" i="4"/>
  <c r="T370" i="4"/>
  <c r="Q370" i="4"/>
  <c r="N370" i="4"/>
  <c r="M370" i="4"/>
  <c r="L370" i="4"/>
  <c r="J370" i="4"/>
  <c r="AB369" i="4"/>
  <c r="AA369" i="4"/>
  <c r="Z369" i="4"/>
  <c r="Y369" i="4"/>
  <c r="X369" i="4"/>
  <c r="W369" i="4"/>
  <c r="U369" i="4"/>
  <c r="T369" i="4"/>
  <c r="V369" i="4" s="1"/>
  <c r="Q369" i="4"/>
  <c r="N369" i="4"/>
  <c r="AB368" i="4"/>
  <c r="AA368" i="4"/>
  <c r="Z368" i="4"/>
  <c r="Y368" i="4"/>
  <c r="X368" i="4"/>
  <c r="W368" i="4"/>
  <c r="T368" i="4"/>
  <c r="R368" i="4"/>
  <c r="Q368" i="4"/>
  <c r="S368" i="4" s="1"/>
  <c r="N368" i="4"/>
  <c r="M368" i="4"/>
  <c r="L368" i="4"/>
  <c r="J368" i="4"/>
  <c r="AB367" i="4"/>
  <c r="AA367" i="4"/>
  <c r="Z367" i="4"/>
  <c r="Y367" i="4"/>
  <c r="X367" i="4"/>
  <c r="W367" i="4"/>
  <c r="V367" i="4"/>
  <c r="T367" i="4"/>
  <c r="U367" i="4" s="1"/>
  <c r="R367" i="4"/>
  <c r="Q367" i="4"/>
  <c r="S367" i="4" s="1"/>
  <c r="P367" i="4"/>
  <c r="N367" i="4"/>
  <c r="O367" i="4" s="1"/>
  <c r="M367" i="4"/>
  <c r="L367" i="4"/>
  <c r="J367" i="4"/>
  <c r="AB366" i="4"/>
  <c r="AA366" i="4"/>
  <c r="Z366" i="4"/>
  <c r="Y366" i="4"/>
  <c r="X366" i="4"/>
  <c r="W366" i="4"/>
  <c r="T366" i="4"/>
  <c r="R366" i="4"/>
  <c r="Q366" i="4"/>
  <c r="S366" i="4" s="1"/>
  <c r="N366" i="4"/>
  <c r="M366" i="4"/>
  <c r="L366" i="4"/>
  <c r="J366" i="4"/>
  <c r="AB365" i="4"/>
  <c r="AA365" i="4"/>
  <c r="Z365" i="4"/>
  <c r="Y365" i="4"/>
  <c r="X365" i="4"/>
  <c r="W365" i="4"/>
  <c r="V365" i="4"/>
  <c r="T365" i="4"/>
  <c r="U365" i="4" s="1"/>
  <c r="R365" i="4"/>
  <c r="Q365" i="4"/>
  <c r="S365" i="4" s="1"/>
  <c r="P365" i="4"/>
  <c r="N365" i="4"/>
  <c r="O365" i="4" s="1"/>
  <c r="M365" i="4"/>
  <c r="L365" i="4"/>
  <c r="J365" i="4"/>
  <c r="AB364" i="4"/>
  <c r="AA364" i="4"/>
  <c r="Z364" i="4"/>
  <c r="Y364" i="4"/>
  <c r="X364" i="4"/>
  <c r="W364" i="4"/>
  <c r="T364" i="4"/>
  <c r="R364" i="4"/>
  <c r="Q364" i="4"/>
  <c r="S364" i="4" s="1"/>
  <c r="N364" i="4"/>
  <c r="M364" i="4"/>
  <c r="L364" i="4"/>
  <c r="J364" i="4"/>
  <c r="AB363" i="4"/>
  <c r="AA363" i="4"/>
  <c r="Z363" i="4"/>
  <c r="Y363" i="4"/>
  <c r="X363" i="4"/>
  <c r="W363" i="4"/>
  <c r="V363" i="4"/>
  <c r="T363" i="4"/>
  <c r="U363" i="4" s="1"/>
  <c r="R363" i="4"/>
  <c r="Q363" i="4"/>
  <c r="S363" i="4" s="1"/>
  <c r="P363" i="4"/>
  <c r="N363" i="4"/>
  <c r="O363" i="4" s="1"/>
  <c r="M363" i="4"/>
  <c r="L363" i="4"/>
  <c r="J363" i="4"/>
  <c r="AB362" i="4"/>
  <c r="AA362" i="4"/>
  <c r="Z362" i="4"/>
  <c r="Y362" i="4"/>
  <c r="X362" i="4"/>
  <c r="W362" i="4"/>
  <c r="T362" i="4"/>
  <c r="R362" i="4"/>
  <c r="Q362" i="4"/>
  <c r="S362" i="4" s="1"/>
  <c r="N362" i="4"/>
  <c r="AB361" i="4"/>
  <c r="AA361" i="4"/>
  <c r="Z361" i="4"/>
  <c r="Y361" i="4"/>
  <c r="X361" i="4"/>
  <c r="W361" i="4"/>
  <c r="T361" i="4"/>
  <c r="Q361" i="4"/>
  <c r="O361" i="4"/>
  <c r="N361" i="4"/>
  <c r="P361" i="4" s="1"/>
  <c r="M361" i="4"/>
  <c r="L361" i="4"/>
  <c r="J361" i="4"/>
  <c r="AB360" i="4"/>
  <c r="AA360" i="4"/>
  <c r="Z360" i="4"/>
  <c r="Y360" i="4"/>
  <c r="X360" i="4"/>
  <c r="W360" i="4"/>
  <c r="T360" i="4"/>
  <c r="Q360" i="4"/>
  <c r="N360" i="4"/>
  <c r="M360" i="4"/>
  <c r="L360" i="4"/>
  <c r="J360" i="4"/>
  <c r="AB359" i="4"/>
  <c r="AA359" i="4"/>
  <c r="Z359" i="4"/>
  <c r="Y359" i="4"/>
  <c r="X359" i="4"/>
  <c r="W359" i="4"/>
  <c r="U359" i="4"/>
  <c r="T359" i="4"/>
  <c r="V359" i="4" s="1"/>
  <c r="Q359" i="4"/>
  <c r="N359" i="4"/>
  <c r="M359" i="4"/>
  <c r="L359" i="4"/>
  <c r="J359" i="4"/>
  <c r="AB358" i="4"/>
  <c r="AA358" i="4"/>
  <c r="Z358" i="4"/>
  <c r="Y358" i="4"/>
  <c r="X358" i="4"/>
  <c r="W358" i="4"/>
  <c r="U358" i="4"/>
  <c r="T358" i="4"/>
  <c r="V358" i="4" s="1"/>
  <c r="S358" i="4"/>
  <c r="Q358" i="4"/>
  <c r="R358" i="4" s="1"/>
  <c r="O358" i="4"/>
  <c r="N358" i="4"/>
  <c r="P358" i="4" s="1"/>
  <c r="M358" i="4"/>
  <c r="L358" i="4"/>
  <c r="J358" i="4"/>
  <c r="AB357" i="4"/>
  <c r="AA357" i="4"/>
  <c r="Z357" i="4"/>
  <c r="Y357" i="4"/>
  <c r="X357" i="4"/>
  <c r="W357" i="4"/>
  <c r="T357" i="4"/>
  <c r="Q357" i="4"/>
  <c r="O357" i="4"/>
  <c r="N357" i="4"/>
  <c r="P357" i="4" s="1"/>
  <c r="M357" i="4"/>
  <c r="L357" i="4"/>
  <c r="J357" i="4"/>
  <c r="AB356" i="4"/>
  <c r="AA356" i="4"/>
  <c r="Z356" i="4"/>
  <c r="Y356" i="4"/>
  <c r="X356" i="4"/>
  <c r="W356" i="4"/>
  <c r="T356" i="4"/>
  <c r="Q356" i="4"/>
  <c r="N356" i="4"/>
  <c r="M356" i="4"/>
  <c r="L356" i="4"/>
  <c r="J356" i="4"/>
  <c r="AB355" i="4"/>
  <c r="AA355" i="4"/>
  <c r="Z355" i="4"/>
  <c r="Y355" i="4"/>
  <c r="X355" i="4"/>
  <c r="W355" i="4"/>
  <c r="U355" i="4"/>
  <c r="T355" i="4"/>
  <c r="V355" i="4" s="1"/>
  <c r="Q355" i="4"/>
  <c r="N355" i="4"/>
  <c r="AB354" i="4"/>
  <c r="AA354" i="4"/>
  <c r="Z354" i="4"/>
  <c r="Y354" i="4"/>
  <c r="X354" i="4"/>
  <c r="W354" i="4"/>
  <c r="T354" i="4"/>
  <c r="R354" i="4"/>
  <c r="Q354" i="4"/>
  <c r="S354" i="4" s="1"/>
  <c r="N354" i="4"/>
  <c r="M354" i="4"/>
  <c r="L354" i="4"/>
  <c r="J354" i="4"/>
  <c r="AB353" i="4"/>
  <c r="AA353" i="4"/>
  <c r="Z353" i="4"/>
  <c r="Y353" i="4"/>
  <c r="X353" i="4"/>
  <c r="W353" i="4"/>
  <c r="V353" i="4"/>
  <c r="T353" i="4"/>
  <c r="U353" i="4" s="1"/>
  <c r="R353" i="4"/>
  <c r="Q353" i="4"/>
  <c r="S353" i="4" s="1"/>
  <c r="P353" i="4"/>
  <c r="N353" i="4"/>
  <c r="O353" i="4" s="1"/>
  <c r="M353" i="4"/>
  <c r="L353" i="4"/>
  <c r="J353" i="4"/>
  <c r="AB352" i="4"/>
  <c r="AA352" i="4"/>
  <c r="Z352" i="4"/>
  <c r="Y352" i="4"/>
  <c r="X352" i="4"/>
  <c r="W352" i="4"/>
  <c r="T352" i="4"/>
  <c r="R352" i="4"/>
  <c r="Q352" i="4"/>
  <c r="S352" i="4" s="1"/>
  <c r="N352" i="4"/>
  <c r="M352" i="4"/>
  <c r="L352" i="4"/>
  <c r="J352" i="4"/>
  <c r="AB351" i="4"/>
  <c r="AA351" i="4"/>
  <c r="Z351" i="4"/>
  <c r="Y351" i="4"/>
  <c r="X351" i="4"/>
  <c r="W351" i="4"/>
  <c r="V351" i="4"/>
  <c r="T351" i="4"/>
  <c r="U351" i="4" s="1"/>
  <c r="R351" i="4"/>
  <c r="Q351" i="4"/>
  <c r="S351" i="4" s="1"/>
  <c r="P351" i="4"/>
  <c r="N351" i="4"/>
  <c r="O351" i="4" s="1"/>
  <c r="M351" i="4"/>
  <c r="L351" i="4"/>
  <c r="J351" i="4"/>
  <c r="AB350" i="4"/>
  <c r="AA350" i="4"/>
  <c r="Z350" i="4"/>
  <c r="Y350" i="4"/>
  <c r="X350" i="4"/>
  <c r="W350" i="4"/>
  <c r="T350" i="4"/>
  <c r="R350" i="4"/>
  <c r="Q350" i="4"/>
  <c r="S350" i="4" s="1"/>
  <c r="N350" i="4"/>
  <c r="M350" i="4"/>
  <c r="L350" i="4"/>
  <c r="J350" i="4"/>
  <c r="AB349" i="4"/>
  <c r="AA349" i="4"/>
  <c r="Z349" i="4"/>
  <c r="Y349" i="4"/>
  <c r="X349" i="4"/>
  <c r="W349" i="4"/>
  <c r="V349" i="4"/>
  <c r="T349" i="4"/>
  <c r="U349" i="4" s="1"/>
  <c r="R349" i="4"/>
  <c r="Q349" i="4"/>
  <c r="S349" i="4" s="1"/>
  <c r="P349" i="4"/>
  <c r="N349" i="4"/>
  <c r="O349" i="4" s="1"/>
  <c r="M349" i="4"/>
  <c r="L349" i="4"/>
  <c r="J349" i="4"/>
  <c r="AB348" i="4"/>
  <c r="AA348" i="4"/>
  <c r="Z348" i="4"/>
  <c r="Y348" i="4"/>
  <c r="X348" i="4"/>
  <c r="W348" i="4"/>
  <c r="T348" i="4"/>
  <c r="U348" i="4" s="1"/>
  <c r="R348" i="4"/>
  <c r="Q348" i="4"/>
  <c r="S348" i="4" s="1"/>
  <c r="N348" i="4"/>
  <c r="O348" i="4" s="1"/>
  <c r="AB347" i="4"/>
  <c r="AA347" i="4"/>
  <c r="Z347" i="4"/>
  <c r="Y347" i="4"/>
  <c r="X347" i="4"/>
  <c r="W347" i="4"/>
  <c r="T347" i="4"/>
  <c r="Q347" i="4"/>
  <c r="R347" i="4" s="1"/>
  <c r="O347" i="4"/>
  <c r="N347" i="4"/>
  <c r="P347" i="4" s="1"/>
  <c r="M347" i="4"/>
  <c r="L347" i="4"/>
  <c r="J347" i="4"/>
  <c r="AB346" i="4"/>
  <c r="AA346" i="4"/>
  <c r="Z346" i="4"/>
  <c r="Y346" i="4"/>
  <c r="X346" i="4"/>
  <c r="W346" i="4"/>
  <c r="T346" i="4"/>
  <c r="Q346" i="4"/>
  <c r="N346" i="4"/>
  <c r="M346" i="4"/>
  <c r="L346" i="4"/>
  <c r="J346" i="4"/>
  <c r="AB345" i="4"/>
  <c r="AA345" i="4"/>
  <c r="Z345" i="4"/>
  <c r="Y345" i="4"/>
  <c r="X345" i="4"/>
  <c r="W345" i="4"/>
  <c r="U345" i="4"/>
  <c r="T345" i="4"/>
  <c r="V345" i="4" s="1"/>
  <c r="Q345" i="4"/>
  <c r="R345" i="4" s="1"/>
  <c r="N345" i="4"/>
  <c r="M345" i="4"/>
  <c r="L345" i="4"/>
  <c r="J345" i="4"/>
  <c r="AB344" i="4"/>
  <c r="AA344" i="4"/>
  <c r="Z344" i="4"/>
  <c r="Y344" i="4"/>
  <c r="X344" i="4"/>
  <c r="W344" i="4"/>
  <c r="U344" i="4"/>
  <c r="T344" i="4"/>
  <c r="V344" i="4" s="1"/>
  <c r="S344" i="4"/>
  <c r="Q344" i="4"/>
  <c r="R344" i="4" s="1"/>
  <c r="O344" i="4"/>
  <c r="N344" i="4"/>
  <c r="P344" i="4" s="1"/>
  <c r="M344" i="4"/>
  <c r="L344" i="4"/>
  <c r="J344" i="4"/>
  <c r="AB343" i="4"/>
  <c r="AA343" i="4"/>
  <c r="Z343" i="4"/>
  <c r="Y343" i="4"/>
  <c r="X343" i="4"/>
  <c r="W343" i="4"/>
  <c r="T343" i="4"/>
  <c r="Q343" i="4"/>
  <c r="R343" i="4" s="1"/>
  <c r="O343" i="4"/>
  <c r="N343" i="4"/>
  <c r="P343" i="4" s="1"/>
  <c r="M343" i="4"/>
  <c r="L343" i="4"/>
  <c r="J343" i="4"/>
  <c r="AB342" i="4"/>
  <c r="AA342" i="4"/>
  <c r="Z342" i="4"/>
  <c r="Y342" i="4"/>
  <c r="X342" i="4"/>
  <c r="W342" i="4"/>
  <c r="T342" i="4"/>
  <c r="Q342" i="4"/>
  <c r="N342" i="4"/>
  <c r="M342" i="4"/>
  <c r="L342" i="4"/>
  <c r="J342" i="4"/>
  <c r="AB341" i="4"/>
  <c r="AA341" i="4"/>
  <c r="Z341" i="4"/>
  <c r="Y341" i="4"/>
  <c r="X341" i="4"/>
  <c r="W341" i="4"/>
  <c r="U341" i="4"/>
  <c r="T341" i="4"/>
  <c r="V341" i="4" s="1"/>
  <c r="Q341" i="4"/>
  <c r="R341" i="4" s="1"/>
  <c r="N341" i="4"/>
  <c r="AB340" i="4"/>
  <c r="AA340" i="4"/>
  <c r="Z340" i="4"/>
  <c r="Y340" i="4"/>
  <c r="X340" i="4"/>
  <c r="W340" i="4"/>
  <c r="T340" i="4"/>
  <c r="U340" i="4" s="1"/>
  <c r="R340" i="4"/>
  <c r="Q340" i="4"/>
  <c r="S340" i="4" s="1"/>
  <c r="N340" i="4"/>
  <c r="O340" i="4" s="1"/>
  <c r="M340" i="4"/>
  <c r="L340" i="4"/>
  <c r="J340" i="4"/>
  <c r="AB339" i="4"/>
  <c r="AA339" i="4"/>
  <c r="Z339" i="4"/>
  <c r="Y339" i="4"/>
  <c r="X339" i="4"/>
  <c r="W339" i="4"/>
  <c r="V339" i="4"/>
  <c r="T339" i="4"/>
  <c r="U339" i="4" s="1"/>
  <c r="R339" i="4"/>
  <c r="Q339" i="4"/>
  <c r="S339" i="4" s="1"/>
  <c r="P339" i="4"/>
  <c r="N339" i="4"/>
  <c r="O339" i="4" s="1"/>
  <c r="M339" i="4"/>
  <c r="L339" i="4"/>
  <c r="J339" i="4"/>
  <c r="AB338" i="4"/>
  <c r="AA338" i="4"/>
  <c r="Z338" i="4"/>
  <c r="Y338" i="4"/>
  <c r="X338" i="4"/>
  <c r="W338" i="4"/>
  <c r="T338" i="4"/>
  <c r="U338" i="4" s="1"/>
  <c r="R338" i="4"/>
  <c r="Q338" i="4"/>
  <c r="S338" i="4" s="1"/>
  <c r="N338" i="4"/>
  <c r="O338" i="4" s="1"/>
  <c r="M338" i="4"/>
  <c r="L338" i="4"/>
  <c r="J338" i="4"/>
  <c r="AB337" i="4"/>
  <c r="AA337" i="4"/>
  <c r="Z337" i="4"/>
  <c r="Y337" i="4"/>
  <c r="X337" i="4"/>
  <c r="W337" i="4"/>
  <c r="V337" i="4"/>
  <c r="T337" i="4"/>
  <c r="U337" i="4" s="1"/>
  <c r="R337" i="4"/>
  <c r="Q337" i="4"/>
  <c r="S337" i="4" s="1"/>
  <c r="P337" i="4"/>
  <c r="N337" i="4"/>
  <c r="O337" i="4" s="1"/>
  <c r="M337" i="4"/>
  <c r="L337" i="4"/>
  <c r="J337" i="4"/>
  <c r="AB336" i="4"/>
  <c r="AA336" i="4"/>
  <c r="Z336" i="4"/>
  <c r="Y336" i="4"/>
  <c r="X336" i="4"/>
  <c r="W336" i="4"/>
  <c r="T336" i="4"/>
  <c r="U336" i="4" s="1"/>
  <c r="R336" i="4"/>
  <c r="Q336" i="4"/>
  <c r="S336" i="4" s="1"/>
  <c r="N336" i="4"/>
  <c r="O336" i="4" s="1"/>
  <c r="M336" i="4"/>
  <c r="L336" i="4"/>
  <c r="J336" i="4"/>
  <c r="AB335" i="4"/>
  <c r="AA335" i="4"/>
  <c r="Z335" i="4"/>
  <c r="Y335" i="4"/>
  <c r="X335" i="4"/>
  <c r="W335" i="4"/>
  <c r="V335" i="4"/>
  <c r="T335" i="4"/>
  <c r="U335" i="4" s="1"/>
  <c r="R335" i="4"/>
  <c r="Q335" i="4"/>
  <c r="S335" i="4" s="1"/>
  <c r="P335" i="4"/>
  <c r="N335" i="4"/>
  <c r="O335" i="4" s="1"/>
  <c r="M335" i="4"/>
  <c r="L335" i="4"/>
  <c r="J335" i="4"/>
  <c r="AB334" i="4"/>
  <c r="AA334" i="4"/>
  <c r="Z334" i="4"/>
  <c r="Y334" i="4"/>
  <c r="X334" i="4"/>
  <c r="W334" i="4"/>
  <c r="T334" i="4"/>
  <c r="U334" i="4" s="1"/>
  <c r="R334" i="4"/>
  <c r="Q334" i="4"/>
  <c r="S334" i="4" s="1"/>
  <c r="N334" i="4"/>
  <c r="O334" i="4" s="1"/>
  <c r="AB333" i="4"/>
  <c r="AA333" i="4"/>
  <c r="Z333" i="4"/>
  <c r="Y333" i="4"/>
  <c r="X333" i="4"/>
  <c r="W333" i="4"/>
  <c r="T333" i="4"/>
  <c r="Q333" i="4"/>
  <c r="R333" i="4" s="1"/>
  <c r="O333" i="4"/>
  <c r="N333" i="4"/>
  <c r="P333" i="4" s="1"/>
  <c r="M333" i="4"/>
  <c r="L333" i="4"/>
  <c r="J333" i="4"/>
  <c r="AB332" i="4"/>
  <c r="AA332" i="4"/>
  <c r="Z332" i="4"/>
  <c r="Y332" i="4"/>
  <c r="X332" i="4"/>
  <c r="W332" i="4"/>
  <c r="T332" i="4"/>
  <c r="Q332" i="4"/>
  <c r="N332" i="4"/>
  <c r="M332" i="4"/>
  <c r="L332" i="4"/>
  <c r="J332" i="4"/>
  <c r="AB331" i="4"/>
  <c r="AA331" i="4"/>
  <c r="Z331" i="4"/>
  <c r="Y331" i="4"/>
  <c r="X331" i="4"/>
  <c r="W331" i="4"/>
  <c r="U331" i="4"/>
  <c r="T331" i="4"/>
  <c r="V331" i="4" s="1"/>
  <c r="Q331" i="4"/>
  <c r="R331" i="4" s="1"/>
  <c r="N331" i="4"/>
  <c r="M331" i="4"/>
  <c r="L331" i="4"/>
  <c r="J331" i="4"/>
  <c r="AB330" i="4"/>
  <c r="AA330" i="4"/>
  <c r="Z330" i="4"/>
  <c r="Y330" i="4"/>
  <c r="X330" i="4"/>
  <c r="W330" i="4"/>
  <c r="U330" i="4"/>
  <c r="T330" i="4"/>
  <c r="V330" i="4" s="1"/>
  <c r="S330" i="4"/>
  <c r="Q330" i="4"/>
  <c r="R330" i="4" s="1"/>
  <c r="O330" i="4"/>
  <c r="N330" i="4"/>
  <c r="P330" i="4" s="1"/>
  <c r="M330" i="4"/>
  <c r="L330" i="4"/>
  <c r="J330" i="4"/>
  <c r="AB329" i="4"/>
  <c r="AA329" i="4"/>
  <c r="Z329" i="4"/>
  <c r="Y329" i="4"/>
  <c r="X329" i="4"/>
  <c r="W329" i="4"/>
  <c r="T329" i="4"/>
  <c r="Q329" i="4"/>
  <c r="R329" i="4" s="1"/>
  <c r="O329" i="4"/>
  <c r="N329" i="4"/>
  <c r="P329" i="4" s="1"/>
  <c r="M329" i="4"/>
  <c r="L329" i="4"/>
  <c r="J329" i="4"/>
  <c r="AB328" i="4"/>
  <c r="AA328" i="4"/>
  <c r="Z328" i="4"/>
  <c r="Y328" i="4"/>
  <c r="X328" i="4"/>
  <c r="W328" i="4"/>
  <c r="T328" i="4"/>
  <c r="Q328" i="4"/>
  <c r="N328" i="4"/>
  <c r="M328" i="4"/>
  <c r="L328" i="4"/>
  <c r="J328" i="4"/>
  <c r="AB327" i="4"/>
  <c r="AA327" i="4"/>
  <c r="Z327" i="4"/>
  <c r="Y327" i="4"/>
  <c r="X327" i="4"/>
  <c r="W327" i="4"/>
  <c r="U327" i="4"/>
  <c r="T327" i="4"/>
  <c r="V327" i="4" s="1"/>
  <c r="Q327" i="4"/>
  <c r="R327" i="4" s="1"/>
  <c r="N327" i="4"/>
  <c r="AB326" i="4"/>
  <c r="AA326" i="4"/>
  <c r="Z326" i="4"/>
  <c r="Y326" i="4"/>
  <c r="X326" i="4"/>
  <c r="W326" i="4"/>
  <c r="T326" i="4"/>
  <c r="U326" i="4" s="1"/>
  <c r="R326" i="4"/>
  <c r="Q326" i="4"/>
  <c r="S326" i="4" s="1"/>
  <c r="N326" i="4"/>
  <c r="O326" i="4" s="1"/>
  <c r="M326" i="4"/>
  <c r="L326" i="4"/>
  <c r="J326" i="4"/>
  <c r="AB325" i="4"/>
  <c r="AA325" i="4"/>
  <c r="Z325" i="4"/>
  <c r="Y325" i="4"/>
  <c r="X325" i="4"/>
  <c r="W325" i="4"/>
  <c r="V325" i="4"/>
  <c r="T325" i="4"/>
  <c r="U325" i="4" s="1"/>
  <c r="R325" i="4"/>
  <c r="Q325" i="4"/>
  <c r="S325" i="4" s="1"/>
  <c r="P325" i="4"/>
  <c r="N325" i="4"/>
  <c r="O325" i="4" s="1"/>
  <c r="M325" i="4"/>
  <c r="L325" i="4"/>
  <c r="J325" i="4"/>
  <c r="AB324" i="4"/>
  <c r="AA324" i="4"/>
  <c r="Z324" i="4"/>
  <c r="Y324" i="4"/>
  <c r="X324" i="4"/>
  <c r="W324" i="4"/>
  <c r="T324" i="4"/>
  <c r="U324" i="4" s="1"/>
  <c r="R324" i="4"/>
  <c r="Q324" i="4"/>
  <c r="S324" i="4" s="1"/>
  <c r="N324" i="4"/>
  <c r="O324" i="4" s="1"/>
  <c r="M324" i="4"/>
  <c r="L324" i="4"/>
  <c r="J324" i="4"/>
  <c r="AB323" i="4"/>
  <c r="AA323" i="4"/>
  <c r="Z323" i="4"/>
  <c r="Y323" i="4"/>
  <c r="X323" i="4"/>
  <c r="W323" i="4"/>
  <c r="V323" i="4"/>
  <c r="T323" i="4"/>
  <c r="U323" i="4" s="1"/>
  <c r="R323" i="4"/>
  <c r="Q323" i="4"/>
  <c r="S323" i="4" s="1"/>
  <c r="P323" i="4"/>
  <c r="N323" i="4"/>
  <c r="O323" i="4" s="1"/>
  <c r="M323" i="4"/>
  <c r="L323" i="4"/>
  <c r="J323" i="4"/>
  <c r="AB322" i="4"/>
  <c r="AA322" i="4"/>
  <c r="Z322" i="4"/>
  <c r="Y322" i="4"/>
  <c r="X322" i="4"/>
  <c r="W322" i="4"/>
  <c r="T322" i="4"/>
  <c r="U322" i="4" s="1"/>
  <c r="R322" i="4"/>
  <c r="Q322" i="4"/>
  <c r="S322" i="4" s="1"/>
  <c r="N322" i="4"/>
  <c r="O322" i="4" s="1"/>
  <c r="M322" i="4"/>
  <c r="L322" i="4"/>
  <c r="J322" i="4"/>
  <c r="AB321" i="4"/>
  <c r="AA321" i="4"/>
  <c r="Z321" i="4"/>
  <c r="Y321" i="4"/>
  <c r="X321" i="4"/>
  <c r="W321" i="4"/>
  <c r="V321" i="4"/>
  <c r="T321" i="4"/>
  <c r="U321" i="4" s="1"/>
  <c r="R321" i="4"/>
  <c r="Q321" i="4"/>
  <c r="S321" i="4" s="1"/>
  <c r="P321" i="4"/>
  <c r="N321" i="4"/>
  <c r="O321" i="4" s="1"/>
  <c r="M321" i="4"/>
  <c r="L321" i="4"/>
  <c r="J321" i="4"/>
  <c r="AB320" i="4"/>
  <c r="AA320" i="4"/>
  <c r="Z320" i="4"/>
  <c r="Y320" i="4"/>
  <c r="X320" i="4"/>
  <c r="W320" i="4"/>
  <c r="T320" i="4"/>
  <c r="U320" i="4" s="1"/>
  <c r="R320" i="4"/>
  <c r="Q320" i="4"/>
  <c r="S320" i="4" s="1"/>
  <c r="N320" i="4"/>
  <c r="O320" i="4" s="1"/>
  <c r="AB319" i="4"/>
  <c r="AA319" i="4"/>
  <c r="Z319" i="4"/>
  <c r="Y319" i="4"/>
  <c r="X319" i="4"/>
  <c r="W319" i="4"/>
  <c r="T319" i="4"/>
  <c r="Q319" i="4"/>
  <c r="R319" i="4" s="1"/>
  <c r="O319" i="4"/>
  <c r="N319" i="4"/>
  <c r="P319" i="4" s="1"/>
  <c r="M319" i="4"/>
  <c r="L319" i="4"/>
  <c r="J319" i="4"/>
  <c r="AB318" i="4"/>
  <c r="AA318" i="4"/>
  <c r="Z318" i="4"/>
  <c r="Y318" i="4"/>
  <c r="X318" i="4"/>
  <c r="W318" i="4"/>
  <c r="T318" i="4"/>
  <c r="Q318" i="4"/>
  <c r="N318" i="4"/>
  <c r="M318" i="4"/>
  <c r="L318" i="4"/>
  <c r="J318" i="4"/>
  <c r="AB317" i="4"/>
  <c r="AA317" i="4"/>
  <c r="Z317" i="4"/>
  <c r="Y317" i="4"/>
  <c r="X317" i="4"/>
  <c r="W317" i="4"/>
  <c r="U317" i="4"/>
  <c r="T317" i="4"/>
  <c r="V317" i="4" s="1"/>
  <c r="Q317" i="4"/>
  <c r="R317" i="4" s="1"/>
  <c r="N317" i="4"/>
  <c r="M317" i="4"/>
  <c r="L317" i="4"/>
  <c r="J317" i="4"/>
  <c r="AB316" i="4"/>
  <c r="AA316" i="4"/>
  <c r="Z316" i="4"/>
  <c r="Y316" i="4"/>
  <c r="X316" i="4"/>
  <c r="W316" i="4"/>
  <c r="U316" i="4"/>
  <c r="T316" i="4"/>
  <c r="V316" i="4" s="1"/>
  <c r="S316" i="4"/>
  <c r="Q316" i="4"/>
  <c r="R316" i="4" s="1"/>
  <c r="O316" i="4"/>
  <c r="N316" i="4"/>
  <c r="P316" i="4" s="1"/>
  <c r="M316" i="4"/>
  <c r="L316" i="4"/>
  <c r="J316" i="4"/>
  <c r="AB315" i="4"/>
  <c r="AA315" i="4"/>
  <c r="Z315" i="4"/>
  <c r="Y315" i="4"/>
  <c r="X315" i="4"/>
  <c r="W315" i="4"/>
  <c r="T315" i="4"/>
  <c r="Q315" i="4"/>
  <c r="R315" i="4" s="1"/>
  <c r="O315" i="4"/>
  <c r="N315" i="4"/>
  <c r="P315" i="4" s="1"/>
  <c r="M315" i="4"/>
  <c r="L315" i="4"/>
  <c r="J315" i="4"/>
  <c r="AB314" i="4"/>
  <c r="AA314" i="4"/>
  <c r="Z314" i="4"/>
  <c r="Y314" i="4"/>
  <c r="X314" i="4"/>
  <c r="W314" i="4"/>
  <c r="T314" i="4"/>
  <c r="Q314" i="4"/>
  <c r="N314" i="4"/>
  <c r="M314" i="4"/>
  <c r="L314" i="4"/>
  <c r="J314" i="4"/>
  <c r="AB313" i="4"/>
  <c r="AA313" i="4"/>
  <c r="Z313" i="4"/>
  <c r="Y313" i="4"/>
  <c r="X313" i="4"/>
  <c r="W313" i="4"/>
  <c r="U313" i="4"/>
  <c r="T313" i="4"/>
  <c r="V313" i="4" s="1"/>
  <c r="Q313" i="4"/>
  <c r="R313" i="4" s="1"/>
  <c r="N313" i="4"/>
  <c r="AB312" i="4"/>
  <c r="AA312" i="4"/>
  <c r="Z312" i="4"/>
  <c r="Y312" i="4"/>
  <c r="X312" i="4"/>
  <c r="W312" i="4"/>
  <c r="T312" i="4"/>
  <c r="U312" i="4" s="1"/>
  <c r="R312" i="4"/>
  <c r="Q312" i="4"/>
  <c r="S312" i="4" s="1"/>
  <c r="N312" i="4"/>
  <c r="O312" i="4" s="1"/>
  <c r="M312" i="4"/>
  <c r="L312" i="4"/>
  <c r="J312" i="4"/>
  <c r="AB311" i="4"/>
  <c r="AA311" i="4"/>
  <c r="Z311" i="4"/>
  <c r="Y311" i="4"/>
  <c r="X311" i="4"/>
  <c r="W311" i="4"/>
  <c r="V311" i="4"/>
  <c r="T311" i="4"/>
  <c r="U311" i="4" s="1"/>
  <c r="R311" i="4"/>
  <c r="Q311" i="4"/>
  <c r="S311" i="4" s="1"/>
  <c r="P311" i="4"/>
  <c r="N311" i="4"/>
  <c r="O311" i="4" s="1"/>
  <c r="M311" i="4"/>
  <c r="L311" i="4"/>
  <c r="J311" i="4"/>
  <c r="AB310" i="4"/>
  <c r="AA310" i="4"/>
  <c r="Z310" i="4"/>
  <c r="Y310" i="4"/>
  <c r="X310" i="4"/>
  <c r="W310" i="4"/>
  <c r="T310" i="4"/>
  <c r="U310" i="4" s="1"/>
  <c r="R310" i="4"/>
  <c r="Q310" i="4"/>
  <c r="S310" i="4" s="1"/>
  <c r="N310" i="4"/>
  <c r="O310" i="4" s="1"/>
  <c r="M310" i="4"/>
  <c r="L310" i="4"/>
  <c r="J310" i="4"/>
  <c r="AB309" i="4"/>
  <c r="AA309" i="4"/>
  <c r="Z309" i="4"/>
  <c r="Y309" i="4"/>
  <c r="X309" i="4"/>
  <c r="W309" i="4"/>
  <c r="V309" i="4"/>
  <c r="T309" i="4"/>
  <c r="U309" i="4" s="1"/>
  <c r="R309" i="4"/>
  <c r="Q309" i="4"/>
  <c r="S309" i="4" s="1"/>
  <c r="P309" i="4"/>
  <c r="N309" i="4"/>
  <c r="O309" i="4" s="1"/>
  <c r="M309" i="4"/>
  <c r="L309" i="4"/>
  <c r="J309" i="4"/>
  <c r="AB308" i="4"/>
  <c r="AA308" i="4"/>
  <c r="Z308" i="4"/>
  <c r="Y308" i="4"/>
  <c r="X308" i="4"/>
  <c r="W308" i="4"/>
  <c r="T308" i="4"/>
  <c r="U308" i="4" s="1"/>
  <c r="R308" i="4"/>
  <c r="Q308" i="4"/>
  <c r="S308" i="4" s="1"/>
  <c r="N308" i="4"/>
  <c r="O308" i="4" s="1"/>
  <c r="M308" i="4"/>
  <c r="L308" i="4"/>
  <c r="J308" i="4"/>
  <c r="AB307" i="4"/>
  <c r="AA307" i="4"/>
  <c r="Z307" i="4"/>
  <c r="Y307" i="4"/>
  <c r="X307" i="4"/>
  <c r="W307" i="4"/>
  <c r="V307" i="4"/>
  <c r="T307" i="4"/>
  <c r="U307" i="4" s="1"/>
  <c r="R307" i="4"/>
  <c r="Q307" i="4"/>
  <c r="S307" i="4" s="1"/>
  <c r="P307" i="4"/>
  <c r="N307" i="4"/>
  <c r="O307" i="4" s="1"/>
  <c r="M307" i="4"/>
  <c r="L307" i="4"/>
  <c r="J307" i="4"/>
  <c r="AB306" i="4"/>
  <c r="AA306" i="4"/>
  <c r="Z306" i="4"/>
  <c r="Y306" i="4"/>
  <c r="X306" i="4"/>
  <c r="W306" i="4"/>
  <c r="T306" i="4"/>
  <c r="U306" i="4" s="1"/>
  <c r="R306" i="4"/>
  <c r="Q306" i="4"/>
  <c r="S306" i="4" s="1"/>
  <c r="N306" i="4"/>
  <c r="O306" i="4" s="1"/>
  <c r="AB305" i="4"/>
  <c r="AA305" i="4"/>
  <c r="Z305" i="4"/>
  <c r="Y305" i="4"/>
  <c r="X305" i="4"/>
  <c r="W305" i="4"/>
  <c r="T305" i="4"/>
  <c r="Q305" i="4"/>
  <c r="R305" i="4" s="1"/>
  <c r="O305" i="4"/>
  <c r="N305" i="4"/>
  <c r="P305" i="4" s="1"/>
  <c r="M305" i="4"/>
  <c r="L305" i="4"/>
  <c r="J305" i="4"/>
  <c r="AB304" i="4"/>
  <c r="AA304" i="4"/>
  <c r="Z304" i="4"/>
  <c r="Y304" i="4"/>
  <c r="X304" i="4"/>
  <c r="W304" i="4"/>
  <c r="T304" i="4"/>
  <c r="Q304" i="4"/>
  <c r="N304" i="4"/>
  <c r="M304" i="4"/>
  <c r="L304" i="4"/>
  <c r="J304" i="4"/>
  <c r="AB303" i="4"/>
  <c r="AA303" i="4"/>
  <c r="Z303" i="4"/>
  <c r="Y303" i="4"/>
  <c r="X303" i="4"/>
  <c r="W303" i="4"/>
  <c r="U303" i="4"/>
  <c r="T303" i="4"/>
  <c r="V303" i="4" s="1"/>
  <c r="Q303" i="4"/>
  <c r="R303" i="4" s="1"/>
  <c r="N303" i="4"/>
  <c r="M303" i="4"/>
  <c r="L303" i="4"/>
  <c r="J303" i="4"/>
  <c r="AB302" i="4"/>
  <c r="AA302" i="4"/>
  <c r="Z302" i="4"/>
  <c r="Y302" i="4"/>
  <c r="X302" i="4"/>
  <c r="W302" i="4"/>
  <c r="U302" i="4"/>
  <c r="T302" i="4"/>
  <c r="V302" i="4" s="1"/>
  <c r="S302" i="4"/>
  <c r="Q302" i="4"/>
  <c r="R302" i="4" s="1"/>
  <c r="O302" i="4"/>
  <c r="N302" i="4"/>
  <c r="P302" i="4" s="1"/>
  <c r="M302" i="4"/>
  <c r="L302" i="4"/>
  <c r="J302" i="4"/>
  <c r="AB301" i="4"/>
  <c r="AA301" i="4"/>
  <c r="Z301" i="4"/>
  <c r="Y301" i="4"/>
  <c r="X301" i="4"/>
  <c r="W301" i="4"/>
  <c r="T301" i="4"/>
  <c r="Q301" i="4"/>
  <c r="R301" i="4" s="1"/>
  <c r="O301" i="4"/>
  <c r="N301" i="4"/>
  <c r="P301" i="4" s="1"/>
  <c r="M301" i="4"/>
  <c r="L301" i="4"/>
  <c r="J301" i="4"/>
  <c r="AB300" i="4"/>
  <c r="AA300" i="4"/>
  <c r="Z300" i="4"/>
  <c r="Y300" i="4"/>
  <c r="X300" i="4"/>
  <c r="W300" i="4"/>
  <c r="T300" i="4"/>
  <c r="Q300" i="4"/>
  <c r="N300" i="4"/>
  <c r="M300" i="4"/>
  <c r="L300" i="4"/>
  <c r="J300" i="4"/>
  <c r="AB299" i="4"/>
  <c r="AA299" i="4"/>
  <c r="Z299" i="4"/>
  <c r="Y299" i="4"/>
  <c r="X299" i="4"/>
  <c r="W299" i="4"/>
  <c r="U299" i="4"/>
  <c r="T299" i="4"/>
  <c r="V299" i="4" s="1"/>
  <c r="Q299" i="4"/>
  <c r="R299" i="4" s="1"/>
  <c r="N299" i="4"/>
  <c r="AB298" i="4"/>
  <c r="AA298" i="4"/>
  <c r="Z298" i="4"/>
  <c r="Y298" i="4"/>
  <c r="X298" i="4"/>
  <c r="W298" i="4"/>
  <c r="T298" i="4"/>
  <c r="U298" i="4" s="1"/>
  <c r="R298" i="4"/>
  <c r="Q298" i="4"/>
  <c r="S298" i="4" s="1"/>
  <c r="N298" i="4"/>
  <c r="O298" i="4" s="1"/>
  <c r="M298" i="4"/>
  <c r="L298" i="4"/>
  <c r="J298" i="4"/>
  <c r="AB297" i="4"/>
  <c r="AA297" i="4"/>
  <c r="Z297" i="4"/>
  <c r="Y297" i="4"/>
  <c r="X297" i="4"/>
  <c r="W297" i="4"/>
  <c r="V297" i="4"/>
  <c r="T297" i="4"/>
  <c r="U297" i="4" s="1"/>
  <c r="R297" i="4"/>
  <c r="Q297" i="4"/>
  <c r="S297" i="4" s="1"/>
  <c r="P297" i="4"/>
  <c r="N297" i="4"/>
  <c r="O297" i="4" s="1"/>
  <c r="M297" i="4"/>
  <c r="L297" i="4"/>
  <c r="J297" i="4"/>
  <c r="AB296" i="4"/>
  <c r="AA296" i="4"/>
  <c r="Z296" i="4"/>
  <c r="Y296" i="4"/>
  <c r="X296" i="4"/>
  <c r="W296" i="4"/>
  <c r="T296" i="4"/>
  <c r="U296" i="4" s="1"/>
  <c r="R296" i="4"/>
  <c r="Q296" i="4"/>
  <c r="S296" i="4" s="1"/>
  <c r="N296" i="4"/>
  <c r="O296" i="4" s="1"/>
  <c r="M296" i="4"/>
  <c r="L296" i="4"/>
  <c r="J296" i="4"/>
  <c r="AB295" i="4"/>
  <c r="AA295" i="4"/>
  <c r="Z295" i="4"/>
  <c r="Y295" i="4"/>
  <c r="X295" i="4"/>
  <c r="W295" i="4"/>
  <c r="V295" i="4"/>
  <c r="T295" i="4"/>
  <c r="U295" i="4" s="1"/>
  <c r="R295" i="4"/>
  <c r="Q295" i="4"/>
  <c r="S295" i="4" s="1"/>
  <c r="P295" i="4"/>
  <c r="N295" i="4"/>
  <c r="O295" i="4" s="1"/>
  <c r="M295" i="4"/>
  <c r="L295" i="4"/>
  <c r="J295" i="4"/>
  <c r="AB294" i="4"/>
  <c r="AA294" i="4"/>
  <c r="Z294" i="4"/>
  <c r="Y294" i="4"/>
  <c r="X294" i="4"/>
  <c r="W294" i="4"/>
  <c r="T294" i="4"/>
  <c r="U294" i="4" s="1"/>
  <c r="R294" i="4"/>
  <c r="Q294" i="4"/>
  <c r="S294" i="4" s="1"/>
  <c r="N294" i="4"/>
  <c r="M294" i="4"/>
  <c r="L294" i="4"/>
  <c r="J294" i="4"/>
  <c r="AB293" i="4"/>
  <c r="AA293" i="4"/>
  <c r="Z293" i="4"/>
  <c r="Y293" i="4"/>
  <c r="X293" i="4"/>
  <c r="W293" i="4"/>
  <c r="V293" i="4"/>
  <c r="T293" i="4"/>
  <c r="U293" i="4" s="1"/>
  <c r="R293" i="4"/>
  <c r="Q293" i="4"/>
  <c r="S293" i="4" s="1"/>
  <c r="P293" i="4"/>
  <c r="N293" i="4"/>
  <c r="O293" i="4" s="1"/>
  <c r="M293" i="4"/>
  <c r="L293" i="4"/>
  <c r="J293" i="4"/>
  <c r="AB292" i="4"/>
  <c r="AA292" i="4"/>
  <c r="Z292" i="4"/>
  <c r="Y292" i="4"/>
  <c r="X292" i="4"/>
  <c r="W292" i="4"/>
  <c r="T292" i="4"/>
  <c r="R292" i="4"/>
  <c r="Q292" i="4"/>
  <c r="S292" i="4" s="1"/>
  <c r="N292" i="4"/>
  <c r="AB291" i="4"/>
  <c r="AA291" i="4"/>
  <c r="Z291" i="4"/>
  <c r="Y291" i="4"/>
  <c r="X291" i="4"/>
  <c r="W291" i="4"/>
  <c r="T291" i="4"/>
  <c r="Q291" i="4"/>
  <c r="O291" i="4"/>
  <c r="N291" i="4"/>
  <c r="P291" i="4" s="1"/>
  <c r="M291" i="4"/>
  <c r="L291" i="4"/>
  <c r="J291" i="4"/>
  <c r="AB290" i="4"/>
  <c r="AA290" i="4"/>
  <c r="Z290" i="4"/>
  <c r="Y290" i="4"/>
  <c r="X290" i="4"/>
  <c r="W290" i="4"/>
  <c r="T290" i="4"/>
  <c r="Q290" i="4"/>
  <c r="N290" i="4"/>
  <c r="M290" i="4"/>
  <c r="L290" i="4"/>
  <c r="J290" i="4"/>
  <c r="AB289" i="4"/>
  <c r="AA289" i="4"/>
  <c r="Z289" i="4"/>
  <c r="Y289" i="4"/>
  <c r="X289" i="4"/>
  <c r="W289" i="4"/>
  <c r="U289" i="4"/>
  <c r="T289" i="4"/>
  <c r="V289" i="4" s="1"/>
  <c r="Q289" i="4"/>
  <c r="N289" i="4"/>
  <c r="M289" i="4"/>
  <c r="L289" i="4"/>
  <c r="J289" i="4"/>
  <c r="AB288" i="4"/>
  <c r="AA288" i="4"/>
  <c r="Z288" i="4"/>
  <c r="Y288" i="4"/>
  <c r="X288" i="4"/>
  <c r="W288" i="4"/>
  <c r="U288" i="4"/>
  <c r="T288" i="4"/>
  <c r="V288" i="4" s="1"/>
  <c r="S288" i="4"/>
  <c r="Q288" i="4"/>
  <c r="R288" i="4" s="1"/>
  <c r="O288" i="4"/>
  <c r="N288" i="4"/>
  <c r="P288" i="4" s="1"/>
  <c r="M288" i="4"/>
  <c r="L288" i="4"/>
  <c r="J288" i="4"/>
  <c r="AB287" i="4"/>
  <c r="AA287" i="4"/>
  <c r="Z287" i="4"/>
  <c r="Y287" i="4"/>
  <c r="X287" i="4"/>
  <c r="W287" i="4"/>
  <c r="T287" i="4"/>
  <c r="Q287" i="4"/>
  <c r="O287" i="4"/>
  <c r="N287" i="4"/>
  <c r="P287" i="4" s="1"/>
  <c r="M287" i="4"/>
  <c r="L287" i="4"/>
  <c r="J287" i="4"/>
  <c r="AB286" i="4"/>
  <c r="AA286" i="4"/>
  <c r="Z286" i="4"/>
  <c r="Y286" i="4"/>
  <c r="X286" i="4"/>
  <c r="W286" i="4"/>
  <c r="T286" i="4"/>
  <c r="Q286" i="4"/>
  <c r="N286" i="4"/>
  <c r="M286" i="4"/>
  <c r="L286" i="4"/>
  <c r="J286" i="4"/>
  <c r="AB285" i="4"/>
  <c r="AA285" i="4"/>
  <c r="Z285" i="4"/>
  <c r="Y285" i="4"/>
  <c r="X285" i="4"/>
  <c r="W285" i="4"/>
  <c r="U285" i="4"/>
  <c r="T285" i="4"/>
  <c r="V285" i="4" s="1"/>
  <c r="Q285" i="4"/>
  <c r="N285" i="4"/>
  <c r="AB284" i="4"/>
  <c r="AA284" i="4"/>
  <c r="Z284" i="4"/>
  <c r="Y284" i="4"/>
  <c r="X284" i="4"/>
  <c r="W284" i="4"/>
  <c r="T284" i="4"/>
  <c r="R284" i="4"/>
  <c r="Q284" i="4"/>
  <c r="S284" i="4" s="1"/>
  <c r="N284" i="4"/>
  <c r="M284" i="4"/>
  <c r="L284" i="4"/>
  <c r="J284" i="4"/>
  <c r="AB283" i="4"/>
  <c r="AA283" i="4"/>
  <c r="Z283" i="4"/>
  <c r="Y283" i="4"/>
  <c r="X283" i="4"/>
  <c r="W283" i="4"/>
  <c r="V283" i="4"/>
  <c r="T283" i="4"/>
  <c r="U283" i="4" s="1"/>
  <c r="R283" i="4"/>
  <c r="Q283" i="4"/>
  <c r="S283" i="4" s="1"/>
  <c r="P283" i="4"/>
  <c r="N283" i="4"/>
  <c r="O283" i="4" s="1"/>
  <c r="M283" i="4"/>
  <c r="L283" i="4"/>
  <c r="J283" i="4"/>
  <c r="AB282" i="4"/>
  <c r="AA282" i="4"/>
  <c r="Z282" i="4"/>
  <c r="Y282" i="4"/>
  <c r="X282" i="4"/>
  <c r="W282" i="4"/>
  <c r="T282" i="4"/>
  <c r="R282" i="4"/>
  <c r="Q282" i="4"/>
  <c r="S282" i="4" s="1"/>
  <c r="N282" i="4"/>
  <c r="M282" i="4"/>
  <c r="L282" i="4"/>
  <c r="J282" i="4"/>
  <c r="AB281" i="4"/>
  <c r="AA281" i="4"/>
  <c r="Z281" i="4"/>
  <c r="Y281" i="4"/>
  <c r="X281" i="4"/>
  <c r="W281" i="4"/>
  <c r="V281" i="4"/>
  <c r="T281" i="4"/>
  <c r="U281" i="4" s="1"/>
  <c r="R281" i="4"/>
  <c r="Q281" i="4"/>
  <c r="S281" i="4" s="1"/>
  <c r="P281" i="4"/>
  <c r="N281" i="4"/>
  <c r="O281" i="4" s="1"/>
  <c r="M281" i="4"/>
  <c r="L281" i="4"/>
  <c r="J281" i="4"/>
  <c r="AB280" i="4"/>
  <c r="AA280" i="4"/>
  <c r="Z280" i="4"/>
  <c r="Y280" i="4"/>
  <c r="X280" i="4"/>
  <c r="W280" i="4"/>
  <c r="T280" i="4"/>
  <c r="R280" i="4"/>
  <c r="Q280" i="4"/>
  <c r="S280" i="4" s="1"/>
  <c r="N280" i="4"/>
  <c r="M280" i="4"/>
  <c r="L280" i="4"/>
  <c r="J280" i="4"/>
  <c r="AB279" i="4"/>
  <c r="AA279" i="4"/>
  <c r="Z279" i="4"/>
  <c r="Y279" i="4"/>
  <c r="X279" i="4"/>
  <c r="W279" i="4"/>
  <c r="V279" i="4"/>
  <c r="T279" i="4"/>
  <c r="U279" i="4" s="1"/>
  <c r="R279" i="4"/>
  <c r="Q279" i="4"/>
  <c r="S279" i="4" s="1"/>
  <c r="P279" i="4"/>
  <c r="N279" i="4"/>
  <c r="O279" i="4" s="1"/>
  <c r="M279" i="4"/>
  <c r="L279" i="4"/>
  <c r="J279" i="4"/>
  <c r="AB278" i="4"/>
  <c r="AA278" i="4"/>
  <c r="Z278" i="4"/>
  <c r="Y278" i="4"/>
  <c r="X278" i="4"/>
  <c r="W278" i="4"/>
  <c r="T278" i="4"/>
  <c r="R278" i="4"/>
  <c r="Q278" i="4"/>
  <c r="S278" i="4" s="1"/>
  <c r="N278" i="4"/>
  <c r="AB277" i="4"/>
  <c r="AA277" i="4"/>
  <c r="Z277" i="4"/>
  <c r="Y277" i="4"/>
  <c r="X277" i="4"/>
  <c r="W277" i="4"/>
  <c r="T277" i="4"/>
  <c r="Q277" i="4"/>
  <c r="O277" i="4"/>
  <c r="N277" i="4"/>
  <c r="P277" i="4" s="1"/>
  <c r="M277" i="4"/>
  <c r="L277" i="4"/>
  <c r="J277" i="4"/>
  <c r="AB276" i="4"/>
  <c r="AA276" i="4"/>
  <c r="Z276" i="4"/>
  <c r="Y276" i="4"/>
  <c r="X276" i="4"/>
  <c r="W276" i="4"/>
  <c r="T276" i="4"/>
  <c r="Q276" i="4"/>
  <c r="N276" i="4"/>
  <c r="M276" i="4"/>
  <c r="L276" i="4"/>
  <c r="J276" i="4"/>
  <c r="AB275" i="4"/>
  <c r="AA275" i="4"/>
  <c r="Z275" i="4"/>
  <c r="Y275" i="4"/>
  <c r="X275" i="4"/>
  <c r="W275" i="4"/>
  <c r="U275" i="4"/>
  <c r="T275" i="4"/>
  <c r="V275" i="4" s="1"/>
  <c r="Q275" i="4"/>
  <c r="N275" i="4"/>
  <c r="M275" i="4"/>
  <c r="L275" i="4"/>
  <c r="J275" i="4"/>
  <c r="AB274" i="4"/>
  <c r="AA274" i="4"/>
  <c r="Z274" i="4"/>
  <c r="Y274" i="4"/>
  <c r="X274" i="4"/>
  <c r="W274" i="4"/>
  <c r="U274" i="4"/>
  <c r="T274" i="4"/>
  <c r="V274" i="4" s="1"/>
  <c r="S274" i="4"/>
  <c r="Q274" i="4"/>
  <c r="R274" i="4" s="1"/>
  <c r="O274" i="4"/>
  <c r="N274" i="4"/>
  <c r="P274" i="4" s="1"/>
  <c r="M274" i="4"/>
  <c r="L274" i="4"/>
  <c r="J274" i="4"/>
  <c r="AB273" i="4"/>
  <c r="AA273" i="4"/>
  <c r="Z273" i="4"/>
  <c r="Y273" i="4"/>
  <c r="X273" i="4"/>
  <c r="W273" i="4"/>
  <c r="T273" i="4"/>
  <c r="Q273" i="4"/>
  <c r="O273" i="4"/>
  <c r="N273" i="4"/>
  <c r="P273" i="4" s="1"/>
  <c r="M273" i="4"/>
  <c r="L273" i="4"/>
  <c r="J273" i="4"/>
  <c r="AB272" i="4"/>
  <c r="AA272" i="4"/>
  <c r="Z272" i="4"/>
  <c r="Y272" i="4"/>
  <c r="X272" i="4"/>
  <c r="W272" i="4"/>
  <c r="T272" i="4"/>
  <c r="Q272" i="4"/>
  <c r="N272" i="4"/>
  <c r="M272" i="4"/>
  <c r="L272" i="4"/>
  <c r="J272" i="4"/>
  <c r="AB271" i="4"/>
  <c r="AA271" i="4"/>
  <c r="Z271" i="4"/>
  <c r="Y271" i="4"/>
  <c r="X271" i="4"/>
  <c r="W271" i="4"/>
  <c r="U271" i="4"/>
  <c r="T271" i="4"/>
  <c r="V271" i="4" s="1"/>
  <c r="Q271" i="4"/>
  <c r="N271" i="4"/>
  <c r="AB270" i="4"/>
  <c r="AA270" i="4"/>
  <c r="Z270" i="4"/>
  <c r="Y270" i="4"/>
  <c r="X270" i="4"/>
  <c r="W270" i="4"/>
  <c r="T270" i="4"/>
  <c r="R270" i="4"/>
  <c r="Q270" i="4"/>
  <c r="S270" i="4" s="1"/>
  <c r="N270" i="4"/>
  <c r="M270" i="4"/>
  <c r="L270" i="4"/>
  <c r="J270" i="4"/>
  <c r="AB269" i="4"/>
  <c r="AA269" i="4"/>
  <c r="Z269" i="4"/>
  <c r="Y269" i="4"/>
  <c r="X269" i="4"/>
  <c r="W269" i="4"/>
  <c r="V269" i="4"/>
  <c r="T269" i="4"/>
  <c r="U269" i="4" s="1"/>
  <c r="R269" i="4"/>
  <c r="Q269" i="4"/>
  <c r="S269" i="4" s="1"/>
  <c r="P269" i="4"/>
  <c r="N269" i="4"/>
  <c r="O269" i="4" s="1"/>
  <c r="M269" i="4"/>
  <c r="L269" i="4"/>
  <c r="J269" i="4"/>
  <c r="AB268" i="4"/>
  <c r="AA268" i="4"/>
  <c r="Z268" i="4"/>
  <c r="Y268" i="4"/>
  <c r="X268" i="4"/>
  <c r="W268" i="4"/>
  <c r="T268" i="4"/>
  <c r="R268" i="4"/>
  <c r="Q268" i="4"/>
  <c r="S268" i="4" s="1"/>
  <c r="N268" i="4"/>
  <c r="M268" i="4"/>
  <c r="L268" i="4"/>
  <c r="J268" i="4"/>
  <c r="AB267" i="4"/>
  <c r="AA267" i="4"/>
  <c r="Z267" i="4"/>
  <c r="Y267" i="4"/>
  <c r="X267" i="4"/>
  <c r="W267" i="4"/>
  <c r="V267" i="4"/>
  <c r="T267" i="4"/>
  <c r="U267" i="4" s="1"/>
  <c r="R267" i="4"/>
  <c r="Q267" i="4"/>
  <c r="S267" i="4" s="1"/>
  <c r="P267" i="4"/>
  <c r="N267" i="4"/>
  <c r="O267" i="4" s="1"/>
  <c r="M267" i="4"/>
  <c r="L267" i="4"/>
  <c r="J267" i="4"/>
  <c r="AB266" i="4"/>
  <c r="AA266" i="4"/>
  <c r="Z266" i="4"/>
  <c r="Y266" i="4"/>
  <c r="X266" i="4"/>
  <c r="W266" i="4"/>
  <c r="T266" i="4"/>
  <c r="R266" i="4"/>
  <c r="Q266" i="4"/>
  <c r="S266" i="4" s="1"/>
  <c r="N266" i="4"/>
  <c r="M266" i="4"/>
  <c r="L266" i="4"/>
  <c r="J266" i="4"/>
  <c r="AB265" i="4"/>
  <c r="AA265" i="4"/>
  <c r="Z265" i="4"/>
  <c r="Y265" i="4"/>
  <c r="X265" i="4"/>
  <c r="W265" i="4"/>
  <c r="V265" i="4"/>
  <c r="T265" i="4"/>
  <c r="U265" i="4" s="1"/>
  <c r="R265" i="4"/>
  <c r="Q265" i="4"/>
  <c r="S265" i="4" s="1"/>
  <c r="P265" i="4"/>
  <c r="N265" i="4"/>
  <c r="O265" i="4" s="1"/>
  <c r="M265" i="4"/>
  <c r="L265" i="4"/>
  <c r="J265" i="4"/>
  <c r="AB264" i="4"/>
  <c r="AA264" i="4"/>
  <c r="Z264" i="4"/>
  <c r="Y264" i="4"/>
  <c r="X264" i="4"/>
  <c r="W264" i="4"/>
  <c r="T264" i="4"/>
  <c r="R264" i="4"/>
  <c r="Q264" i="4"/>
  <c r="S264" i="4" s="1"/>
  <c r="N264" i="4"/>
  <c r="AB263" i="4"/>
  <c r="AA263" i="4"/>
  <c r="Z263" i="4"/>
  <c r="Y263" i="4"/>
  <c r="X263" i="4"/>
  <c r="W263" i="4"/>
  <c r="T263" i="4"/>
  <c r="Q263" i="4"/>
  <c r="O263" i="4"/>
  <c r="N263" i="4"/>
  <c r="P263" i="4" s="1"/>
  <c r="M263" i="4"/>
  <c r="L263" i="4"/>
  <c r="J263" i="4"/>
  <c r="AB262" i="4"/>
  <c r="AA262" i="4"/>
  <c r="Z262" i="4"/>
  <c r="Y262" i="4"/>
  <c r="X262" i="4"/>
  <c r="W262" i="4"/>
  <c r="T262" i="4"/>
  <c r="Q262" i="4"/>
  <c r="N262" i="4"/>
  <c r="M262" i="4"/>
  <c r="L262" i="4"/>
  <c r="J262" i="4"/>
  <c r="AB261" i="4"/>
  <c r="AA261" i="4"/>
  <c r="Z261" i="4"/>
  <c r="Y261" i="4"/>
  <c r="X261" i="4"/>
  <c r="W261" i="4"/>
  <c r="U261" i="4"/>
  <c r="T261" i="4"/>
  <c r="V261" i="4" s="1"/>
  <c r="Q261" i="4"/>
  <c r="N261" i="4"/>
  <c r="M261" i="4"/>
  <c r="L261" i="4"/>
  <c r="J261" i="4"/>
  <c r="AB260" i="4"/>
  <c r="AA260" i="4"/>
  <c r="Z260" i="4"/>
  <c r="Y260" i="4"/>
  <c r="X260" i="4"/>
  <c r="W260" i="4"/>
  <c r="U260" i="4"/>
  <c r="T260" i="4"/>
  <c r="V260" i="4" s="1"/>
  <c r="S260" i="4"/>
  <c r="Q260" i="4"/>
  <c r="R260" i="4" s="1"/>
  <c r="O260" i="4"/>
  <c r="N260" i="4"/>
  <c r="P260" i="4" s="1"/>
  <c r="M260" i="4"/>
  <c r="L260" i="4"/>
  <c r="J260" i="4"/>
  <c r="AB259" i="4"/>
  <c r="AA259" i="4"/>
  <c r="Z259" i="4"/>
  <c r="Y259" i="4"/>
  <c r="X259" i="4"/>
  <c r="W259" i="4"/>
  <c r="T259" i="4"/>
  <c r="Q259" i="4"/>
  <c r="O259" i="4"/>
  <c r="N259" i="4"/>
  <c r="P259" i="4" s="1"/>
  <c r="M259" i="4"/>
  <c r="L259" i="4"/>
  <c r="J259" i="4"/>
  <c r="AB258" i="4"/>
  <c r="AA258" i="4"/>
  <c r="Z258" i="4"/>
  <c r="Y258" i="4"/>
  <c r="X258" i="4"/>
  <c r="W258" i="4"/>
  <c r="T258" i="4"/>
  <c r="Q258" i="4"/>
  <c r="N258" i="4"/>
  <c r="M258" i="4"/>
  <c r="L258" i="4"/>
  <c r="J258" i="4"/>
  <c r="AB257" i="4"/>
  <c r="AA257" i="4"/>
  <c r="Z257" i="4"/>
  <c r="Y257" i="4"/>
  <c r="X257" i="4"/>
  <c r="W257" i="4"/>
  <c r="U257" i="4"/>
  <c r="T257" i="4"/>
  <c r="V257" i="4" s="1"/>
  <c r="Q257" i="4"/>
  <c r="N257" i="4"/>
  <c r="AB256" i="4"/>
  <c r="AA256" i="4"/>
  <c r="Z256" i="4"/>
  <c r="Y256" i="4"/>
  <c r="X256" i="4"/>
  <c r="W256" i="4"/>
  <c r="T256" i="4"/>
  <c r="R256" i="4"/>
  <c r="Q256" i="4"/>
  <c r="S256" i="4" s="1"/>
  <c r="N256" i="4"/>
  <c r="M256" i="4"/>
  <c r="L256" i="4"/>
  <c r="J256" i="4"/>
  <c r="AB255" i="4"/>
  <c r="AA255" i="4"/>
  <c r="Z255" i="4"/>
  <c r="Y255" i="4"/>
  <c r="X255" i="4"/>
  <c r="W255" i="4"/>
  <c r="V255" i="4"/>
  <c r="T255" i="4"/>
  <c r="U255" i="4" s="1"/>
  <c r="R255" i="4"/>
  <c r="Q255" i="4"/>
  <c r="S255" i="4" s="1"/>
  <c r="P255" i="4"/>
  <c r="N255" i="4"/>
  <c r="O255" i="4" s="1"/>
  <c r="M255" i="4"/>
  <c r="L255" i="4"/>
  <c r="J255" i="4"/>
  <c r="AB254" i="4"/>
  <c r="AA254" i="4"/>
  <c r="Z254" i="4"/>
  <c r="Y254" i="4"/>
  <c r="X254" i="4"/>
  <c r="W254" i="4"/>
  <c r="T254" i="4"/>
  <c r="R254" i="4"/>
  <c r="Q254" i="4"/>
  <c r="S254" i="4" s="1"/>
  <c r="N254" i="4"/>
  <c r="M254" i="4"/>
  <c r="L254" i="4"/>
  <c r="J254" i="4"/>
  <c r="AB253" i="4"/>
  <c r="AA253" i="4"/>
  <c r="Z253" i="4"/>
  <c r="Y253" i="4"/>
  <c r="X253" i="4"/>
  <c r="W253" i="4"/>
  <c r="V253" i="4"/>
  <c r="T253" i="4"/>
  <c r="U253" i="4" s="1"/>
  <c r="R253" i="4"/>
  <c r="Q253" i="4"/>
  <c r="S253" i="4" s="1"/>
  <c r="P253" i="4"/>
  <c r="N253" i="4"/>
  <c r="O253" i="4" s="1"/>
  <c r="M253" i="4"/>
  <c r="L253" i="4"/>
  <c r="J253" i="4"/>
  <c r="AB252" i="4"/>
  <c r="AA252" i="4"/>
  <c r="Z252" i="4"/>
  <c r="Y252" i="4"/>
  <c r="X252" i="4"/>
  <c r="W252" i="4"/>
  <c r="T252" i="4"/>
  <c r="R252" i="4"/>
  <c r="Q252" i="4"/>
  <c r="S252" i="4" s="1"/>
  <c r="P252" i="4"/>
  <c r="N252" i="4"/>
  <c r="O252" i="4" s="1"/>
  <c r="M252" i="4"/>
  <c r="L252" i="4"/>
  <c r="J252" i="4"/>
  <c r="AB251" i="4"/>
  <c r="AA251" i="4"/>
  <c r="Z251" i="4"/>
  <c r="Y251" i="4"/>
  <c r="X251" i="4"/>
  <c r="W251" i="4"/>
  <c r="T251" i="4"/>
  <c r="U251" i="4" s="1"/>
  <c r="R251" i="4"/>
  <c r="Q251" i="4"/>
  <c r="S251" i="4" s="1"/>
  <c r="N251" i="4"/>
  <c r="O251" i="4" s="1"/>
  <c r="M251" i="4"/>
  <c r="L251" i="4"/>
  <c r="J251" i="4"/>
  <c r="AB250" i="4"/>
  <c r="AA250" i="4"/>
  <c r="Z250" i="4"/>
  <c r="Y250" i="4"/>
  <c r="X250" i="4"/>
  <c r="W250" i="4"/>
  <c r="V250" i="4"/>
  <c r="T250" i="4"/>
  <c r="U250" i="4" s="1"/>
  <c r="R250" i="4"/>
  <c r="Q250" i="4"/>
  <c r="S250" i="4" s="1"/>
  <c r="P250" i="4"/>
  <c r="N250" i="4"/>
  <c r="O250" i="4" s="1"/>
  <c r="AB249" i="4"/>
  <c r="AA249" i="4"/>
  <c r="Z249" i="4"/>
  <c r="Y249" i="4"/>
  <c r="X249" i="4"/>
  <c r="W249" i="4"/>
  <c r="U249" i="4"/>
  <c r="T249" i="4"/>
  <c r="V249" i="4" s="1"/>
  <c r="S249" i="4"/>
  <c r="Q249" i="4"/>
  <c r="R249" i="4" s="1"/>
  <c r="N249" i="4"/>
  <c r="P249" i="4" s="1"/>
  <c r="M249" i="4"/>
  <c r="L249" i="4"/>
  <c r="J249" i="4"/>
  <c r="AB248" i="4"/>
  <c r="AA248" i="4"/>
  <c r="Z248" i="4"/>
  <c r="Y248" i="4"/>
  <c r="X248" i="4"/>
  <c r="W248" i="4"/>
  <c r="T248" i="4"/>
  <c r="Q248" i="4"/>
  <c r="R248" i="4" s="1"/>
  <c r="O248" i="4"/>
  <c r="N248" i="4"/>
  <c r="P248" i="4" s="1"/>
  <c r="M248" i="4"/>
  <c r="L248" i="4"/>
  <c r="J248" i="4"/>
  <c r="AB247" i="4"/>
  <c r="AA247" i="4"/>
  <c r="Z247" i="4"/>
  <c r="Y247" i="4"/>
  <c r="X247" i="4"/>
  <c r="W247" i="4"/>
  <c r="T247" i="4"/>
  <c r="Q247" i="4"/>
  <c r="N247" i="4"/>
  <c r="M247" i="4"/>
  <c r="L247" i="4"/>
  <c r="J247" i="4"/>
  <c r="AB246" i="4"/>
  <c r="AA246" i="4"/>
  <c r="Z246" i="4"/>
  <c r="Y246" i="4"/>
  <c r="X246" i="4"/>
  <c r="W246" i="4"/>
  <c r="U246" i="4"/>
  <c r="T246" i="4"/>
  <c r="V246" i="4" s="1"/>
  <c r="Q246" i="4"/>
  <c r="R246" i="4" s="1"/>
  <c r="N246" i="4"/>
  <c r="M246" i="4"/>
  <c r="L246" i="4"/>
  <c r="J246" i="4"/>
  <c r="AB245" i="4"/>
  <c r="AA245" i="4"/>
  <c r="Z245" i="4"/>
  <c r="Y245" i="4"/>
  <c r="X245" i="4"/>
  <c r="W245" i="4"/>
  <c r="U245" i="4"/>
  <c r="T245" i="4"/>
  <c r="V245" i="4" s="1"/>
  <c r="S245" i="4"/>
  <c r="Q245" i="4"/>
  <c r="R245" i="4" s="1"/>
  <c r="O245" i="4"/>
  <c r="N245" i="4"/>
  <c r="P245" i="4" s="1"/>
  <c r="M245" i="4"/>
  <c r="L245" i="4"/>
  <c r="J245" i="4"/>
  <c r="AB244" i="4"/>
  <c r="AA244" i="4"/>
  <c r="Z244" i="4"/>
  <c r="Y244" i="4"/>
  <c r="X244" i="4"/>
  <c r="W244" i="4"/>
  <c r="T244" i="4"/>
  <c r="Q244" i="4"/>
  <c r="R244" i="4" s="1"/>
  <c r="O244" i="4"/>
  <c r="N244" i="4"/>
  <c r="P244" i="4" s="1"/>
  <c r="M244" i="4"/>
  <c r="L244" i="4"/>
  <c r="J244" i="4"/>
  <c r="AB243" i="4"/>
  <c r="AA243" i="4"/>
  <c r="Z243" i="4"/>
  <c r="Y243" i="4"/>
  <c r="X243" i="4"/>
  <c r="W243" i="4"/>
  <c r="T243" i="4"/>
  <c r="Q243" i="4"/>
  <c r="N243" i="4"/>
  <c r="AB242" i="4"/>
  <c r="AA242" i="4"/>
  <c r="Z242" i="4"/>
  <c r="Y242" i="4"/>
  <c r="X242" i="4"/>
  <c r="W242" i="4"/>
  <c r="T242" i="4"/>
  <c r="Q242" i="4"/>
  <c r="N242" i="4"/>
  <c r="M242" i="4"/>
  <c r="L242" i="4"/>
  <c r="J242" i="4"/>
  <c r="AB241" i="4"/>
  <c r="AA241" i="4"/>
  <c r="Z241" i="4"/>
  <c r="Y241" i="4"/>
  <c r="X241" i="4"/>
  <c r="W241" i="4"/>
  <c r="T241" i="4"/>
  <c r="U241" i="4" s="1"/>
  <c r="Q241" i="4"/>
  <c r="N241" i="4"/>
  <c r="O241" i="4" s="1"/>
  <c r="M241" i="4"/>
  <c r="L241" i="4"/>
  <c r="J241" i="4"/>
  <c r="AB240" i="4"/>
  <c r="AA240" i="4"/>
  <c r="Z240" i="4"/>
  <c r="Y240" i="4"/>
  <c r="X240" i="4"/>
  <c r="W240" i="4"/>
  <c r="T240" i="4"/>
  <c r="Q240" i="4"/>
  <c r="N240" i="4"/>
  <c r="M240" i="4"/>
  <c r="L240" i="4"/>
  <c r="J240" i="4"/>
  <c r="AB239" i="4"/>
  <c r="AA239" i="4"/>
  <c r="Z239" i="4"/>
  <c r="Y239" i="4"/>
  <c r="X239" i="4"/>
  <c r="W239" i="4"/>
  <c r="T239" i="4"/>
  <c r="U239" i="4" s="1"/>
  <c r="Q239" i="4"/>
  <c r="N239" i="4"/>
  <c r="O239" i="4" s="1"/>
  <c r="M239" i="4"/>
  <c r="L239" i="4"/>
  <c r="J239" i="4"/>
  <c r="AB238" i="4"/>
  <c r="AA238" i="4"/>
  <c r="Z238" i="4"/>
  <c r="Y238" i="4"/>
  <c r="X238" i="4"/>
  <c r="W238" i="4"/>
  <c r="T238" i="4"/>
  <c r="Q238" i="4"/>
  <c r="N238" i="4"/>
  <c r="M238" i="4"/>
  <c r="L238" i="4"/>
  <c r="J238" i="4"/>
  <c r="AB237" i="4"/>
  <c r="AA237" i="4"/>
  <c r="Z237" i="4"/>
  <c r="Y237" i="4"/>
  <c r="X237" i="4"/>
  <c r="W237" i="4"/>
  <c r="T237" i="4"/>
  <c r="U237" i="4" s="1"/>
  <c r="Q237" i="4"/>
  <c r="N237" i="4"/>
  <c r="O237" i="4" s="1"/>
  <c r="M237" i="4"/>
  <c r="L237" i="4"/>
  <c r="J237" i="4"/>
  <c r="AB236" i="4"/>
  <c r="AA236" i="4"/>
  <c r="Z236" i="4"/>
  <c r="Y236" i="4"/>
  <c r="X236" i="4"/>
  <c r="W236" i="4"/>
  <c r="T236" i="4"/>
  <c r="Q236" i="4"/>
  <c r="N236" i="4"/>
  <c r="AB235" i="4"/>
  <c r="AA235" i="4"/>
  <c r="Z235" i="4"/>
  <c r="Y235" i="4"/>
  <c r="X235" i="4"/>
  <c r="W235" i="4"/>
  <c r="T235" i="4"/>
  <c r="Q235" i="4"/>
  <c r="N235" i="4"/>
  <c r="M235" i="4"/>
  <c r="L235" i="4"/>
  <c r="J235" i="4"/>
  <c r="AB234" i="4"/>
  <c r="AA234" i="4"/>
  <c r="Z234" i="4"/>
  <c r="Y234" i="4"/>
  <c r="X234" i="4"/>
  <c r="W234" i="4"/>
  <c r="U234" i="4"/>
  <c r="T234" i="4"/>
  <c r="V234" i="4" s="1"/>
  <c r="Q234" i="4"/>
  <c r="R234" i="4" s="1"/>
  <c r="N234" i="4"/>
  <c r="M234" i="4"/>
  <c r="L234" i="4"/>
  <c r="J234" i="4"/>
  <c r="AB233" i="4"/>
  <c r="AA233" i="4"/>
  <c r="Z233" i="4"/>
  <c r="Y233" i="4"/>
  <c r="X233" i="4"/>
  <c r="W233" i="4"/>
  <c r="U233" i="4"/>
  <c r="T233" i="4"/>
  <c r="V233" i="4" s="1"/>
  <c r="S233" i="4"/>
  <c r="Q233" i="4"/>
  <c r="R233" i="4" s="1"/>
  <c r="O233" i="4"/>
  <c r="N233" i="4"/>
  <c r="P233" i="4" s="1"/>
  <c r="M233" i="4"/>
  <c r="L233" i="4"/>
  <c r="J233" i="4"/>
  <c r="AB232" i="4"/>
  <c r="AA232" i="4"/>
  <c r="Z232" i="4"/>
  <c r="Y232" i="4"/>
  <c r="X232" i="4"/>
  <c r="W232" i="4"/>
  <c r="T232" i="4"/>
  <c r="Q232" i="4"/>
  <c r="R232" i="4" s="1"/>
  <c r="O232" i="4"/>
  <c r="N232" i="4"/>
  <c r="P232" i="4" s="1"/>
  <c r="M232" i="4"/>
  <c r="L232" i="4"/>
  <c r="J232" i="4"/>
  <c r="AB231" i="4"/>
  <c r="AA231" i="4"/>
  <c r="Z231" i="4"/>
  <c r="Y231" i="4"/>
  <c r="X231" i="4"/>
  <c r="W231" i="4"/>
  <c r="T231" i="4"/>
  <c r="Q231" i="4"/>
  <c r="N231" i="4"/>
  <c r="M231" i="4"/>
  <c r="L231" i="4"/>
  <c r="J231" i="4"/>
  <c r="AB230" i="4"/>
  <c r="AA230" i="4"/>
  <c r="Z230" i="4"/>
  <c r="Y230" i="4"/>
  <c r="X230" i="4"/>
  <c r="W230" i="4"/>
  <c r="U230" i="4"/>
  <c r="T230" i="4"/>
  <c r="V230" i="4" s="1"/>
  <c r="Q230" i="4"/>
  <c r="R230" i="4" s="1"/>
  <c r="N230" i="4"/>
  <c r="M230" i="4"/>
  <c r="L230" i="4"/>
  <c r="J230" i="4"/>
  <c r="AB229" i="4"/>
  <c r="AA229" i="4"/>
  <c r="Z229" i="4"/>
  <c r="Y229" i="4"/>
  <c r="X229" i="4"/>
  <c r="W229" i="4"/>
  <c r="U229" i="4"/>
  <c r="T229" i="4"/>
  <c r="V229" i="4" s="1"/>
  <c r="S229" i="4"/>
  <c r="Q229" i="4"/>
  <c r="R229" i="4" s="1"/>
  <c r="O229" i="4"/>
  <c r="N229" i="4"/>
  <c r="P229" i="4" s="1"/>
  <c r="AB228" i="4"/>
  <c r="AA228" i="4"/>
  <c r="Z228" i="4"/>
  <c r="Y228" i="4"/>
  <c r="X228" i="4"/>
  <c r="W228" i="4"/>
  <c r="V228" i="4"/>
  <c r="T228" i="4"/>
  <c r="U228" i="4" s="1"/>
  <c r="R228" i="4"/>
  <c r="Q228" i="4"/>
  <c r="S228" i="4" s="1"/>
  <c r="P228" i="4"/>
  <c r="N228" i="4"/>
  <c r="O228" i="4" s="1"/>
  <c r="M228" i="4"/>
  <c r="L228" i="4"/>
  <c r="J228" i="4"/>
  <c r="AB227" i="4"/>
  <c r="AA227" i="4"/>
  <c r="Z227" i="4"/>
  <c r="Y227" i="4"/>
  <c r="X227" i="4"/>
  <c r="W227" i="4"/>
  <c r="T227" i="4"/>
  <c r="U227" i="4" s="1"/>
  <c r="R227" i="4"/>
  <c r="Q227" i="4"/>
  <c r="S227" i="4" s="1"/>
  <c r="N227" i="4"/>
  <c r="O227" i="4" s="1"/>
  <c r="M227" i="4"/>
  <c r="L227" i="4"/>
  <c r="J227" i="4"/>
  <c r="AB226" i="4"/>
  <c r="AA226" i="4"/>
  <c r="Z226" i="4"/>
  <c r="Y226" i="4"/>
  <c r="X226" i="4"/>
  <c r="W226" i="4"/>
  <c r="V226" i="4"/>
  <c r="T226" i="4"/>
  <c r="U226" i="4" s="1"/>
  <c r="R226" i="4"/>
  <c r="Q226" i="4"/>
  <c r="S226" i="4" s="1"/>
  <c r="P226" i="4"/>
  <c r="N226" i="4"/>
  <c r="O226" i="4" s="1"/>
  <c r="M226" i="4"/>
  <c r="L226" i="4"/>
  <c r="J226" i="4"/>
  <c r="AB225" i="4"/>
  <c r="AA225" i="4"/>
  <c r="Z225" i="4"/>
  <c r="Y225" i="4"/>
  <c r="X225" i="4"/>
  <c r="W225" i="4"/>
  <c r="T225" i="4"/>
  <c r="U225" i="4" s="1"/>
  <c r="R225" i="4"/>
  <c r="Q225" i="4"/>
  <c r="S225" i="4" s="1"/>
  <c r="N225" i="4"/>
  <c r="O225" i="4" s="1"/>
  <c r="M225" i="4"/>
  <c r="L225" i="4"/>
  <c r="J225" i="4"/>
  <c r="AB224" i="4"/>
  <c r="AA224" i="4"/>
  <c r="Z224" i="4"/>
  <c r="Y224" i="4"/>
  <c r="X224" i="4"/>
  <c r="W224" i="4"/>
  <c r="V224" i="4"/>
  <c r="T224" i="4"/>
  <c r="U224" i="4" s="1"/>
  <c r="R224" i="4"/>
  <c r="Q224" i="4"/>
  <c r="S224" i="4" s="1"/>
  <c r="P224" i="4"/>
  <c r="N224" i="4"/>
  <c r="O224" i="4" s="1"/>
  <c r="M224" i="4"/>
  <c r="L224" i="4"/>
  <c r="J224" i="4"/>
  <c r="AB223" i="4"/>
  <c r="AA223" i="4"/>
  <c r="Z223" i="4"/>
  <c r="Y223" i="4"/>
  <c r="X223" i="4"/>
  <c r="W223" i="4"/>
  <c r="T223" i="4"/>
  <c r="U223" i="4" s="1"/>
  <c r="R223" i="4"/>
  <c r="Q223" i="4"/>
  <c r="S223" i="4" s="1"/>
  <c r="N223" i="4"/>
  <c r="O223" i="4" s="1"/>
  <c r="M223" i="4"/>
  <c r="L223" i="4"/>
  <c r="J223" i="4"/>
  <c r="AB222" i="4"/>
  <c r="AA222" i="4"/>
  <c r="Z222" i="4"/>
  <c r="Y222" i="4"/>
  <c r="X222" i="4"/>
  <c r="W222" i="4"/>
  <c r="V222" i="4"/>
  <c r="T222" i="4"/>
  <c r="U222" i="4" s="1"/>
  <c r="R222" i="4"/>
  <c r="Q222" i="4"/>
  <c r="S222" i="4" s="1"/>
  <c r="P222" i="4"/>
  <c r="N222" i="4"/>
  <c r="O222" i="4" s="1"/>
  <c r="AB221" i="4"/>
  <c r="AA221" i="4"/>
  <c r="Z221" i="4"/>
  <c r="Y221" i="4"/>
  <c r="X221" i="4"/>
  <c r="W221" i="4"/>
  <c r="U221" i="4"/>
  <c r="T221" i="4"/>
  <c r="V221" i="4" s="1"/>
  <c r="S221" i="4"/>
  <c r="Q221" i="4"/>
  <c r="R221" i="4" s="1"/>
  <c r="O221" i="4"/>
  <c r="N221" i="4"/>
  <c r="P221" i="4" s="1"/>
  <c r="M221" i="4"/>
  <c r="L221" i="4"/>
  <c r="J221" i="4"/>
  <c r="AB220" i="4"/>
  <c r="AA220" i="4"/>
  <c r="Z220" i="4"/>
  <c r="Y220" i="4"/>
  <c r="X220" i="4"/>
  <c r="W220" i="4"/>
  <c r="T220" i="4"/>
  <c r="Q220" i="4"/>
  <c r="R220" i="4" s="1"/>
  <c r="O220" i="4"/>
  <c r="N220" i="4"/>
  <c r="P220" i="4" s="1"/>
  <c r="M220" i="4"/>
  <c r="L220" i="4"/>
  <c r="J220" i="4"/>
  <c r="AB219" i="4"/>
  <c r="AA219" i="4"/>
  <c r="Z219" i="4"/>
  <c r="Y219" i="4"/>
  <c r="X219" i="4"/>
  <c r="W219" i="4"/>
  <c r="T219" i="4"/>
  <c r="Q219" i="4"/>
  <c r="N219" i="4"/>
  <c r="M219" i="4"/>
  <c r="L219" i="4"/>
  <c r="J219" i="4"/>
  <c r="AB218" i="4"/>
  <c r="AA218" i="4"/>
  <c r="Z218" i="4"/>
  <c r="Y218" i="4"/>
  <c r="X218" i="4"/>
  <c r="W218" i="4"/>
  <c r="U218" i="4"/>
  <c r="T218" i="4"/>
  <c r="V218" i="4" s="1"/>
  <c r="Q218" i="4"/>
  <c r="R218" i="4" s="1"/>
  <c r="N218" i="4"/>
  <c r="M218" i="4"/>
  <c r="L218" i="4"/>
  <c r="J218" i="4"/>
  <c r="AB217" i="4"/>
  <c r="AA217" i="4"/>
  <c r="Z217" i="4"/>
  <c r="Y217" i="4"/>
  <c r="X217" i="4"/>
  <c r="W217" i="4"/>
  <c r="U217" i="4"/>
  <c r="T217" i="4"/>
  <c r="V217" i="4" s="1"/>
  <c r="S217" i="4"/>
  <c r="Q217" i="4"/>
  <c r="R217" i="4" s="1"/>
  <c r="O217" i="4"/>
  <c r="N217" i="4"/>
  <c r="P217" i="4" s="1"/>
  <c r="M217" i="4"/>
  <c r="L217" i="4"/>
  <c r="J217" i="4"/>
  <c r="AB216" i="4"/>
  <c r="AA216" i="4"/>
  <c r="Z216" i="4"/>
  <c r="Y216" i="4"/>
  <c r="X216" i="4"/>
  <c r="W216" i="4"/>
  <c r="T216" i="4"/>
  <c r="Q216" i="4"/>
  <c r="R216" i="4" s="1"/>
  <c r="O216" i="4"/>
  <c r="N216" i="4"/>
  <c r="P216" i="4" s="1"/>
  <c r="M216" i="4"/>
  <c r="L216" i="4"/>
  <c r="J216" i="4"/>
  <c r="AB215" i="4"/>
  <c r="AA215" i="4"/>
  <c r="Z215" i="4"/>
  <c r="Y215" i="4"/>
  <c r="X215" i="4"/>
  <c r="W215" i="4"/>
  <c r="T215" i="4"/>
  <c r="Q215" i="4"/>
  <c r="N215" i="4"/>
  <c r="AB214" i="4"/>
  <c r="AA214" i="4"/>
  <c r="Z214" i="4"/>
  <c r="Y214" i="4"/>
  <c r="X214" i="4"/>
  <c r="W214" i="4"/>
  <c r="T214" i="4"/>
  <c r="Q214" i="4"/>
  <c r="N214" i="4"/>
  <c r="M214" i="4"/>
  <c r="L214" i="4"/>
  <c r="J214" i="4"/>
  <c r="AB213" i="4"/>
  <c r="AA213" i="4"/>
  <c r="Z213" i="4"/>
  <c r="Y213" i="4"/>
  <c r="X213" i="4"/>
  <c r="W213" i="4"/>
  <c r="T213" i="4"/>
  <c r="U213" i="4" s="1"/>
  <c r="Q213" i="4"/>
  <c r="N213" i="4"/>
  <c r="O213" i="4" s="1"/>
  <c r="M213" i="4"/>
  <c r="L213" i="4"/>
  <c r="J213" i="4"/>
  <c r="AB212" i="4"/>
  <c r="AA212" i="4"/>
  <c r="Z212" i="4"/>
  <c r="Y212" i="4"/>
  <c r="X212" i="4"/>
  <c r="W212" i="4"/>
  <c r="T212" i="4"/>
  <c r="Q212" i="4"/>
  <c r="N212" i="4"/>
  <c r="M212" i="4"/>
  <c r="L212" i="4"/>
  <c r="J212" i="4"/>
  <c r="AB211" i="4"/>
  <c r="AA211" i="4"/>
  <c r="Z211" i="4"/>
  <c r="Y211" i="4"/>
  <c r="X211" i="4"/>
  <c r="W211" i="4"/>
  <c r="T211" i="4"/>
  <c r="U211" i="4" s="1"/>
  <c r="Q211" i="4"/>
  <c r="N211" i="4"/>
  <c r="O211" i="4" s="1"/>
  <c r="M211" i="4"/>
  <c r="L211" i="4"/>
  <c r="J211" i="4"/>
  <c r="AB210" i="4"/>
  <c r="AA210" i="4"/>
  <c r="Z210" i="4"/>
  <c r="Y210" i="4"/>
  <c r="X210" i="4"/>
  <c r="W210" i="4"/>
  <c r="T210" i="4"/>
  <c r="Q210" i="4"/>
  <c r="N210" i="4"/>
  <c r="M210" i="4"/>
  <c r="L210" i="4"/>
  <c r="J210" i="4"/>
  <c r="AB209" i="4"/>
  <c r="AA209" i="4"/>
  <c r="Z209" i="4"/>
  <c r="Y209" i="4"/>
  <c r="X209" i="4"/>
  <c r="W209" i="4"/>
  <c r="T209" i="4"/>
  <c r="U209" i="4" s="1"/>
  <c r="Q209" i="4"/>
  <c r="N209" i="4"/>
  <c r="O209" i="4" s="1"/>
  <c r="M209" i="4"/>
  <c r="L209" i="4"/>
  <c r="J209" i="4"/>
  <c r="AB208" i="4"/>
  <c r="AA208" i="4"/>
  <c r="Z208" i="4"/>
  <c r="Y208" i="4"/>
  <c r="X208" i="4"/>
  <c r="W208" i="4"/>
  <c r="T208" i="4"/>
  <c r="Q208" i="4"/>
  <c r="N208" i="4"/>
  <c r="AB207" i="4"/>
  <c r="AA207" i="4"/>
  <c r="Z207" i="4"/>
  <c r="Y207" i="4"/>
  <c r="X207" i="4"/>
  <c r="W207" i="4"/>
  <c r="T207" i="4"/>
  <c r="Q207" i="4"/>
  <c r="N207" i="4"/>
  <c r="M207" i="4"/>
  <c r="L207" i="4"/>
  <c r="J207" i="4"/>
  <c r="AB206" i="4"/>
  <c r="AA206" i="4"/>
  <c r="Z206" i="4"/>
  <c r="Y206" i="4"/>
  <c r="X206" i="4"/>
  <c r="W206" i="4"/>
  <c r="U206" i="4"/>
  <c r="T206" i="4"/>
  <c r="V206" i="4" s="1"/>
  <c r="Q206" i="4"/>
  <c r="R206" i="4" s="1"/>
  <c r="N206" i="4"/>
  <c r="M206" i="4"/>
  <c r="L206" i="4"/>
  <c r="J206" i="4"/>
  <c r="AB205" i="4"/>
  <c r="AA205" i="4"/>
  <c r="Z205" i="4"/>
  <c r="Y205" i="4"/>
  <c r="X205" i="4"/>
  <c r="W205" i="4"/>
  <c r="U205" i="4"/>
  <c r="T205" i="4"/>
  <c r="V205" i="4" s="1"/>
  <c r="S205" i="4"/>
  <c r="Q205" i="4"/>
  <c r="R205" i="4" s="1"/>
  <c r="O205" i="4"/>
  <c r="N205" i="4"/>
  <c r="P205" i="4" s="1"/>
  <c r="M205" i="4"/>
  <c r="L205" i="4"/>
  <c r="J205" i="4"/>
  <c r="AB204" i="4"/>
  <c r="AA204" i="4"/>
  <c r="Z204" i="4"/>
  <c r="Y204" i="4"/>
  <c r="X204" i="4"/>
  <c r="W204" i="4"/>
  <c r="T204" i="4"/>
  <c r="Q204" i="4"/>
  <c r="R204" i="4" s="1"/>
  <c r="O204" i="4"/>
  <c r="N204" i="4"/>
  <c r="P204" i="4" s="1"/>
  <c r="M204" i="4"/>
  <c r="L204" i="4"/>
  <c r="J204" i="4"/>
  <c r="AB203" i="4"/>
  <c r="AA203" i="4"/>
  <c r="Z203" i="4"/>
  <c r="Y203" i="4"/>
  <c r="X203" i="4"/>
  <c r="W203" i="4"/>
  <c r="T203" i="4"/>
  <c r="Q203" i="4"/>
  <c r="N203" i="4"/>
  <c r="M203" i="4"/>
  <c r="L203" i="4"/>
  <c r="J203" i="4"/>
  <c r="AB202" i="4"/>
  <c r="AA202" i="4"/>
  <c r="Z202" i="4"/>
  <c r="Y202" i="4"/>
  <c r="X202" i="4"/>
  <c r="W202" i="4"/>
  <c r="U202" i="4"/>
  <c r="T202" i="4"/>
  <c r="V202" i="4" s="1"/>
  <c r="Q202" i="4"/>
  <c r="R202" i="4" s="1"/>
  <c r="N202" i="4"/>
  <c r="M202" i="4"/>
  <c r="L202" i="4"/>
  <c r="J202" i="4"/>
  <c r="AB201" i="4"/>
  <c r="AA201" i="4"/>
  <c r="Z201" i="4"/>
  <c r="Y201" i="4"/>
  <c r="X201" i="4"/>
  <c r="W201" i="4"/>
  <c r="U201" i="4"/>
  <c r="T201" i="4"/>
  <c r="V201" i="4" s="1"/>
  <c r="S201" i="4"/>
  <c r="Q201" i="4"/>
  <c r="R201" i="4" s="1"/>
  <c r="O201" i="4"/>
  <c r="N201" i="4"/>
  <c r="P201" i="4" s="1"/>
  <c r="AB200" i="4"/>
  <c r="AA200" i="4"/>
  <c r="Z200" i="4"/>
  <c r="Y200" i="4"/>
  <c r="X200" i="4"/>
  <c r="W200" i="4"/>
  <c r="V200" i="4"/>
  <c r="T200" i="4"/>
  <c r="U200" i="4" s="1"/>
  <c r="R200" i="4"/>
  <c r="Q200" i="4"/>
  <c r="S200" i="4" s="1"/>
  <c r="P200" i="4"/>
  <c r="N200" i="4"/>
  <c r="O200" i="4" s="1"/>
  <c r="M200" i="4"/>
  <c r="L200" i="4"/>
  <c r="J200" i="4"/>
  <c r="AB199" i="4"/>
  <c r="AA199" i="4"/>
  <c r="Z199" i="4"/>
  <c r="Y199" i="4"/>
  <c r="X199" i="4"/>
  <c r="W199" i="4"/>
  <c r="T199" i="4"/>
  <c r="U199" i="4" s="1"/>
  <c r="R199" i="4"/>
  <c r="Q199" i="4"/>
  <c r="S199" i="4" s="1"/>
  <c r="N199" i="4"/>
  <c r="O199" i="4" s="1"/>
  <c r="M199" i="4"/>
  <c r="L199" i="4"/>
  <c r="J199" i="4"/>
  <c r="AB198" i="4"/>
  <c r="AA198" i="4"/>
  <c r="Z198" i="4"/>
  <c r="Y198" i="4"/>
  <c r="X198" i="4"/>
  <c r="W198" i="4"/>
  <c r="V198" i="4"/>
  <c r="T198" i="4"/>
  <c r="U198" i="4" s="1"/>
  <c r="R198" i="4"/>
  <c r="Q198" i="4"/>
  <c r="S198" i="4" s="1"/>
  <c r="P198" i="4"/>
  <c r="N198" i="4"/>
  <c r="O198" i="4" s="1"/>
  <c r="M198" i="4"/>
  <c r="L198" i="4"/>
  <c r="J198" i="4"/>
  <c r="AB197" i="4"/>
  <c r="AA197" i="4"/>
  <c r="Z197" i="4"/>
  <c r="Y197" i="4"/>
  <c r="X197" i="4"/>
  <c r="W197" i="4"/>
  <c r="T197" i="4"/>
  <c r="U197" i="4" s="1"/>
  <c r="R197" i="4"/>
  <c r="Q197" i="4"/>
  <c r="S197" i="4" s="1"/>
  <c r="N197" i="4"/>
  <c r="O197" i="4" s="1"/>
  <c r="M197" i="4"/>
  <c r="L197" i="4"/>
  <c r="J197" i="4"/>
  <c r="AB196" i="4"/>
  <c r="AA196" i="4"/>
  <c r="Z196" i="4"/>
  <c r="Y196" i="4"/>
  <c r="X196" i="4"/>
  <c r="W196" i="4"/>
  <c r="V196" i="4"/>
  <c r="T196" i="4"/>
  <c r="U196" i="4" s="1"/>
  <c r="R196" i="4"/>
  <c r="Q196" i="4"/>
  <c r="S196" i="4" s="1"/>
  <c r="P196" i="4"/>
  <c r="N196" i="4"/>
  <c r="O196" i="4" s="1"/>
  <c r="M196" i="4"/>
  <c r="L196" i="4"/>
  <c r="J196" i="4"/>
  <c r="AB195" i="4"/>
  <c r="AA195" i="4"/>
  <c r="Z195" i="4"/>
  <c r="Y195" i="4"/>
  <c r="X195" i="4"/>
  <c r="W195" i="4"/>
  <c r="T195" i="4"/>
  <c r="U195" i="4" s="1"/>
  <c r="R195" i="4"/>
  <c r="Q195" i="4"/>
  <c r="S195" i="4" s="1"/>
  <c r="N195" i="4"/>
  <c r="O195" i="4" s="1"/>
  <c r="M195" i="4"/>
  <c r="L195" i="4"/>
  <c r="J195" i="4"/>
  <c r="AB194" i="4"/>
  <c r="AA194" i="4"/>
  <c r="Z194" i="4"/>
  <c r="Y194" i="4"/>
  <c r="X194" i="4"/>
  <c r="W194" i="4"/>
  <c r="V194" i="4"/>
  <c r="T194" i="4"/>
  <c r="U194" i="4" s="1"/>
  <c r="R194" i="4"/>
  <c r="Q194" i="4"/>
  <c r="S194" i="4" s="1"/>
  <c r="P194" i="4"/>
  <c r="N194" i="4"/>
  <c r="O194" i="4" s="1"/>
  <c r="AB193" i="4"/>
  <c r="AA193" i="4"/>
  <c r="Z193" i="4"/>
  <c r="Y193" i="4"/>
  <c r="X193" i="4"/>
  <c r="W193" i="4"/>
  <c r="U193" i="4"/>
  <c r="T193" i="4"/>
  <c r="V193" i="4" s="1"/>
  <c r="S193" i="4"/>
  <c r="Q193" i="4"/>
  <c r="R193" i="4" s="1"/>
  <c r="O193" i="4"/>
  <c r="N193" i="4"/>
  <c r="P193" i="4" s="1"/>
  <c r="M193" i="4"/>
  <c r="L193" i="4"/>
  <c r="J193" i="4"/>
  <c r="AB192" i="4"/>
  <c r="AA192" i="4"/>
  <c r="Z192" i="4"/>
  <c r="Y192" i="4"/>
  <c r="X192" i="4"/>
  <c r="W192" i="4"/>
  <c r="T192" i="4"/>
  <c r="Q192" i="4"/>
  <c r="R192" i="4" s="1"/>
  <c r="O192" i="4"/>
  <c r="N192" i="4"/>
  <c r="P192" i="4" s="1"/>
  <c r="M192" i="4"/>
  <c r="L192" i="4"/>
  <c r="J192" i="4"/>
  <c r="AB191" i="4"/>
  <c r="AA191" i="4"/>
  <c r="Z191" i="4"/>
  <c r="Y191" i="4"/>
  <c r="X191" i="4"/>
  <c r="W191" i="4"/>
  <c r="T191" i="4"/>
  <c r="Q191" i="4"/>
  <c r="N191" i="4"/>
  <c r="M191" i="4"/>
  <c r="L191" i="4"/>
  <c r="J191" i="4"/>
  <c r="AB190" i="4"/>
  <c r="AA190" i="4"/>
  <c r="Z190" i="4"/>
  <c r="Y190" i="4"/>
  <c r="X190" i="4"/>
  <c r="W190" i="4"/>
  <c r="U190" i="4"/>
  <c r="T190" i="4"/>
  <c r="V190" i="4" s="1"/>
  <c r="Q190" i="4"/>
  <c r="R190" i="4" s="1"/>
  <c r="N190" i="4"/>
  <c r="M190" i="4"/>
  <c r="L190" i="4"/>
  <c r="J190" i="4"/>
  <c r="AB189" i="4"/>
  <c r="AA189" i="4"/>
  <c r="Z189" i="4"/>
  <c r="Y189" i="4"/>
  <c r="X189" i="4"/>
  <c r="W189" i="4"/>
  <c r="U189" i="4"/>
  <c r="T189" i="4"/>
  <c r="V189" i="4" s="1"/>
  <c r="S189" i="4"/>
  <c r="Q189" i="4"/>
  <c r="R189" i="4" s="1"/>
  <c r="O189" i="4"/>
  <c r="N189" i="4"/>
  <c r="P189" i="4" s="1"/>
  <c r="M189" i="4"/>
  <c r="L189" i="4"/>
  <c r="J189" i="4"/>
  <c r="AB188" i="4"/>
  <c r="AA188" i="4"/>
  <c r="Z188" i="4"/>
  <c r="Y188" i="4"/>
  <c r="X188" i="4"/>
  <c r="W188" i="4"/>
  <c r="T188" i="4"/>
  <c r="Q188" i="4"/>
  <c r="R188" i="4" s="1"/>
  <c r="O188" i="4"/>
  <c r="N188" i="4"/>
  <c r="P188" i="4" s="1"/>
  <c r="M188" i="4"/>
  <c r="L188" i="4"/>
  <c r="J188" i="4"/>
  <c r="AB187" i="4"/>
  <c r="AA187" i="4"/>
  <c r="Z187" i="4"/>
  <c r="Y187" i="4"/>
  <c r="X187" i="4"/>
  <c r="W187" i="4"/>
  <c r="T187" i="4"/>
  <c r="Q187" i="4"/>
  <c r="N187" i="4"/>
  <c r="AB186" i="4"/>
  <c r="AA186" i="4"/>
  <c r="Z186" i="4"/>
  <c r="Y186" i="4"/>
  <c r="X186" i="4"/>
  <c r="W186" i="4"/>
  <c r="T186" i="4"/>
  <c r="Q186" i="4"/>
  <c r="N186" i="4"/>
  <c r="M186" i="4"/>
  <c r="L186" i="4"/>
  <c r="J186" i="4"/>
  <c r="AB185" i="4"/>
  <c r="AA185" i="4"/>
  <c r="Z185" i="4"/>
  <c r="Y185" i="4"/>
  <c r="X185" i="4"/>
  <c r="W185" i="4"/>
  <c r="T185" i="4"/>
  <c r="U185" i="4" s="1"/>
  <c r="Q185" i="4"/>
  <c r="N185" i="4"/>
  <c r="O185" i="4" s="1"/>
  <c r="M185" i="4"/>
  <c r="L185" i="4"/>
  <c r="J185" i="4"/>
  <c r="AB184" i="4"/>
  <c r="AA184" i="4"/>
  <c r="Z184" i="4"/>
  <c r="Y184" i="4"/>
  <c r="X184" i="4"/>
  <c r="W184" i="4"/>
  <c r="T184" i="4"/>
  <c r="Q184" i="4"/>
  <c r="N184" i="4"/>
  <c r="M184" i="4"/>
  <c r="L184" i="4"/>
  <c r="J184" i="4"/>
  <c r="AB183" i="4"/>
  <c r="AA183" i="4"/>
  <c r="Z183" i="4"/>
  <c r="Y183" i="4"/>
  <c r="X183" i="4"/>
  <c r="W183" i="4"/>
  <c r="T183" i="4"/>
  <c r="U183" i="4" s="1"/>
  <c r="Q183" i="4"/>
  <c r="N183" i="4"/>
  <c r="O183" i="4" s="1"/>
  <c r="M183" i="4"/>
  <c r="L183" i="4"/>
  <c r="J183" i="4"/>
  <c r="AB182" i="4"/>
  <c r="AA182" i="4"/>
  <c r="Z182" i="4"/>
  <c r="Y182" i="4"/>
  <c r="X182" i="4"/>
  <c r="W182" i="4"/>
  <c r="V182" i="4"/>
  <c r="T182" i="4"/>
  <c r="U182" i="4" s="1"/>
  <c r="R182" i="4"/>
  <c r="Q182" i="4"/>
  <c r="S182" i="4" s="1"/>
  <c r="P182" i="4"/>
  <c r="N182" i="4"/>
  <c r="O182" i="4" s="1"/>
  <c r="M182" i="4"/>
  <c r="L182" i="4"/>
  <c r="J182" i="4"/>
  <c r="AB181" i="4"/>
  <c r="AA181" i="4"/>
  <c r="Z181" i="4"/>
  <c r="Y181" i="4"/>
  <c r="X181" i="4"/>
  <c r="W181" i="4"/>
  <c r="T181" i="4"/>
  <c r="U181" i="4" s="1"/>
  <c r="R181" i="4"/>
  <c r="Q181" i="4"/>
  <c r="S181" i="4" s="1"/>
  <c r="N181" i="4"/>
  <c r="O181" i="4" s="1"/>
  <c r="M181" i="4"/>
  <c r="L181" i="4"/>
  <c r="J181" i="4"/>
  <c r="AB180" i="4"/>
  <c r="AA180" i="4"/>
  <c r="Z180" i="4"/>
  <c r="Y180" i="4"/>
  <c r="X180" i="4"/>
  <c r="W180" i="4"/>
  <c r="V180" i="4"/>
  <c r="T180" i="4"/>
  <c r="U180" i="4" s="1"/>
  <c r="R180" i="4"/>
  <c r="Q180" i="4"/>
  <c r="S180" i="4" s="1"/>
  <c r="P180" i="4"/>
  <c r="N180" i="4"/>
  <c r="O180" i="4" s="1"/>
  <c r="AB179" i="4"/>
  <c r="AA179" i="4"/>
  <c r="Z179" i="4"/>
  <c r="Y179" i="4"/>
  <c r="X179" i="4"/>
  <c r="W179" i="4"/>
  <c r="U179" i="4"/>
  <c r="T179" i="4"/>
  <c r="V179" i="4" s="1"/>
  <c r="S179" i="4"/>
  <c r="Q179" i="4"/>
  <c r="R179" i="4" s="1"/>
  <c r="O179" i="4"/>
  <c r="N179" i="4"/>
  <c r="P179" i="4" s="1"/>
  <c r="M179" i="4"/>
  <c r="L179" i="4"/>
  <c r="J179" i="4"/>
  <c r="AB178" i="4"/>
  <c r="AA178" i="4"/>
  <c r="Z178" i="4"/>
  <c r="Y178" i="4"/>
  <c r="X178" i="4"/>
  <c r="W178" i="4"/>
  <c r="T178" i="4"/>
  <c r="V178" i="4" s="1"/>
  <c r="Q178" i="4"/>
  <c r="R178" i="4" s="1"/>
  <c r="O178" i="4"/>
  <c r="N178" i="4"/>
  <c r="P178" i="4" s="1"/>
  <c r="M178" i="4"/>
  <c r="L178" i="4"/>
  <c r="J178" i="4"/>
  <c r="AB177" i="4"/>
  <c r="AA177" i="4"/>
  <c r="Z177" i="4"/>
  <c r="Y177" i="4"/>
  <c r="X177" i="4"/>
  <c r="W177" i="4"/>
  <c r="T177" i="4"/>
  <c r="V177" i="4" s="1"/>
  <c r="Q177" i="4"/>
  <c r="R177" i="4" s="1"/>
  <c r="N177" i="4"/>
  <c r="P177" i="4" s="1"/>
  <c r="M177" i="4"/>
  <c r="L177" i="4"/>
  <c r="J177" i="4"/>
  <c r="AB176" i="4"/>
  <c r="AA176" i="4"/>
  <c r="Z176" i="4"/>
  <c r="Y176" i="4"/>
  <c r="X176" i="4"/>
  <c r="W176" i="4"/>
  <c r="U176" i="4"/>
  <c r="T176" i="4"/>
  <c r="V176" i="4" s="1"/>
  <c r="Q176" i="4"/>
  <c r="R176" i="4" s="1"/>
  <c r="N176" i="4"/>
  <c r="P176" i="4" s="1"/>
  <c r="M176" i="4"/>
  <c r="L176" i="4"/>
  <c r="J176" i="4"/>
  <c r="AB175" i="4"/>
  <c r="AA175" i="4"/>
  <c r="Z175" i="4"/>
  <c r="Y175" i="4"/>
  <c r="X175" i="4"/>
  <c r="W175" i="4"/>
  <c r="U175" i="4"/>
  <c r="T175" i="4"/>
  <c r="V175" i="4" s="1"/>
  <c r="S175" i="4"/>
  <c r="Q175" i="4"/>
  <c r="R175" i="4" s="1"/>
  <c r="O175" i="4"/>
  <c r="N175" i="4"/>
  <c r="P175" i="4" s="1"/>
  <c r="M175" i="4"/>
  <c r="L175" i="4"/>
  <c r="J175" i="4"/>
  <c r="AB174" i="4"/>
  <c r="AA174" i="4"/>
  <c r="Z174" i="4"/>
  <c r="Y174" i="4"/>
  <c r="X174" i="4"/>
  <c r="W174" i="4"/>
  <c r="T174" i="4"/>
  <c r="V174" i="4" s="1"/>
  <c r="Q174" i="4"/>
  <c r="R174" i="4" s="1"/>
  <c r="O174" i="4"/>
  <c r="N174" i="4"/>
  <c r="P174" i="4" s="1"/>
  <c r="M174" i="4"/>
  <c r="L174" i="4"/>
  <c r="J174" i="4"/>
  <c r="AB173" i="4"/>
  <c r="AA173" i="4"/>
  <c r="Z173" i="4"/>
  <c r="Y173" i="4"/>
  <c r="X173" i="4"/>
  <c r="W173" i="4"/>
  <c r="T173" i="4"/>
  <c r="V173" i="4" s="1"/>
  <c r="Q173" i="4"/>
  <c r="R173" i="4" s="1"/>
  <c r="N173" i="4"/>
  <c r="P173" i="4" s="1"/>
  <c r="AB172" i="4"/>
  <c r="AA172" i="4"/>
  <c r="Z172" i="4"/>
  <c r="Y172" i="4"/>
  <c r="X172" i="4"/>
  <c r="W172" i="4"/>
  <c r="T172" i="4"/>
  <c r="U172" i="4" s="1"/>
  <c r="Q172" i="4"/>
  <c r="S172" i="4" s="1"/>
  <c r="N172" i="4"/>
  <c r="O172" i="4" s="1"/>
  <c r="M172" i="4"/>
  <c r="L172" i="4"/>
  <c r="J172" i="4"/>
  <c r="AB171" i="4"/>
  <c r="AA171" i="4"/>
  <c r="Z171" i="4"/>
  <c r="Y171" i="4"/>
  <c r="X171" i="4"/>
  <c r="W171" i="4"/>
  <c r="T171" i="4"/>
  <c r="U171" i="4" s="1"/>
  <c r="Q171" i="4"/>
  <c r="S171" i="4" s="1"/>
  <c r="N171" i="4"/>
  <c r="O171" i="4" s="1"/>
  <c r="M171" i="4"/>
  <c r="L171" i="4"/>
  <c r="J171" i="4"/>
  <c r="AB170" i="4"/>
  <c r="AA170" i="4"/>
  <c r="Z170" i="4"/>
  <c r="Y170" i="4"/>
  <c r="X170" i="4"/>
  <c r="W170" i="4"/>
  <c r="T170" i="4"/>
  <c r="U170" i="4" s="1"/>
  <c r="Q170" i="4"/>
  <c r="S170" i="4" s="1"/>
  <c r="N170" i="4"/>
  <c r="O170" i="4" s="1"/>
  <c r="M170" i="4"/>
  <c r="L170" i="4"/>
  <c r="J170" i="4"/>
  <c r="AB169" i="4"/>
  <c r="AA169" i="4"/>
  <c r="Z169" i="4"/>
  <c r="Y169" i="4"/>
  <c r="X169" i="4"/>
  <c r="W169" i="4"/>
  <c r="T169" i="4"/>
  <c r="U169" i="4" s="1"/>
  <c r="Q169" i="4"/>
  <c r="S169" i="4" s="1"/>
  <c r="N169" i="4"/>
  <c r="O169" i="4" s="1"/>
  <c r="M169" i="4"/>
  <c r="L169" i="4"/>
  <c r="J169" i="4"/>
  <c r="AB168" i="4"/>
  <c r="AA168" i="4"/>
  <c r="Z168" i="4"/>
  <c r="Y168" i="4"/>
  <c r="X168" i="4"/>
  <c r="W168" i="4"/>
  <c r="T168" i="4"/>
  <c r="U168" i="4" s="1"/>
  <c r="Q168" i="4"/>
  <c r="S168" i="4" s="1"/>
  <c r="N168" i="4"/>
  <c r="O168" i="4" s="1"/>
  <c r="M168" i="4"/>
  <c r="L168" i="4"/>
  <c r="J168" i="4"/>
  <c r="AB167" i="4"/>
  <c r="AA167" i="4"/>
  <c r="Z167" i="4"/>
  <c r="Y167" i="4"/>
  <c r="X167" i="4"/>
  <c r="W167" i="4"/>
  <c r="T167" i="4"/>
  <c r="U167" i="4" s="1"/>
  <c r="Q167" i="4"/>
  <c r="S167" i="4" s="1"/>
  <c r="N167" i="4"/>
  <c r="O167" i="4" s="1"/>
  <c r="M167" i="4"/>
  <c r="L167" i="4"/>
  <c r="J167" i="4"/>
  <c r="AB166" i="4"/>
  <c r="AA166" i="4"/>
  <c r="Z166" i="4"/>
  <c r="Y166" i="4"/>
  <c r="X166" i="4"/>
  <c r="W166" i="4"/>
  <c r="T166" i="4"/>
  <c r="U166" i="4" s="1"/>
  <c r="Q166" i="4"/>
  <c r="S166" i="4" s="1"/>
  <c r="N166" i="4"/>
  <c r="O166" i="4" s="1"/>
  <c r="AB165" i="4"/>
  <c r="AA165" i="4"/>
  <c r="Z165" i="4"/>
  <c r="Y165" i="4"/>
  <c r="X165" i="4"/>
  <c r="W165" i="4"/>
  <c r="T165" i="4"/>
  <c r="V165" i="4" s="1"/>
  <c r="Q165" i="4"/>
  <c r="R165" i="4" s="1"/>
  <c r="N165" i="4"/>
  <c r="P165" i="4" s="1"/>
  <c r="M165" i="4"/>
  <c r="L165" i="4"/>
  <c r="J165" i="4"/>
  <c r="AB164" i="4"/>
  <c r="AA164" i="4"/>
  <c r="Z164" i="4"/>
  <c r="Y164" i="4"/>
  <c r="X164" i="4"/>
  <c r="W164" i="4"/>
  <c r="U164" i="4"/>
  <c r="T164" i="4"/>
  <c r="V164" i="4" s="1"/>
  <c r="Q164" i="4"/>
  <c r="R164" i="4" s="1"/>
  <c r="N164" i="4"/>
  <c r="P164" i="4" s="1"/>
  <c r="M164" i="4"/>
  <c r="L164" i="4"/>
  <c r="J164" i="4"/>
  <c r="AB163" i="4"/>
  <c r="AA163" i="4"/>
  <c r="Z163" i="4"/>
  <c r="Y163" i="4"/>
  <c r="X163" i="4"/>
  <c r="W163" i="4"/>
  <c r="U163" i="4"/>
  <c r="T163" i="4"/>
  <c r="V163" i="4" s="1"/>
  <c r="S163" i="4"/>
  <c r="Q163" i="4"/>
  <c r="R163" i="4" s="1"/>
  <c r="O163" i="4"/>
  <c r="N163" i="4"/>
  <c r="P163" i="4" s="1"/>
  <c r="M163" i="4"/>
  <c r="L163" i="4"/>
  <c r="J163" i="4"/>
  <c r="AB162" i="4"/>
  <c r="AA162" i="4"/>
  <c r="Z162" i="4"/>
  <c r="Y162" i="4"/>
  <c r="X162" i="4"/>
  <c r="W162" i="4"/>
  <c r="T162" i="4"/>
  <c r="V162" i="4" s="1"/>
  <c r="Q162" i="4"/>
  <c r="R162" i="4" s="1"/>
  <c r="O162" i="4"/>
  <c r="N162" i="4"/>
  <c r="P162" i="4" s="1"/>
  <c r="M162" i="4"/>
  <c r="L162" i="4"/>
  <c r="J162" i="4"/>
  <c r="AB161" i="4"/>
  <c r="AA161" i="4"/>
  <c r="Z161" i="4"/>
  <c r="Y161" i="4"/>
  <c r="X161" i="4"/>
  <c r="W161" i="4"/>
  <c r="T161" i="4"/>
  <c r="V161" i="4" s="1"/>
  <c r="Q161" i="4"/>
  <c r="R161" i="4" s="1"/>
  <c r="N161" i="4"/>
  <c r="P161" i="4" s="1"/>
  <c r="M161" i="4"/>
  <c r="L161" i="4"/>
  <c r="J161" i="4"/>
  <c r="AB160" i="4"/>
  <c r="AA160" i="4"/>
  <c r="Z160" i="4"/>
  <c r="Y160" i="4"/>
  <c r="X160" i="4"/>
  <c r="W160" i="4"/>
  <c r="U160" i="4"/>
  <c r="T160" i="4"/>
  <c r="V160" i="4" s="1"/>
  <c r="Q160" i="4"/>
  <c r="R160" i="4" s="1"/>
  <c r="N160" i="4"/>
  <c r="P160" i="4" s="1"/>
  <c r="M160" i="4"/>
  <c r="L160" i="4"/>
  <c r="J160" i="4"/>
  <c r="AB159" i="4"/>
  <c r="AA159" i="4"/>
  <c r="Z159" i="4"/>
  <c r="Y159" i="4"/>
  <c r="X159" i="4"/>
  <c r="W159" i="4"/>
  <c r="U159" i="4"/>
  <c r="T159" i="4"/>
  <c r="V159" i="4" s="1"/>
  <c r="S159" i="4"/>
  <c r="Q159" i="4"/>
  <c r="R159" i="4" s="1"/>
  <c r="O159" i="4"/>
  <c r="N159" i="4"/>
  <c r="P159" i="4" s="1"/>
  <c r="AB158" i="4"/>
  <c r="AA158" i="4"/>
  <c r="Z158" i="4"/>
  <c r="Y158" i="4"/>
  <c r="X158" i="4"/>
  <c r="W158" i="4"/>
  <c r="V158" i="4"/>
  <c r="T158" i="4"/>
  <c r="U158" i="4" s="1"/>
  <c r="R158" i="4"/>
  <c r="Q158" i="4"/>
  <c r="S158" i="4" s="1"/>
  <c r="P158" i="4"/>
  <c r="N158" i="4"/>
  <c r="O158" i="4" s="1"/>
  <c r="M158" i="4"/>
  <c r="L158" i="4"/>
  <c r="J158" i="4"/>
  <c r="AB157" i="4"/>
  <c r="AA157" i="4"/>
  <c r="Z157" i="4"/>
  <c r="Y157" i="4"/>
  <c r="X157" i="4"/>
  <c r="W157" i="4"/>
  <c r="T157" i="4"/>
  <c r="U157" i="4" s="1"/>
  <c r="R157" i="4"/>
  <c r="Q157" i="4"/>
  <c r="S157" i="4" s="1"/>
  <c r="N157" i="4"/>
  <c r="O157" i="4" s="1"/>
  <c r="M157" i="4"/>
  <c r="L157" i="4"/>
  <c r="J157" i="4"/>
  <c r="AB156" i="4"/>
  <c r="AA156" i="4"/>
  <c r="Z156" i="4"/>
  <c r="Y156" i="4"/>
  <c r="X156" i="4"/>
  <c r="W156" i="4"/>
  <c r="V156" i="4"/>
  <c r="T156" i="4"/>
  <c r="U156" i="4" s="1"/>
  <c r="R156" i="4"/>
  <c r="Q156" i="4"/>
  <c r="S156" i="4" s="1"/>
  <c r="P156" i="4"/>
  <c r="N156" i="4"/>
  <c r="O156" i="4" s="1"/>
  <c r="M156" i="4"/>
  <c r="L156" i="4"/>
  <c r="J156" i="4"/>
  <c r="AB155" i="4"/>
  <c r="AA155" i="4"/>
  <c r="Z155" i="4"/>
  <c r="Y155" i="4"/>
  <c r="X155" i="4"/>
  <c r="W155" i="4"/>
  <c r="T155" i="4"/>
  <c r="U155" i="4" s="1"/>
  <c r="R155" i="4"/>
  <c r="Q155" i="4"/>
  <c r="S155" i="4" s="1"/>
  <c r="N155" i="4"/>
  <c r="O155" i="4" s="1"/>
  <c r="M155" i="4"/>
  <c r="L155" i="4"/>
  <c r="J155" i="4"/>
  <c r="AB154" i="4"/>
  <c r="AA154" i="4"/>
  <c r="Z154" i="4"/>
  <c r="Y154" i="4"/>
  <c r="X154" i="4"/>
  <c r="W154" i="4"/>
  <c r="V154" i="4"/>
  <c r="T154" i="4"/>
  <c r="U154" i="4" s="1"/>
  <c r="R154" i="4"/>
  <c r="Q154" i="4"/>
  <c r="S154" i="4" s="1"/>
  <c r="P154" i="4"/>
  <c r="N154" i="4"/>
  <c r="O154" i="4" s="1"/>
  <c r="M154" i="4"/>
  <c r="L154" i="4"/>
  <c r="J154" i="4"/>
  <c r="AB153" i="4"/>
  <c r="AA153" i="4"/>
  <c r="Z153" i="4"/>
  <c r="Y153" i="4"/>
  <c r="X153" i="4"/>
  <c r="W153" i="4"/>
  <c r="T153" i="4"/>
  <c r="U153" i="4" s="1"/>
  <c r="R153" i="4"/>
  <c r="Q153" i="4"/>
  <c r="S153" i="4" s="1"/>
  <c r="N153" i="4"/>
  <c r="O153" i="4" s="1"/>
  <c r="M153" i="4"/>
  <c r="L153" i="4"/>
  <c r="J153" i="4"/>
  <c r="AB152" i="4"/>
  <c r="AA152" i="4"/>
  <c r="Z152" i="4"/>
  <c r="Y152" i="4"/>
  <c r="X152" i="4"/>
  <c r="W152" i="4"/>
  <c r="V152" i="4"/>
  <c r="T152" i="4"/>
  <c r="U152" i="4" s="1"/>
  <c r="R152" i="4"/>
  <c r="Q152" i="4"/>
  <c r="S152" i="4" s="1"/>
  <c r="P152" i="4"/>
  <c r="N152" i="4"/>
  <c r="O152" i="4" s="1"/>
  <c r="AB151" i="4"/>
  <c r="AA151" i="4"/>
  <c r="Z151" i="4"/>
  <c r="Y151" i="4"/>
  <c r="X151" i="4"/>
  <c r="W151" i="4"/>
  <c r="U151" i="4"/>
  <c r="T151" i="4"/>
  <c r="V151" i="4" s="1"/>
  <c r="S151" i="4"/>
  <c r="Q151" i="4"/>
  <c r="R151" i="4" s="1"/>
  <c r="O151" i="4"/>
  <c r="N151" i="4"/>
  <c r="P151" i="4" s="1"/>
  <c r="M151" i="4"/>
  <c r="L151" i="4"/>
  <c r="J151" i="4"/>
  <c r="AB150" i="4"/>
  <c r="AA150" i="4"/>
  <c r="Z150" i="4"/>
  <c r="Y150" i="4"/>
  <c r="X150" i="4"/>
  <c r="W150" i="4"/>
  <c r="T150" i="4"/>
  <c r="V150" i="4" s="1"/>
  <c r="Q150" i="4"/>
  <c r="R150" i="4" s="1"/>
  <c r="O150" i="4"/>
  <c r="N150" i="4"/>
  <c r="P150" i="4" s="1"/>
  <c r="M150" i="4"/>
  <c r="L150" i="4"/>
  <c r="J150" i="4"/>
  <c r="AB149" i="4"/>
  <c r="AA149" i="4"/>
  <c r="Z149" i="4"/>
  <c r="Y149" i="4"/>
  <c r="X149" i="4"/>
  <c r="W149" i="4"/>
  <c r="T149" i="4"/>
  <c r="V149" i="4" s="1"/>
  <c r="Q149" i="4"/>
  <c r="R149" i="4" s="1"/>
  <c r="N149" i="4"/>
  <c r="P149" i="4" s="1"/>
  <c r="M149" i="4"/>
  <c r="L149" i="4"/>
  <c r="J149" i="4"/>
  <c r="AB148" i="4"/>
  <c r="AA148" i="4"/>
  <c r="Z148" i="4"/>
  <c r="Y148" i="4"/>
  <c r="X148" i="4"/>
  <c r="W148" i="4"/>
  <c r="U148" i="4"/>
  <c r="T148" i="4"/>
  <c r="V148" i="4" s="1"/>
  <c r="Q148" i="4"/>
  <c r="R148" i="4" s="1"/>
  <c r="N148" i="4"/>
  <c r="P148" i="4" s="1"/>
  <c r="M148" i="4"/>
  <c r="L148" i="4"/>
  <c r="J148" i="4"/>
  <c r="AB147" i="4"/>
  <c r="AA147" i="4"/>
  <c r="Z147" i="4"/>
  <c r="Y147" i="4"/>
  <c r="X147" i="4"/>
  <c r="W147" i="4"/>
  <c r="U147" i="4"/>
  <c r="T147" i="4"/>
  <c r="V147" i="4" s="1"/>
  <c r="S147" i="4"/>
  <c r="Q147" i="4"/>
  <c r="R147" i="4" s="1"/>
  <c r="O147" i="4"/>
  <c r="N147" i="4"/>
  <c r="P147" i="4" s="1"/>
  <c r="M147" i="4"/>
  <c r="L147" i="4"/>
  <c r="J147" i="4"/>
  <c r="AB146" i="4"/>
  <c r="AA146" i="4"/>
  <c r="Z146" i="4"/>
  <c r="Y146" i="4"/>
  <c r="X146" i="4"/>
  <c r="W146" i="4"/>
  <c r="T146" i="4"/>
  <c r="V146" i="4" s="1"/>
  <c r="Q146" i="4"/>
  <c r="R146" i="4" s="1"/>
  <c r="O146" i="4"/>
  <c r="N146" i="4"/>
  <c r="P146" i="4" s="1"/>
  <c r="M146" i="4"/>
  <c r="L146" i="4"/>
  <c r="J146" i="4"/>
  <c r="AB145" i="4"/>
  <c r="AA145" i="4"/>
  <c r="Z145" i="4"/>
  <c r="Y145" i="4"/>
  <c r="X145" i="4"/>
  <c r="W145" i="4"/>
  <c r="T145" i="4"/>
  <c r="V145" i="4" s="1"/>
  <c r="Q145" i="4"/>
  <c r="R145" i="4" s="1"/>
  <c r="N145" i="4"/>
  <c r="P145" i="4" s="1"/>
  <c r="AB144" i="4"/>
  <c r="AA144" i="4"/>
  <c r="Z144" i="4"/>
  <c r="Y144" i="4"/>
  <c r="X144" i="4"/>
  <c r="W144" i="4"/>
  <c r="T144" i="4"/>
  <c r="U144" i="4" s="1"/>
  <c r="Q144" i="4"/>
  <c r="S144" i="4" s="1"/>
  <c r="N144" i="4"/>
  <c r="O144" i="4" s="1"/>
  <c r="M144" i="4"/>
  <c r="L144" i="4"/>
  <c r="J144" i="4"/>
  <c r="AB143" i="4"/>
  <c r="AA143" i="4"/>
  <c r="Z143" i="4"/>
  <c r="Y143" i="4"/>
  <c r="X143" i="4"/>
  <c r="W143" i="4"/>
  <c r="T143" i="4"/>
  <c r="U143" i="4" s="1"/>
  <c r="Q143" i="4"/>
  <c r="S143" i="4" s="1"/>
  <c r="N143" i="4"/>
  <c r="O143" i="4" s="1"/>
  <c r="M143" i="4"/>
  <c r="L143" i="4"/>
  <c r="J143" i="4"/>
  <c r="AB142" i="4"/>
  <c r="AA142" i="4"/>
  <c r="Z142" i="4"/>
  <c r="Y142" i="4"/>
  <c r="X142" i="4"/>
  <c r="W142" i="4"/>
  <c r="T142" i="4"/>
  <c r="U142" i="4" s="1"/>
  <c r="Q142" i="4"/>
  <c r="S142" i="4" s="1"/>
  <c r="N142" i="4"/>
  <c r="O142" i="4" s="1"/>
  <c r="M142" i="4"/>
  <c r="L142" i="4"/>
  <c r="J142" i="4"/>
  <c r="AB141" i="4"/>
  <c r="AA141" i="4"/>
  <c r="Z141" i="4"/>
  <c r="Y141" i="4"/>
  <c r="X141" i="4"/>
  <c r="W141" i="4"/>
  <c r="T141" i="4"/>
  <c r="U141" i="4" s="1"/>
  <c r="Q141" i="4"/>
  <c r="S141" i="4" s="1"/>
  <c r="N141" i="4"/>
  <c r="O141" i="4" s="1"/>
  <c r="M141" i="4"/>
  <c r="L141" i="4"/>
  <c r="J141" i="4"/>
  <c r="AB140" i="4"/>
  <c r="AA140" i="4"/>
  <c r="Z140" i="4"/>
  <c r="Y140" i="4"/>
  <c r="X140" i="4"/>
  <c r="W140" i="4"/>
  <c r="T140" i="4"/>
  <c r="U140" i="4" s="1"/>
  <c r="Q140" i="4"/>
  <c r="S140" i="4" s="1"/>
  <c r="N140" i="4"/>
  <c r="O140" i="4" s="1"/>
  <c r="M140" i="4"/>
  <c r="L140" i="4"/>
  <c r="J140" i="4"/>
  <c r="AB139" i="4"/>
  <c r="AA139" i="4"/>
  <c r="Z139" i="4"/>
  <c r="Y139" i="4"/>
  <c r="X139" i="4"/>
  <c r="W139" i="4"/>
  <c r="T139" i="4"/>
  <c r="U139" i="4" s="1"/>
  <c r="Q139" i="4"/>
  <c r="S139" i="4" s="1"/>
  <c r="N139" i="4"/>
  <c r="O139" i="4" s="1"/>
  <c r="M139" i="4"/>
  <c r="L139" i="4"/>
  <c r="J139" i="4"/>
  <c r="AB138" i="4"/>
  <c r="AA138" i="4"/>
  <c r="Z138" i="4"/>
  <c r="Y138" i="4"/>
  <c r="X138" i="4"/>
  <c r="W138" i="4"/>
  <c r="T138" i="4"/>
  <c r="U138" i="4" s="1"/>
  <c r="Q138" i="4"/>
  <c r="S138" i="4" s="1"/>
  <c r="N138" i="4"/>
  <c r="O138" i="4" s="1"/>
  <c r="AB137" i="4"/>
  <c r="AA137" i="4"/>
  <c r="Z137" i="4"/>
  <c r="Y137" i="4"/>
  <c r="X137" i="4"/>
  <c r="W137" i="4"/>
  <c r="T137" i="4"/>
  <c r="V137" i="4" s="1"/>
  <c r="Q137" i="4"/>
  <c r="R137" i="4" s="1"/>
  <c r="N137" i="4"/>
  <c r="P137" i="4" s="1"/>
  <c r="M137" i="4"/>
  <c r="L137" i="4"/>
  <c r="J137" i="4"/>
  <c r="AB136" i="4"/>
  <c r="AA136" i="4"/>
  <c r="Z136" i="4"/>
  <c r="Y136" i="4"/>
  <c r="X136" i="4"/>
  <c r="W136" i="4"/>
  <c r="U136" i="4"/>
  <c r="T136" i="4"/>
  <c r="V136" i="4" s="1"/>
  <c r="Q136" i="4"/>
  <c r="R136" i="4" s="1"/>
  <c r="N136" i="4"/>
  <c r="P136" i="4" s="1"/>
  <c r="M136" i="4"/>
  <c r="L136" i="4"/>
  <c r="J136" i="4"/>
  <c r="AB135" i="4"/>
  <c r="AA135" i="4"/>
  <c r="Z135" i="4"/>
  <c r="Y135" i="4"/>
  <c r="X135" i="4"/>
  <c r="W135" i="4"/>
  <c r="U135" i="4"/>
  <c r="T135" i="4"/>
  <c r="V135" i="4" s="1"/>
  <c r="S135" i="4"/>
  <c r="Q135" i="4"/>
  <c r="R135" i="4" s="1"/>
  <c r="O135" i="4"/>
  <c r="N135" i="4"/>
  <c r="P135" i="4" s="1"/>
  <c r="M135" i="4"/>
  <c r="L135" i="4"/>
  <c r="J135" i="4"/>
  <c r="AB134" i="4"/>
  <c r="AA134" i="4"/>
  <c r="Z134" i="4"/>
  <c r="Y134" i="4"/>
  <c r="X134" i="4"/>
  <c r="W134" i="4"/>
  <c r="T134" i="4"/>
  <c r="V134" i="4" s="1"/>
  <c r="Q134" i="4"/>
  <c r="R134" i="4" s="1"/>
  <c r="O134" i="4"/>
  <c r="N134" i="4"/>
  <c r="P134" i="4" s="1"/>
  <c r="M134" i="4"/>
  <c r="L134" i="4"/>
  <c r="J134" i="4"/>
  <c r="AB133" i="4"/>
  <c r="AA133" i="4"/>
  <c r="Z133" i="4"/>
  <c r="Y133" i="4"/>
  <c r="X133" i="4"/>
  <c r="W133" i="4"/>
  <c r="T133" i="4"/>
  <c r="V133" i="4" s="1"/>
  <c r="Q133" i="4"/>
  <c r="R133" i="4" s="1"/>
  <c r="N133" i="4"/>
  <c r="P133" i="4" s="1"/>
  <c r="M133" i="4"/>
  <c r="L133" i="4"/>
  <c r="J133" i="4"/>
  <c r="AB132" i="4"/>
  <c r="AA132" i="4"/>
  <c r="Z132" i="4"/>
  <c r="Y132" i="4"/>
  <c r="X132" i="4"/>
  <c r="W132" i="4"/>
  <c r="U132" i="4"/>
  <c r="T132" i="4"/>
  <c r="V132" i="4" s="1"/>
  <c r="Q132" i="4"/>
  <c r="R132" i="4" s="1"/>
  <c r="N132" i="4"/>
  <c r="P132" i="4" s="1"/>
  <c r="M132" i="4"/>
  <c r="L132" i="4"/>
  <c r="J132" i="4"/>
  <c r="AB131" i="4"/>
  <c r="AA131" i="4"/>
  <c r="Z131" i="4"/>
  <c r="Y131" i="4"/>
  <c r="X131" i="4"/>
  <c r="W131" i="4"/>
  <c r="U131" i="4"/>
  <c r="T131" i="4"/>
  <c r="V131" i="4" s="1"/>
  <c r="S131" i="4"/>
  <c r="Q131" i="4"/>
  <c r="R131" i="4" s="1"/>
  <c r="O131" i="4"/>
  <c r="N131" i="4"/>
  <c r="P131" i="4" s="1"/>
  <c r="AB130" i="4"/>
  <c r="AA130" i="4"/>
  <c r="Z130" i="4"/>
  <c r="Y130" i="4"/>
  <c r="X130" i="4"/>
  <c r="W130" i="4"/>
  <c r="V130" i="4"/>
  <c r="T130" i="4"/>
  <c r="U130" i="4" s="1"/>
  <c r="R130" i="4"/>
  <c r="Q130" i="4"/>
  <c r="S130" i="4" s="1"/>
  <c r="P130" i="4"/>
  <c r="N130" i="4"/>
  <c r="O130" i="4" s="1"/>
  <c r="M130" i="4"/>
  <c r="L130" i="4"/>
  <c r="J130" i="4"/>
  <c r="AB129" i="4"/>
  <c r="AA129" i="4"/>
  <c r="Z129" i="4"/>
  <c r="Y129" i="4"/>
  <c r="X129" i="4"/>
  <c r="W129" i="4"/>
  <c r="T129" i="4"/>
  <c r="U129" i="4" s="1"/>
  <c r="R129" i="4"/>
  <c r="Q129" i="4"/>
  <c r="S129" i="4" s="1"/>
  <c r="N129" i="4"/>
  <c r="O129" i="4" s="1"/>
  <c r="M129" i="4"/>
  <c r="L129" i="4"/>
  <c r="J129" i="4"/>
  <c r="AB128" i="4"/>
  <c r="AA128" i="4"/>
  <c r="Z128" i="4"/>
  <c r="Y128" i="4"/>
  <c r="X128" i="4"/>
  <c r="W128" i="4"/>
  <c r="V128" i="4"/>
  <c r="T128" i="4"/>
  <c r="U128" i="4" s="1"/>
  <c r="R128" i="4"/>
  <c r="Q128" i="4"/>
  <c r="S128" i="4" s="1"/>
  <c r="P128" i="4"/>
  <c r="N128" i="4"/>
  <c r="O128" i="4" s="1"/>
  <c r="M128" i="4"/>
  <c r="L128" i="4"/>
  <c r="J128" i="4"/>
  <c r="AB127" i="4"/>
  <c r="AA127" i="4"/>
  <c r="Z127" i="4"/>
  <c r="Y127" i="4"/>
  <c r="X127" i="4"/>
  <c r="W127" i="4"/>
  <c r="T127" i="4"/>
  <c r="U127" i="4" s="1"/>
  <c r="R127" i="4"/>
  <c r="Q127" i="4"/>
  <c r="S127" i="4" s="1"/>
  <c r="N127" i="4"/>
  <c r="O127" i="4" s="1"/>
  <c r="M127" i="4"/>
  <c r="L127" i="4"/>
  <c r="J127" i="4"/>
  <c r="AB126" i="4"/>
  <c r="AA126" i="4"/>
  <c r="Z126" i="4"/>
  <c r="Y126" i="4"/>
  <c r="X126" i="4"/>
  <c r="W126" i="4"/>
  <c r="V126" i="4"/>
  <c r="T126" i="4"/>
  <c r="U126" i="4" s="1"/>
  <c r="R126" i="4"/>
  <c r="Q126" i="4"/>
  <c r="S126" i="4" s="1"/>
  <c r="P126" i="4"/>
  <c r="N126" i="4"/>
  <c r="O126" i="4" s="1"/>
  <c r="M126" i="4"/>
  <c r="L126" i="4"/>
  <c r="J126" i="4"/>
  <c r="AB125" i="4"/>
  <c r="AA125" i="4"/>
  <c r="Z125" i="4"/>
  <c r="Y125" i="4"/>
  <c r="X125" i="4"/>
  <c r="W125" i="4"/>
  <c r="T125" i="4"/>
  <c r="U125" i="4" s="1"/>
  <c r="R125" i="4"/>
  <c r="Q125" i="4"/>
  <c r="S125" i="4" s="1"/>
  <c r="N125" i="4"/>
  <c r="O125" i="4" s="1"/>
  <c r="M125" i="4"/>
  <c r="L125" i="4"/>
  <c r="J125" i="4"/>
  <c r="AB124" i="4"/>
  <c r="AA124" i="4"/>
  <c r="Z124" i="4"/>
  <c r="Y124" i="4"/>
  <c r="X124" i="4"/>
  <c r="W124" i="4"/>
  <c r="V124" i="4"/>
  <c r="T124" i="4"/>
  <c r="U124" i="4" s="1"/>
  <c r="R124" i="4"/>
  <c r="Q124" i="4"/>
  <c r="S124" i="4" s="1"/>
  <c r="P124" i="4"/>
  <c r="N124" i="4"/>
  <c r="O124" i="4" s="1"/>
  <c r="AB123" i="4"/>
  <c r="AA123" i="4"/>
  <c r="Z123" i="4"/>
  <c r="Y123" i="4"/>
  <c r="X123" i="4"/>
  <c r="W123" i="4"/>
  <c r="U123" i="4"/>
  <c r="T123" i="4"/>
  <c r="V123" i="4" s="1"/>
  <c r="S123" i="4"/>
  <c r="Q123" i="4"/>
  <c r="R123" i="4" s="1"/>
  <c r="O123" i="4"/>
  <c r="N123" i="4"/>
  <c r="P123" i="4" s="1"/>
  <c r="M123" i="4"/>
  <c r="L123" i="4"/>
  <c r="J123" i="4"/>
  <c r="AB122" i="4"/>
  <c r="AA122" i="4"/>
  <c r="Z122" i="4"/>
  <c r="Y122" i="4"/>
  <c r="X122" i="4"/>
  <c r="W122" i="4"/>
  <c r="T122" i="4"/>
  <c r="V122" i="4" s="1"/>
  <c r="Q122" i="4"/>
  <c r="R122" i="4" s="1"/>
  <c r="O122" i="4"/>
  <c r="N122" i="4"/>
  <c r="P122" i="4" s="1"/>
  <c r="M122" i="4"/>
  <c r="L122" i="4"/>
  <c r="J122" i="4"/>
  <c r="AB121" i="4"/>
  <c r="AA121" i="4"/>
  <c r="Z121" i="4"/>
  <c r="Y121" i="4"/>
  <c r="X121" i="4"/>
  <c r="W121" i="4"/>
  <c r="T121" i="4"/>
  <c r="V121" i="4" s="1"/>
  <c r="Q121" i="4"/>
  <c r="R121" i="4" s="1"/>
  <c r="N121" i="4"/>
  <c r="P121" i="4" s="1"/>
  <c r="M121" i="4"/>
  <c r="L121" i="4"/>
  <c r="J121" i="4"/>
  <c r="AB120" i="4"/>
  <c r="AA120" i="4"/>
  <c r="Z120" i="4"/>
  <c r="Y120" i="4"/>
  <c r="X120" i="4"/>
  <c r="W120" i="4"/>
  <c r="U120" i="4"/>
  <c r="T120" i="4"/>
  <c r="V120" i="4" s="1"/>
  <c r="Q120" i="4"/>
  <c r="R120" i="4" s="1"/>
  <c r="N120" i="4"/>
  <c r="P120" i="4" s="1"/>
  <c r="M120" i="4"/>
  <c r="L120" i="4"/>
  <c r="J120" i="4"/>
  <c r="AB119" i="4"/>
  <c r="AA119" i="4"/>
  <c r="Z119" i="4"/>
  <c r="Y119" i="4"/>
  <c r="X119" i="4"/>
  <c r="W119" i="4"/>
  <c r="U119" i="4"/>
  <c r="T119" i="4"/>
  <c r="V119" i="4" s="1"/>
  <c r="S119" i="4"/>
  <c r="Q119" i="4"/>
  <c r="R119" i="4" s="1"/>
  <c r="O119" i="4"/>
  <c r="N119" i="4"/>
  <c r="P119" i="4" s="1"/>
  <c r="M119" i="4"/>
  <c r="L119" i="4"/>
  <c r="J119" i="4"/>
  <c r="AB118" i="4"/>
  <c r="AA118" i="4"/>
  <c r="Z118" i="4"/>
  <c r="Y118" i="4"/>
  <c r="X118" i="4"/>
  <c r="W118" i="4"/>
  <c r="T118" i="4"/>
  <c r="V118" i="4" s="1"/>
  <c r="Q118" i="4"/>
  <c r="R118" i="4" s="1"/>
  <c r="O118" i="4"/>
  <c r="N118" i="4"/>
  <c r="P118" i="4" s="1"/>
  <c r="M118" i="4"/>
  <c r="L118" i="4"/>
  <c r="J118" i="4"/>
  <c r="AB117" i="4"/>
  <c r="AA117" i="4"/>
  <c r="Z117" i="4"/>
  <c r="Y117" i="4"/>
  <c r="X117" i="4"/>
  <c r="W117" i="4"/>
  <c r="T117" i="4"/>
  <c r="V117" i="4" s="1"/>
  <c r="Q117" i="4"/>
  <c r="R117" i="4" s="1"/>
  <c r="N117" i="4"/>
  <c r="P117" i="4" s="1"/>
  <c r="AB116" i="4"/>
  <c r="AA116" i="4"/>
  <c r="Z116" i="4"/>
  <c r="Y116" i="4"/>
  <c r="X116" i="4"/>
  <c r="W116" i="4"/>
  <c r="T116" i="4"/>
  <c r="U116" i="4" s="1"/>
  <c r="Q116" i="4"/>
  <c r="S116" i="4" s="1"/>
  <c r="N116" i="4"/>
  <c r="O116" i="4" s="1"/>
  <c r="M116" i="4"/>
  <c r="L116" i="4"/>
  <c r="J116" i="4"/>
  <c r="AB115" i="4"/>
  <c r="AA115" i="4"/>
  <c r="Z115" i="4"/>
  <c r="Y115" i="4"/>
  <c r="X115" i="4"/>
  <c r="W115" i="4"/>
  <c r="T115" i="4"/>
  <c r="U115" i="4" s="1"/>
  <c r="Q115" i="4"/>
  <c r="S115" i="4" s="1"/>
  <c r="N115" i="4"/>
  <c r="O115" i="4" s="1"/>
  <c r="M115" i="4"/>
  <c r="L115" i="4"/>
  <c r="J115" i="4"/>
  <c r="AB114" i="4"/>
  <c r="AA114" i="4"/>
  <c r="Z114" i="4"/>
  <c r="Y114" i="4"/>
  <c r="X114" i="4"/>
  <c r="W114" i="4"/>
  <c r="T114" i="4"/>
  <c r="U114" i="4" s="1"/>
  <c r="Q114" i="4"/>
  <c r="S114" i="4" s="1"/>
  <c r="N114" i="4"/>
  <c r="O114" i="4" s="1"/>
  <c r="M114" i="4"/>
  <c r="L114" i="4"/>
  <c r="J114" i="4"/>
  <c r="AB113" i="4"/>
  <c r="AA113" i="4"/>
  <c r="Z113" i="4"/>
  <c r="Y113" i="4"/>
  <c r="X113" i="4"/>
  <c r="W113" i="4"/>
  <c r="T113" i="4"/>
  <c r="U113" i="4" s="1"/>
  <c r="Q113" i="4"/>
  <c r="S113" i="4" s="1"/>
  <c r="N113" i="4"/>
  <c r="O113" i="4" s="1"/>
  <c r="M113" i="4"/>
  <c r="L113" i="4"/>
  <c r="J113" i="4"/>
  <c r="AB112" i="4"/>
  <c r="AA112" i="4"/>
  <c r="Z112" i="4"/>
  <c r="Y112" i="4"/>
  <c r="X112" i="4"/>
  <c r="W112" i="4"/>
  <c r="T112" i="4"/>
  <c r="U112" i="4" s="1"/>
  <c r="Q112" i="4"/>
  <c r="S112" i="4" s="1"/>
  <c r="N112" i="4"/>
  <c r="O112" i="4" s="1"/>
  <c r="M112" i="4"/>
  <c r="L112" i="4"/>
  <c r="J112" i="4"/>
  <c r="AB111" i="4"/>
  <c r="AA111" i="4"/>
  <c r="Z111" i="4"/>
  <c r="Y111" i="4"/>
  <c r="X111" i="4"/>
  <c r="W111" i="4"/>
  <c r="T111" i="4"/>
  <c r="U111" i="4" s="1"/>
  <c r="Q111" i="4"/>
  <c r="S111" i="4" s="1"/>
  <c r="N111" i="4"/>
  <c r="O111" i="4" s="1"/>
  <c r="M111" i="4"/>
  <c r="L111" i="4"/>
  <c r="J111" i="4"/>
  <c r="AB110" i="4"/>
  <c r="AA110" i="4"/>
  <c r="Z110" i="4"/>
  <c r="Y110" i="4"/>
  <c r="X110" i="4"/>
  <c r="W110" i="4"/>
  <c r="T110" i="4"/>
  <c r="U110" i="4" s="1"/>
  <c r="Q110" i="4"/>
  <c r="S110" i="4" s="1"/>
  <c r="N110" i="4"/>
  <c r="O110" i="4" s="1"/>
  <c r="Y109" i="4"/>
  <c r="X109" i="4"/>
  <c r="W109" i="4"/>
  <c r="T109" i="4"/>
  <c r="U109" i="4" s="1"/>
  <c r="Q109" i="4"/>
  <c r="S109" i="4" s="1"/>
  <c r="N109" i="4"/>
  <c r="O109" i="4" s="1"/>
  <c r="M109" i="4"/>
  <c r="L109" i="4"/>
  <c r="J109" i="4"/>
  <c r="Y108" i="4"/>
  <c r="X108" i="4"/>
  <c r="W108" i="4"/>
  <c r="U108" i="4"/>
  <c r="T108" i="4"/>
  <c r="V108" i="4" s="1"/>
  <c r="Q108" i="4"/>
  <c r="R108" i="4" s="1"/>
  <c r="N108" i="4"/>
  <c r="P108" i="4" s="1"/>
  <c r="M108" i="4"/>
  <c r="L108" i="4"/>
  <c r="J108" i="4"/>
  <c r="Y107" i="4"/>
  <c r="X107" i="4"/>
  <c r="W107" i="4"/>
  <c r="T107" i="4"/>
  <c r="U107" i="4" s="1"/>
  <c r="R107" i="4"/>
  <c r="Q107" i="4"/>
  <c r="S107" i="4" s="1"/>
  <c r="N107" i="4"/>
  <c r="O107" i="4" s="1"/>
  <c r="M107" i="4"/>
  <c r="L107" i="4"/>
  <c r="J107" i="4"/>
  <c r="Y106" i="4"/>
  <c r="X106" i="4"/>
  <c r="W106" i="4"/>
  <c r="T106" i="4"/>
  <c r="V106" i="4" s="1"/>
  <c r="Q106" i="4"/>
  <c r="R106" i="4" s="1"/>
  <c r="O106" i="4"/>
  <c r="N106" i="4"/>
  <c r="P106" i="4" s="1"/>
  <c r="M106" i="4"/>
  <c r="L106" i="4"/>
  <c r="J106" i="4"/>
  <c r="Y105" i="4"/>
  <c r="X105" i="4"/>
  <c r="W105" i="4"/>
  <c r="T105" i="4"/>
  <c r="U105" i="4" s="1"/>
  <c r="Q105" i="4"/>
  <c r="S105" i="4" s="1"/>
  <c r="N105" i="4"/>
  <c r="O105" i="4" s="1"/>
  <c r="M105" i="4"/>
  <c r="L105" i="4"/>
  <c r="J105" i="4"/>
  <c r="Y104" i="4"/>
  <c r="X104" i="4"/>
  <c r="W104" i="4"/>
  <c r="U104" i="4"/>
  <c r="T104" i="4"/>
  <c r="V104" i="4" s="1"/>
  <c r="Q104" i="4"/>
  <c r="R104" i="4" s="1"/>
  <c r="N104" i="4"/>
  <c r="P104" i="4" s="1"/>
  <c r="M104" i="4"/>
  <c r="L104" i="4"/>
  <c r="J104" i="4"/>
  <c r="Y103" i="4"/>
  <c r="X103" i="4"/>
  <c r="W103" i="4"/>
  <c r="T103" i="4"/>
  <c r="U103" i="4" s="1"/>
  <c r="R103" i="4"/>
  <c r="Q103" i="4"/>
  <c r="S103" i="4" s="1"/>
  <c r="N103" i="4"/>
  <c r="O103" i="4" s="1"/>
  <c r="Y102" i="4"/>
  <c r="X102" i="4"/>
  <c r="W102" i="4"/>
  <c r="V102" i="4"/>
  <c r="T102" i="4"/>
  <c r="U102" i="4" s="1"/>
  <c r="R102" i="4"/>
  <c r="Q102" i="4"/>
  <c r="S102" i="4" s="1"/>
  <c r="P102" i="4"/>
  <c r="N102" i="4"/>
  <c r="O102" i="4" s="1"/>
  <c r="M102" i="4"/>
  <c r="L102" i="4"/>
  <c r="J102" i="4"/>
  <c r="Y101" i="4"/>
  <c r="X101" i="4"/>
  <c r="W101" i="4"/>
  <c r="U101" i="4"/>
  <c r="T101" i="4"/>
  <c r="V101" i="4" s="1"/>
  <c r="S101" i="4"/>
  <c r="Q101" i="4"/>
  <c r="R101" i="4" s="1"/>
  <c r="O101" i="4"/>
  <c r="N101" i="4"/>
  <c r="P101" i="4" s="1"/>
  <c r="M101" i="4"/>
  <c r="L101" i="4"/>
  <c r="J101" i="4"/>
  <c r="Y100" i="4"/>
  <c r="X100" i="4"/>
  <c r="W100" i="4"/>
  <c r="V100" i="4"/>
  <c r="T100" i="4"/>
  <c r="U100" i="4" s="1"/>
  <c r="R100" i="4"/>
  <c r="Q100" i="4"/>
  <c r="S100" i="4" s="1"/>
  <c r="P100" i="4"/>
  <c r="N100" i="4"/>
  <c r="O100" i="4" s="1"/>
  <c r="M100" i="4"/>
  <c r="L100" i="4"/>
  <c r="J100" i="4"/>
  <c r="Y99" i="4"/>
  <c r="X99" i="4"/>
  <c r="W99" i="4"/>
  <c r="U99" i="4"/>
  <c r="T99" i="4"/>
  <c r="V99" i="4" s="1"/>
  <c r="S99" i="4"/>
  <c r="Q99" i="4"/>
  <c r="R99" i="4" s="1"/>
  <c r="O99" i="4"/>
  <c r="N99" i="4"/>
  <c r="P99" i="4" s="1"/>
  <c r="M99" i="4"/>
  <c r="L99" i="4"/>
  <c r="J99" i="4"/>
  <c r="Y98" i="4"/>
  <c r="X98" i="4"/>
  <c r="W98" i="4"/>
  <c r="V98" i="4"/>
  <c r="T98" i="4"/>
  <c r="U98" i="4" s="1"/>
  <c r="R98" i="4"/>
  <c r="Q98" i="4"/>
  <c r="S98" i="4" s="1"/>
  <c r="P98" i="4"/>
  <c r="N98" i="4"/>
  <c r="O98" i="4" s="1"/>
  <c r="M98" i="4"/>
  <c r="L98" i="4"/>
  <c r="J98" i="4"/>
  <c r="Y97" i="4"/>
  <c r="X97" i="4"/>
  <c r="W97" i="4"/>
  <c r="U97" i="4"/>
  <c r="T97" i="4"/>
  <c r="V97" i="4" s="1"/>
  <c r="S97" i="4"/>
  <c r="Q97" i="4"/>
  <c r="R97" i="4" s="1"/>
  <c r="O97" i="4"/>
  <c r="N97" i="4"/>
  <c r="P97" i="4" s="1"/>
  <c r="M97" i="4"/>
  <c r="L97" i="4"/>
  <c r="J97" i="4"/>
  <c r="Y96" i="4"/>
  <c r="X96" i="4"/>
  <c r="W96" i="4"/>
  <c r="V96" i="4"/>
  <c r="T96" i="4"/>
  <c r="U96" i="4" s="1"/>
  <c r="R96" i="4"/>
  <c r="Q96" i="4"/>
  <c r="S96" i="4" s="1"/>
  <c r="P96" i="4"/>
  <c r="N96" i="4"/>
  <c r="O96" i="4" s="1"/>
  <c r="Y95" i="4"/>
  <c r="X95" i="4"/>
  <c r="W95" i="4"/>
  <c r="T95" i="4"/>
  <c r="U95" i="4" s="1"/>
  <c r="R95" i="4"/>
  <c r="Q95" i="4"/>
  <c r="S95" i="4" s="1"/>
  <c r="N95" i="4"/>
  <c r="O95" i="4" s="1"/>
  <c r="M95" i="4"/>
  <c r="L95" i="4"/>
  <c r="J95" i="4"/>
  <c r="Y94" i="4"/>
  <c r="X94" i="4"/>
  <c r="W94" i="4"/>
  <c r="T94" i="4"/>
  <c r="V94" i="4" s="1"/>
  <c r="Q94" i="4"/>
  <c r="R94" i="4" s="1"/>
  <c r="O94" i="4"/>
  <c r="N94" i="4"/>
  <c r="P94" i="4" s="1"/>
  <c r="M94" i="4"/>
  <c r="L94" i="4"/>
  <c r="J94" i="4"/>
  <c r="Y93" i="4"/>
  <c r="X93" i="4"/>
  <c r="W93" i="4"/>
  <c r="T93" i="4"/>
  <c r="U93" i="4" s="1"/>
  <c r="Q93" i="4"/>
  <c r="S93" i="4" s="1"/>
  <c r="N93" i="4"/>
  <c r="O93" i="4" s="1"/>
  <c r="M93" i="4"/>
  <c r="L93" i="4"/>
  <c r="J93" i="4"/>
  <c r="Y92" i="4"/>
  <c r="X92" i="4"/>
  <c r="W92" i="4"/>
  <c r="U92" i="4"/>
  <c r="T92" i="4"/>
  <c r="V92" i="4" s="1"/>
  <c r="Q92" i="4"/>
  <c r="R92" i="4" s="1"/>
  <c r="N92" i="4"/>
  <c r="P92" i="4" s="1"/>
  <c r="M92" i="4"/>
  <c r="L92" i="4"/>
  <c r="J92" i="4"/>
  <c r="Y91" i="4"/>
  <c r="X91" i="4"/>
  <c r="W91" i="4"/>
  <c r="T91" i="4"/>
  <c r="U91" i="4" s="1"/>
  <c r="R91" i="4"/>
  <c r="Q91" i="4"/>
  <c r="S91" i="4" s="1"/>
  <c r="N91" i="4"/>
  <c r="O91" i="4" s="1"/>
  <c r="M91" i="4"/>
  <c r="L91" i="4"/>
  <c r="J91" i="4"/>
  <c r="Y90" i="4"/>
  <c r="X90" i="4"/>
  <c r="W90" i="4"/>
  <c r="T90" i="4"/>
  <c r="V90" i="4" s="1"/>
  <c r="Q90" i="4"/>
  <c r="R90" i="4" s="1"/>
  <c r="O90" i="4"/>
  <c r="N90" i="4"/>
  <c r="P90" i="4" s="1"/>
  <c r="M90" i="4"/>
  <c r="L90" i="4"/>
  <c r="J90" i="4"/>
  <c r="Y89" i="4"/>
  <c r="X89" i="4"/>
  <c r="W89" i="4"/>
  <c r="T89" i="4"/>
  <c r="U89" i="4" s="1"/>
  <c r="Q89" i="4"/>
  <c r="S89" i="4" s="1"/>
  <c r="N89" i="4"/>
  <c r="O89" i="4" s="1"/>
  <c r="Y88" i="4"/>
  <c r="X88" i="4"/>
  <c r="W88" i="4"/>
  <c r="T88" i="4"/>
  <c r="U88" i="4" s="1"/>
  <c r="Q88" i="4"/>
  <c r="S88" i="4" s="1"/>
  <c r="N88" i="4"/>
  <c r="O88" i="4" s="1"/>
  <c r="M88" i="4"/>
  <c r="L88" i="4"/>
  <c r="J88" i="4"/>
  <c r="Y87" i="4"/>
  <c r="X87" i="4"/>
  <c r="W87" i="4"/>
  <c r="T87" i="4"/>
  <c r="V87" i="4" s="1"/>
  <c r="Q87" i="4"/>
  <c r="R87" i="4" s="1"/>
  <c r="N87" i="4"/>
  <c r="P87" i="4" s="1"/>
  <c r="M87" i="4"/>
  <c r="L87" i="4"/>
  <c r="J87" i="4"/>
  <c r="Y86" i="4"/>
  <c r="X86" i="4"/>
  <c r="W86" i="4"/>
  <c r="T86" i="4"/>
  <c r="U86" i="4" s="1"/>
  <c r="Q86" i="4"/>
  <c r="S86" i="4" s="1"/>
  <c r="N86" i="4"/>
  <c r="O86" i="4" s="1"/>
  <c r="M86" i="4"/>
  <c r="L86" i="4"/>
  <c r="J86" i="4"/>
  <c r="Y85" i="4"/>
  <c r="X85" i="4"/>
  <c r="W85" i="4"/>
  <c r="T85" i="4"/>
  <c r="V85" i="4" s="1"/>
  <c r="Q85" i="4"/>
  <c r="R85" i="4" s="1"/>
  <c r="N85" i="4"/>
  <c r="P85" i="4" s="1"/>
  <c r="M85" i="4"/>
  <c r="L85" i="4"/>
  <c r="J85" i="4"/>
  <c r="Y84" i="4"/>
  <c r="X84" i="4"/>
  <c r="W84" i="4"/>
  <c r="T84" i="4"/>
  <c r="U84" i="4" s="1"/>
  <c r="Q84" i="4"/>
  <c r="S84" i="4" s="1"/>
  <c r="N84" i="4"/>
  <c r="O84" i="4" s="1"/>
  <c r="M84" i="4"/>
  <c r="L84" i="4"/>
  <c r="J84" i="4"/>
  <c r="Y83" i="4"/>
  <c r="X83" i="4"/>
  <c r="W83" i="4"/>
  <c r="T83" i="4"/>
  <c r="V83" i="4" s="1"/>
  <c r="Q83" i="4"/>
  <c r="R83" i="4" s="1"/>
  <c r="N83" i="4"/>
  <c r="P83" i="4" s="1"/>
  <c r="M83" i="4"/>
  <c r="L83" i="4"/>
  <c r="J83" i="4"/>
  <c r="Y82" i="4"/>
  <c r="X82" i="4"/>
  <c r="W82" i="4"/>
  <c r="T82" i="4"/>
  <c r="U82" i="4" s="1"/>
  <c r="Q82" i="4"/>
  <c r="S82" i="4" s="1"/>
  <c r="N82" i="4"/>
  <c r="O82" i="4" s="1"/>
  <c r="Y81" i="4"/>
  <c r="X81" i="4"/>
  <c r="W81" i="4"/>
  <c r="T81" i="4"/>
  <c r="U81" i="4" s="1"/>
  <c r="Q81" i="4"/>
  <c r="S81" i="4" s="1"/>
  <c r="N81" i="4"/>
  <c r="O81" i="4" s="1"/>
  <c r="M81" i="4"/>
  <c r="L81" i="4"/>
  <c r="J81" i="4"/>
  <c r="Y80" i="4"/>
  <c r="X80" i="4"/>
  <c r="W80" i="4"/>
  <c r="U80" i="4"/>
  <c r="T80" i="4"/>
  <c r="V80" i="4" s="1"/>
  <c r="Q80" i="4"/>
  <c r="R80" i="4" s="1"/>
  <c r="N80" i="4"/>
  <c r="P80" i="4" s="1"/>
  <c r="M80" i="4"/>
  <c r="L80" i="4"/>
  <c r="J80" i="4"/>
  <c r="Y79" i="4"/>
  <c r="X79" i="4"/>
  <c r="W79" i="4"/>
  <c r="T79" i="4"/>
  <c r="U79" i="4" s="1"/>
  <c r="R79" i="4"/>
  <c r="Q79" i="4"/>
  <c r="S79" i="4" s="1"/>
  <c r="N79" i="4"/>
  <c r="O79" i="4" s="1"/>
  <c r="M79" i="4"/>
  <c r="L79" i="4"/>
  <c r="J79" i="4"/>
  <c r="Y78" i="4"/>
  <c r="X78" i="4"/>
  <c r="W78" i="4"/>
  <c r="T78" i="4"/>
  <c r="V78" i="4" s="1"/>
  <c r="Q78" i="4"/>
  <c r="R78" i="4" s="1"/>
  <c r="O78" i="4"/>
  <c r="N78" i="4"/>
  <c r="P78" i="4" s="1"/>
  <c r="M78" i="4"/>
  <c r="L78" i="4"/>
  <c r="J78" i="4"/>
  <c r="Y77" i="4"/>
  <c r="X77" i="4"/>
  <c r="W77" i="4"/>
  <c r="T77" i="4"/>
  <c r="U77" i="4" s="1"/>
  <c r="Q77" i="4"/>
  <c r="S77" i="4" s="1"/>
  <c r="N77" i="4"/>
  <c r="O77" i="4" s="1"/>
  <c r="M77" i="4"/>
  <c r="L77" i="4"/>
  <c r="J77" i="4"/>
  <c r="Y76" i="4"/>
  <c r="X76" i="4"/>
  <c r="W76" i="4"/>
  <c r="U76" i="4"/>
  <c r="T76" i="4"/>
  <c r="V76" i="4" s="1"/>
  <c r="Q76" i="4"/>
  <c r="R76" i="4" s="1"/>
  <c r="N76" i="4"/>
  <c r="P76" i="4" s="1"/>
  <c r="M76" i="4"/>
  <c r="L76" i="4"/>
  <c r="J76" i="4"/>
  <c r="Y75" i="4"/>
  <c r="X75" i="4"/>
  <c r="W75" i="4"/>
  <c r="T75" i="4"/>
  <c r="U75" i="4" s="1"/>
  <c r="R75" i="4"/>
  <c r="Q75" i="4"/>
  <c r="S75" i="4" s="1"/>
  <c r="N75" i="4"/>
  <c r="O75" i="4" s="1"/>
  <c r="Y74" i="4"/>
  <c r="X74" i="4"/>
  <c r="W74" i="4"/>
  <c r="V74" i="4"/>
  <c r="T74" i="4"/>
  <c r="U74" i="4" s="1"/>
  <c r="R74" i="4"/>
  <c r="Q74" i="4"/>
  <c r="S74" i="4" s="1"/>
  <c r="P74" i="4"/>
  <c r="N74" i="4"/>
  <c r="O74" i="4" s="1"/>
  <c r="M74" i="4"/>
  <c r="L74" i="4"/>
  <c r="J74" i="4"/>
  <c r="Y73" i="4"/>
  <c r="X73" i="4"/>
  <c r="W73" i="4"/>
  <c r="U73" i="4"/>
  <c r="T73" i="4"/>
  <c r="V73" i="4" s="1"/>
  <c r="S73" i="4"/>
  <c r="Q73" i="4"/>
  <c r="R73" i="4" s="1"/>
  <c r="O73" i="4"/>
  <c r="N73" i="4"/>
  <c r="P73" i="4" s="1"/>
  <c r="M73" i="4"/>
  <c r="L73" i="4"/>
  <c r="J73" i="4"/>
  <c r="Y72" i="4"/>
  <c r="X72" i="4"/>
  <c r="W72" i="4"/>
  <c r="V72" i="4"/>
  <c r="T72" i="4"/>
  <c r="U72" i="4" s="1"/>
  <c r="R72" i="4"/>
  <c r="Q72" i="4"/>
  <c r="S72" i="4" s="1"/>
  <c r="P72" i="4"/>
  <c r="N72" i="4"/>
  <c r="O72" i="4" s="1"/>
  <c r="M72" i="4"/>
  <c r="L72" i="4"/>
  <c r="J72" i="4"/>
  <c r="Y71" i="4"/>
  <c r="X71" i="4"/>
  <c r="W71" i="4"/>
  <c r="U71" i="4"/>
  <c r="T71" i="4"/>
  <c r="V71" i="4" s="1"/>
  <c r="S71" i="4"/>
  <c r="Q71" i="4"/>
  <c r="R71" i="4" s="1"/>
  <c r="O71" i="4"/>
  <c r="N71" i="4"/>
  <c r="P71" i="4" s="1"/>
  <c r="M71" i="4"/>
  <c r="L71" i="4"/>
  <c r="J71" i="4"/>
  <c r="Y70" i="4"/>
  <c r="X70" i="4"/>
  <c r="W70" i="4"/>
  <c r="V70" i="4"/>
  <c r="T70" i="4"/>
  <c r="U70" i="4" s="1"/>
  <c r="R70" i="4"/>
  <c r="Q70" i="4"/>
  <c r="S70" i="4" s="1"/>
  <c r="P70" i="4"/>
  <c r="N70" i="4"/>
  <c r="O70" i="4" s="1"/>
  <c r="M70" i="4"/>
  <c r="L70" i="4"/>
  <c r="J70" i="4"/>
  <c r="Y69" i="4"/>
  <c r="X69" i="4"/>
  <c r="W69" i="4"/>
  <c r="U69" i="4"/>
  <c r="T69" i="4"/>
  <c r="V69" i="4" s="1"/>
  <c r="S69" i="4"/>
  <c r="Q69" i="4"/>
  <c r="R69" i="4" s="1"/>
  <c r="O69" i="4"/>
  <c r="N69" i="4"/>
  <c r="P69" i="4" s="1"/>
  <c r="M69" i="4"/>
  <c r="L69" i="4"/>
  <c r="J69" i="4"/>
  <c r="Y68" i="4"/>
  <c r="X68" i="4"/>
  <c r="W68" i="4"/>
  <c r="V68" i="4"/>
  <c r="T68" i="4"/>
  <c r="U68" i="4" s="1"/>
  <c r="R68" i="4"/>
  <c r="Q68" i="4"/>
  <c r="S68" i="4" s="1"/>
  <c r="P68" i="4"/>
  <c r="N68" i="4"/>
  <c r="O68" i="4" s="1"/>
  <c r="Y67" i="4"/>
  <c r="X67" i="4"/>
  <c r="W67" i="4"/>
  <c r="T67" i="4"/>
  <c r="U67" i="4" s="1"/>
  <c r="R67" i="4"/>
  <c r="Q67" i="4"/>
  <c r="S67" i="4" s="1"/>
  <c r="N67" i="4"/>
  <c r="O67" i="4" s="1"/>
  <c r="M67" i="4"/>
  <c r="L67" i="4"/>
  <c r="J67" i="4"/>
  <c r="Y66" i="4"/>
  <c r="X66" i="4"/>
  <c r="W66" i="4"/>
  <c r="T66" i="4"/>
  <c r="V66" i="4" s="1"/>
  <c r="Q66" i="4"/>
  <c r="R66" i="4" s="1"/>
  <c r="O66" i="4"/>
  <c r="N66" i="4"/>
  <c r="P66" i="4" s="1"/>
  <c r="M66" i="4"/>
  <c r="L66" i="4"/>
  <c r="J66" i="4"/>
  <c r="Y65" i="4"/>
  <c r="X65" i="4"/>
  <c r="W65" i="4"/>
  <c r="T65" i="4"/>
  <c r="U65" i="4" s="1"/>
  <c r="Q65" i="4"/>
  <c r="S65" i="4" s="1"/>
  <c r="N65" i="4"/>
  <c r="O65" i="4" s="1"/>
  <c r="M65" i="4"/>
  <c r="L65" i="4"/>
  <c r="J65" i="4"/>
  <c r="Y64" i="4"/>
  <c r="X64" i="4"/>
  <c r="W64" i="4"/>
  <c r="U64" i="4"/>
  <c r="T64" i="4"/>
  <c r="V64" i="4" s="1"/>
  <c r="Q64" i="4"/>
  <c r="R64" i="4" s="1"/>
  <c r="N64" i="4"/>
  <c r="P64" i="4" s="1"/>
  <c r="M64" i="4"/>
  <c r="L64" i="4"/>
  <c r="J64" i="4"/>
  <c r="Y63" i="4"/>
  <c r="X63" i="4"/>
  <c r="W63" i="4"/>
  <c r="T63" i="4"/>
  <c r="U63" i="4" s="1"/>
  <c r="R63" i="4"/>
  <c r="Q63" i="4"/>
  <c r="S63" i="4" s="1"/>
  <c r="N63" i="4"/>
  <c r="O63" i="4" s="1"/>
  <c r="M63" i="4"/>
  <c r="L63" i="4"/>
  <c r="J63" i="4"/>
  <c r="Y62" i="4"/>
  <c r="X62" i="4"/>
  <c r="W62" i="4"/>
  <c r="T62" i="4"/>
  <c r="V62" i="4" s="1"/>
  <c r="Q62" i="4"/>
  <c r="R62" i="4" s="1"/>
  <c r="O62" i="4"/>
  <c r="N62" i="4"/>
  <c r="P62" i="4" s="1"/>
  <c r="M62" i="4"/>
  <c r="L62" i="4"/>
  <c r="J62" i="4"/>
  <c r="Y61" i="4"/>
  <c r="X61" i="4"/>
  <c r="W61" i="4"/>
  <c r="T61" i="4"/>
  <c r="U61" i="4" s="1"/>
  <c r="Q61" i="4"/>
  <c r="S61" i="4" s="1"/>
  <c r="N61" i="4"/>
  <c r="O61" i="4" s="1"/>
  <c r="Y60" i="4"/>
  <c r="X60" i="4"/>
  <c r="W60" i="4"/>
  <c r="T60" i="4"/>
  <c r="U60" i="4" s="1"/>
  <c r="Q60" i="4"/>
  <c r="S60" i="4" s="1"/>
  <c r="N60" i="4"/>
  <c r="O60" i="4" s="1"/>
  <c r="M60" i="4"/>
  <c r="L60" i="4"/>
  <c r="J60" i="4"/>
  <c r="Y59" i="4"/>
  <c r="X59" i="4"/>
  <c r="W59" i="4"/>
  <c r="T59" i="4"/>
  <c r="V59" i="4" s="1"/>
  <c r="Q59" i="4"/>
  <c r="R59" i="4" s="1"/>
  <c r="N59" i="4"/>
  <c r="P59" i="4" s="1"/>
  <c r="M59" i="4"/>
  <c r="L59" i="4"/>
  <c r="J59" i="4"/>
  <c r="Y58" i="4"/>
  <c r="X58" i="4"/>
  <c r="W58" i="4"/>
  <c r="T58" i="4"/>
  <c r="U58" i="4" s="1"/>
  <c r="Q58" i="4"/>
  <c r="S58" i="4" s="1"/>
  <c r="N58" i="4"/>
  <c r="O58" i="4" s="1"/>
  <c r="M58" i="4"/>
  <c r="L58" i="4"/>
  <c r="J58" i="4"/>
  <c r="Y57" i="4"/>
  <c r="X57" i="4"/>
  <c r="W57" i="4"/>
  <c r="T57" i="4"/>
  <c r="V57" i="4" s="1"/>
  <c r="Q57" i="4"/>
  <c r="R57" i="4" s="1"/>
  <c r="N57" i="4"/>
  <c r="P57" i="4" s="1"/>
  <c r="M57" i="4"/>
  <c r="L57" i="4"/>
  <c r="J57" i="4"/>
  <c r="Y56" i="4"/>
  <c r="X56" i="4"/>
  <c r="W56" i="4"/>
  <c r="T56" i="4"/>
  <c r="U56" i="4" s="1"/>
  <c r="Q56" i="4"/>
  <c r="S56" i="4" s="1"/>
  <c r="N56" i="4"/>
  <c r="O56" i="4" s="1"/>
  <c r="M56" i="4"/>
  <c r="L56" i="4"/>
  <c r="J56" i="4"/>
  <c r="Y55" i="4"/>
  <c r="X55" i="4"/>
  <c r="W55" i="4"/>
  <c r="T55" i="4"/>
  <c r="U55" i="4" s="1"/>
  <c r="R55" i="4"/>
  <c r="Q55" i="4"/>
  <c r="S55" i="4" s="1"/>
  <c r="N55" i="4"/>
  <c r="O55" i="4" s="1"/>
  <c r="M55" i="4"/>
  <c r="L55" i="4"/>
  <c r="J55" i="4"/>
  <c r="Y54" i="4"/>
  <c r="X54" i="4"/>
  <c r="W54" i="4"/>
  <c r="T54" i="4"/>
  <c r="V54" i="4" s="1"/>
  <c r="Q54" i="4"/>
  <c r="R54" i="4" s="1"/>
  <c r="O54" i="4"/>
  <c r="N54" i="4"/>
  <c r="P54" i="4" s="1"/>
  <c r="Y53" i="4"/>
  <c r="X53" i="4"/>
  <c r="W53" i="4"/>
  <c r="T53" i="4"/>
  <c r="V53" i="4" s="1"/>
  <c r="Q53" i="4"/>
  <c r="R53" i="4" s="1"/>
  <c r="O53" i="4"/>
  <c r="N53" i="4"/>
  <c r="P53" i="4" s="1"/>
  <c r="M53" i="4"/>
  <c r="L53" i="4"/>
  <c r="J53" i="4"/>
  <c r="Y52" i="4"/>
  <c r="X52" i="4"/>
  <c r="W52" i="4"/>
  <c r="T52" i="4"/>
  <c r="U52" i="4" s="1"/>
  <c r="Q52" i="4"/>
  <c r="S52" i="4" s="1"/>
  <c r="N52" i="4"/>
  <c r="O52" i="4" s="1"/>
  <c r="M52" i="4"/>
  <c r="L52" i="4"/>
  <c r="J52" i="4"/>
  <c r="Y51" i="4"/>
  <c r="X51" i="4"/>
  <c r="W51" i="4"/>
  <c r="U51" i="4"/>
  <c r="T51" i="4"/>
  <c r="V51" i="4" s="1"/>
  <c r="Q51" i="4"/>
  <c r="R51" i="4" s="1"/>
  <c r="N51" i="4"/>
  <c r="P51" i="4" s="1"/>
  <c r="M51" i="4"/>
  <c r="L51" i="4"/>
  <c r="J51" i="4"/>
  <c r="Y50" i="4"/>
  <c r="X50" i="4"/>
  <c r="W50" i="4"/>
  <c r="T50" i="4"/>
  <c r="U50" i="4" s="1"/>
  <c r="R50" i="4"/>
  <c r="Q50" i="4"/>
  <c r="S50" i="4" s="1"/>
  <c r="N50" i="4"/>
  <c r="O50" i="4" s="1"/>
  <c r="M50" i="4"/>
  <c r="L50" i="4"/>
  <c r="J50" i="4"/>
  <c r="Y49" i="4"/>
  <c r="X49" i="4"/>
  <c r="W49" i="4"/>
  <c r="T49" i="4"/>
  <c r="V49" i="4" s="1"/>
  <c r="Q49" i="4"/>
  <c r="R49" i="4" s="1"/>
  <c r="O49" i="4"/>
  <c r="N49" i="4"/>
  <c r="P49" i="4" s="1"/>
  <c r="M49" i="4"/>
  <c r="L49" i="4"/>
  <c r="J49" i="4"/>
  <c r="Y48" i="4"/>
  <c r="X48" i="4"/>
  <c r="W48" i="4"/>
  <c r="T48" i="4"/>
  <c r="U48" i="4" s="1"/>
  <c r="Q48" i="4"/>
  <c r="S48" i="4" s="1"/>
  <c r="N48" i="4"/>
  <c r="O48" i="4" s="1"/>
  <c r="M48" i="4"/>
  <c r="L48" i="4"/>
  <c r="J48" i="4"/>
  <c r="Y47" i="4"/>
  <c r="X47" i="4"/>
  <c r="W47" i="4"/>
  <c r="U47" i="4"/>
  <c r="T47" i="4"/>
  <c r="V47" i="4" s="1"/>
  <c r="Q47" i="4"/>
  <c r="R47" i="4" s="1"/>
  <c r="N47" i="4"/>
  <c r="P47" i="4" s="1"/>
  <c r="Y46" i="4"/>
  <c r="X46" i="4"/>
  <c r="W46" i="4"/>
  <c r="U46" i="4"/>
  <c r="T46" i="4"/>
  <c r="V46" i="4" s="1"/>
  <c r="Q46" i="4"/>
  <c r="R46" i="4" s="1"/>
  <c r="N46" i="4"/>
  <c r="P46" i="4" s="1"/>
  <c r="M46" i="4"/>
  <c r="L46" i="4"/>
  <c r="J46" i="4"/>
  <c r="Y45" i="4"/>
  <c r="X45" i="4"/>
  <c r="W45" i="4"/>
  <c r="T45" i="4"/>
  <c r="U45" i="4" s="1"/>
  <c r="R45" i="4"/>
  <c r="Q45" i="4"/>
  <c r="S45" i="4" s="1"/>
  <c r="N45" i="4"/>
  <c r="O45" i="4" s="1"/>
  <c r="M45" i="4"/>
  <c r="L45" i="4"/>
  <c r="J45" i="4"/>
  <c r="Y44" i="4"/>
  <c r="X44" i="4"/>
  <c r="W44" i="4"/>
  <c r="T44" i="4"/>
  <c r="V44" i="4" s="1"/>
  <c r="Q44" i="4"/>
  <c r="R44" i="4" s="1"/>
  <c r="O44" i="4"/>
  <c r="N44" i="4"/>
  <c r="P44" i="4" s="1"/>
  <c r="M44" i="4"/>
  <c r="L44" i="4"/>
  <c r="J44" i="4"/>
  <c r="Y43" i="4"/>
  <c r="X43" i="4"/>
  <c r="W43" i="4"/>
  <c r="T43" i="4"/>
  <c r="U43" i="4" s="1"/>
  <c r="Q43" i="4"/>
  <c r="S43" i="4" s="1"/>
  <c r="N43" i="4"/>
  <c r="O43" i="4" s="1"/>
  <c r="M43" i="4"/>
  <c r="L43" i="4"/>
  <c r="J43" i="4"/>
  <c r="Y42" i="4"/>
  <c r="X42" i="4"/>
  <c r="W42" i="4"/>
  <c r="U42" i="4"/>
  <c r="T42" i="4"/>
  <c r="V42" i="4" s="1"/>
  <c r="Q42" i="4"/>
  <c r="R42" i="4" s="1"/>
  <c r="N42" i="4"/>
  <c r="P42" i="4" s="1"/>
  <c r="M42" i="4"/>
  <c r="L42" i="4"/>
  <c r="J42" i="4"/>
  <c r="Y41" i="4"/>
  <c r="X41" i="4"/>
  <c r="W41" i="4"/>
  <c r="T41" i="4"/>
  <c r="U41" i="4" s="1"/>
  <c r="R41" i="4"/>
  <c r="Q41" i="4"/>
  <c r="S41" i="4" s="1"/>
  <c r="N41" i="4"/>
  <c r="O41" i="4" s="1"/>
  <c r="M41" i="4"/>
  <c r="L41" i="4"/>
  <c r="J41" i="4"/>
  <c r="Y40" i="4"/>
  <c r="X40" i="4"/>
  <c r="W40" i="4"/>
  <c r="T40" i="4"/>
  <c r="V40" i="4" s="1"/>
  <c r="Q40" i="4"/>
  <c r="R40" i="4" s="1"/>
  <c r="O40" i="4"/>
  <c r="N40" i="4"/>
  <c r="P40" i="4" s="1"/>
  <c r="Y39" i="4"/>
  <c r="X39" i="4"/>
  <c r="W39" i="4"/>
  <c r="T39" i="4"/>
  <c r="V39" i="4" s="1"/>
  <c r="Q39" i="4"/>
  <c r="R39" i="4" s="1"/>
  <c r="O39" i="4"/>
  <c r="N39" i="4"/>
  <c r="P39" i="4" s="1"/>
  <c r="M39" i="4"/>
  <c r="L39" i="4"/>
  <c r="J39" i="4"/>
  <c r="Y38" i="4"/>
  <c r="X38" i="4"/>
  <c r="W38" i="4"/>
  <c r="T38" i="4"/>
  <c r="U38" i="4" s="1"/>
  <c r="Q38" i="4"/>
  <c r="S38" i="4" s="1"/>
  <c r="N38" i="4"/>
  <c r="O38" i="4" s="1"/>
  <c r="M38" i="4"/>
  <c r="L38" i="4"/>
  <c r="J38" i="4"/>
  <c r="Y37" i="4"/>
  <c r="X37" i="4"/>
  <c r="W37" i="4"/>
  <c r="U37" i="4"/>
  <c r="T37" i="4"/>
  <c r="V37" i="4" s="1"/>
  <c r="Q37" i="4"/>
  <c r="R37" i="4" s="1"/>
  <c r="N37" i="4"/>
  <c r="P37" i="4" s="1"/>
  <c r="M37" i="4"/>
  <c r="L37" i="4"/>
  <c r="J37" i="4"/>
  <c r="Y36" i="4"/>
  <c r="X36" i="4"/>
  <c r="W36" i="4"/>
  <c r="T36" i="4"/>
  <c r="U36" i="4" s="1"/>
  <c r="R36" i="4"/>
  <c r="Q36" i="4"/>
  <c r="S36" i="4" s="1"/>
  <c r="N36" i="4"/>
  <c r="O36" i="4" s="1"/>
  <c r="M36" i="4"/>
  <c r="L36" i="4"/>
  <c r="J36" i="4"/>
  <c r="Y35" i="4"/>
  <c r="X35" i="4"/>
  <c r="W35" i="4"/>
  <c r="T35" i="4"/>
  <c r="V35" i="4" s="1"/>
  <c r="Q35" i="4"/>
  <c r="R35" i="4" s="1"/>
  <c r="O35" i="4"/>
  <c r="N35" i="4"/>
  <c r="P35" i="4" s="1"/>
  <c r="M35" i="4"/>
  <c r="L35" i="4"/>
  <c r="J35" i="4"/>
  <c r="Y34" i="4"/>
  <c r="X34" i="4"/>
  <c r="W34" i="4"/>
  <c r="T34" i="4"/>
  <c r="U34" i="4" s="1"/>
  <c r="Q34" i="4"/>
  <c r="S34" i="4" s="1"/>
  <c r="N34" i="4"/>
  <c r="O34" i="4" s="1"/>
  <c r="M34" i="4"/>
  <c r="L34" i="4"/>
  <c r="J34" i="4"/>
  <c r="Y33" i="4"/>
  <c r="X33" i="4"/>
  <c r="W33" i="4"/>
  <c r="U33" i="4"/>
  <c r="T33" i="4"/>
  <c r="V33" i="4" s="1"/>
  <c r="Q33" i="4"/>
  <c r="R33" i="4" s="1"/>
  <c r="N33" i="4"/>
  <c r="P33" i="4" s="1"/>
  <c r="Y32" i="4"/>
  <c r="X32" i="4"/>
  <c r="W32" i="4"/>
  <c r="U32" i="4"/>
  <c r="T32" i="4"/>
  <c r="V32" i="4" s="1"/>
  <c r="Q32" i="4"/>
  <c r="R32" i="4" s="1"/>
  <c r="N32" i="4"/>
  <c r="P32" i="4" s="1"/>
  <c r="M32" i="4"/>
  <c r="L32" i="4"/>
  <c r="J32" i="4"/>
  <c r="Y31" i="4"/>
  <c r="X31" i="4"/>
  <c r="W31" i="4"/>
  <c r="T31" i="4"/>
  <c r="U31" i="4" s="1"/>
  <c r="R31" i="4"/>
  <c r="Q31" i="4"/>
  <c r="S31" i="4" s="1"/>
  <c r="N31" i="4"/>
  <c r="O31" i="4" s="1"/>
  <c r="M31" i="4"/>
  <c r="L31" i="4"/>
  <c r="J31" i="4"/>
  <c r="Y30" i="4"/>
  <c r="X30" i="4"/>
  <c r="W30" i="4"/>
  <c r="T30" i="4"/>
  <c r="V30" i="4" s="1"/>
  <c r="Q30" i="4"/>
  <c r="R30" i="4" s="1"/>
  <c r="O30" i="4"/>
  <c r="N30" i="4"/>
  <c r="P30" i="4" s="1"/>
  <c r="M30" i="4"/>
  <c r="L30" i="4"/>
  <c r="J30" i="4"/>
  <c r="Y29" i="4"/>
  <c r="X29" i="4"/>
  <c r="W29" i="4"/>
  <c r="T29" i="4"/>
  <c r="U29" i="4" s="1"/>
  <c r="Q29" i="4"/>
  <c r="S29" i="4" s="1"/>
  <c r="N29" i="4"/>
  <c r="O29" i="4" s="1"/>
  <c r="M29" i="4"/>
  <c r="L29" i="4"/>
  <c r="J29" i="4"/>
  <c r="Y28" i="4"/>
  <c r="X28" i="4"/>
  <c r="W28" i="4"/>
  <c r="U28" i="4"/>
  <c r="T28" i="4"/>
  <c r="V28" i="4" s="1"/>
  <c r="Q28" i="4"/>
  <c r="R28" i="4" s="1"/>
  <c r="N28" i="4"/>
  <c r="P28" i="4" s="1"/>
  <c r="M28" i="4"/>
  <c r="L28" i="4"/>
  <c r="J28" i="4"/>
  <c r="Y27" i="4"/>
  <c r="X27" i="4"/>
  <c r="W27" i="4"/>
  <c r="T27" i="4"/>
  <c r="U27" i="4" s="1"/>
  <c r="R27" i="4"/>
  <c r="Q27" i="4"/>
  <c r="S27" i="4" s="1"/>
  <c r="N27" i="4"/>
  <c r="O27" i="4" s="1"/>
  <c r="M27" i="4"/>
  <c r="L27" i="4"/>
  <c r="J27" i="4"/>
  <c r="Y26" i="4"/>
  <c r="Y427" i="4" s="1"/>
  <c r="X26" i="4"/>
  <c r="W26" i="4"/>
  <c r="W427" i="4" s="1"/>
  <c r="T26" i="4"/>
  <c r="V26" i="4" s="1"/>
  <c r="Q26" i="4"/>
  <c r="R26" i="4" s="1"/>
  <c r="O26" i="4"/>
  <c r="N26" i="4"/>
  <c r="P26" i="4" s="1"/>
  <c r="T25" i="4"/>
  <c r="U25" i="4" s="1"/>
  <c r="Q25" i="4"/>
  <c r="S25" i="4" s="1"/>
  <c r="N25" i="4"/>
  <c r="O25" i="4" s="1"/>
  <c r="M25" i="4"/>
  <c r="L25" i="4"/>
  <c r="J25" i="4"/>
  <c r="T24" i="4"/>
  <c r="U24" i="4" s="1"/>
  <c r="R24" i="4"/>
  <c r="Q24" i="4"/>
  <c r="S24" i="4" s="1"/>
  <c r="N24" i="4"/>
  <c r="O24" i="4" s="1"/>
  <c r="M24" i="4"/>
  <c r="L24" i="4"/>
  <c r="J24" i="4"/>
  <c r="T23" i="4"/>
  <c r="U23" i="4" s="1"/>
  <c r="Q23" i="4"/>
  <c r="S23" i="4" s="1"/>
  <c r="N23" i="4"/>
  <c r="O23" i="4" s="1"/>
  <c r="M23" i="4"/>
  <c r="L23" i="4"/>
  <c r="J23" i="4"/>
  <c r="T22" i="4"/>
  <c r="U22" i="4" s="1"/>
  <c r="R22" i="4"/>
  <c r="Q22" i="4"/>
  <c r="S22" i="4" s="1"/>
  <c r="N22" i="4"/>
  <c r="O22" i="4" s="1"/>
  <c r="M22" i="4"/>
  <c r="L22" i="4"/>
  <c r="J22" i="4"/>
  <c r="T21" i="4"/>
  <c r="U21" i="4" s="1"/>
  <c r="Q21" i="4"/>
  <c r="S21" i="4" s="1"/>
  <c r="N21" i="4"/>
  <c r="O21" i="4" s="1"/>
  <c r="M21" i="4"/>
  <c r="L21" i="4"/>
  <c r="J21" i="4"/>
  <c r="T20" i="4"/>
  <c r="U20" i="4" s="1"/>
  <c r="R20" i="4"/>
  <c r="Q20" i="4"/>
  <c r="S20" i="4" s="1"/>
  <c r="N20" i="4"/>
  <c r="O20" i="4" s="1"/>
  <c r="M20" i="4"/>
  <c r="L20" i="4"/>
  <c r="J20" i="4"/>
  <c r="T19" i="4"/>
  <c r="U19" i="4" s="1"/>
  <c r="Q19" i="4"/>
  <c r="S19" i="4" s="1"/>
  <c r="N19" i="4"/>
  <c r="O19" i="4" s="1"/>
  <c r="U18" i="4"/>
  <c r="T18" i="4"/>
  <c r="V18" i="4" s="1"/>
  <c r="Q18" i="4"/>
  <c r="R18" i="4" s="1"/>
  <c r="N18" i="4"/>
  <c r="P18" i="4" s="1"/>
  <c r="M18" i="4"/>
  <c r="L18" i="4"/>
  <c r="J18" i="4"/>
  <c r="U17" i="4"/>
  <c r="T17" i="4"/>
  <c r="V17" i="4" s="1"/>
  <c r="Q17" i="4"/>
  <c r="R17" i="4" s="1"/>
  <c r="N17" i="4"/>
  <c r="P17" i="4" s="1"/>
  <c r="M17" i="4"/>
  <c r="L17" i="4"/>
  <c r="J17" i="4"/>
  <c r="U16" i="4"/>
  <c r="T16" i="4"/>
  <c r="V16" i="4" s="1"/>
  <c r="Q16" i="4"/>
  <c r="R16" i="4" s="1"/>
  <c r="N16" i="4"/>
  <c r="P16" i="4" s="1"/>
  <c r="M16" i="4"/>
  <c r="L16" i="4"/>
  <c r="J16" i="4"/>
  <c r="U15" i="4"/>
  <c r="T15" i="4"/>
  <c r="V15" i="4" s="1"/>
  <c r="Q15" i="4"/>
  <c r="R15" i="4" s="1"/>
  <c r="N15" i="4"/>
  <c r="P15" i="4" s="1"/>
  <c r="M15" i="4"/>
  <c r="L15" i="4"/>
  <c r="J15" i="4"/>
  <c r="U14" i="4"/>
  <c r="T14" i="4"/>
  <c r="V14" i="4" s="1"/>
  <c r="Q14" i="4"/>
  <c r="R14" i="4" s="1"/>
  <c r="N14" i="4"/>
  <c r="P14" i="4" s="1"/>
  <c r="M14" i="4"/>
  <c r="L14" i="4"/>
  <c r="J14" i="4"/>
  <c r="U13" i="4"/>
  <c r="T13" i="4"/>
  <c r="V13" i="4" s="1"/>
  <c r="Q13" i="4"/>
  <c r="R13" i="4" s="1"/>
  <c r="N13" i="4"/>
  <c r="P13" i="4" s="1"/>
  <c r="M13" i="4"/>
  <c r="L13" i="4"/>
  <c r="J13" i="4"/>
  <c r="U12" i="4"/>
  <c r="T12" i="4"/>
  <c r="Q12" i="4"/>
  <c r="Q427" i="4" s="1"/>
  <c r="N12" i="4"/>
  <c r="O12" i="4" s="1"/>
  <c r="M11" i="4"/>
  <c r="L11" i="4"/>
  <c r="J11" i="4"/>
  <c r="M10" i="4"/>
  <c r="L10" i="4"/>
  <c r="J10" i="4"/>
  <c r="M9" i="4"/>
  <c r="L9" i="4"/>
  <c r="J9" i="4"/>
  <c r="M8" i="4"/>
  <c r="L8" i="4"/>
  <c r="J8" i="4"/>
  <c r="M7" i="4"/>
  <c r="L7" i="4"/>
  <c r="J7" i="4"/>
  <c r="M6" i="4"/>
  <c r="L6" i="4"/>
  <c r="J6" i="4"/>
  <c r="O184" i="4" l="1"/>
  <c r="P184" i="4"/>
  <c r="U184" i="4"/>
  <c r="V184" i="4"/>
  <c r="O186" i="4"/>
  <c r="P186" i="4"/>
  <c r="U186" i="4"/>
  <c r="V186" i="4"/>
  <c r="R187" i="4"/>
  <c r="S187" i="4"/>
  <c r="V188" i="4"/>
  <c r="U188" i="4"/>
  <c r="P191" i="4"/>
  <c r="O191" i="4"/>
  <c r="V191" i="4"/>
  <c r="U191" i="4"/>
  <c r="P202" i="4"/>
  <c r="O202" i="4"/>
  <c r="R203" i="4"/>
  <c r="S203" i="4"/>
  <c r="V204" i="4"/>
  <c r="U204" i="4"/>
  <c r="P207" i="4"/>
  <c r="O207" i="4"/>
  <c r="V207" i="4"/>
  <c r="U207" i="4"/>
  <c r="S208" i="4"/>
  <c r="R208" i="4"/>
  <c r="S209" i="4"/>
  <c r="R209" i="4"/>
  <c r="S210" i="4"/>
  <c r="R210" i="4"/>
  <c r="S211" i="4"/>
  <c r="R211" i="4"/>
  <c r="S212" i="4"/>
  <c r="R212" i="4"/>
  <c r="S213" i="4"/>
  <c r="R213" i="4"/>
  <c r="S214" i="4"/>
  <c r="R214" i="4"/>
  <c r="P215" i="4"/>
  <c r="O215" i="4"/>
  <c r="V215" i="4"/>
  <c r="U215" i="4"/>
  <c r="P218" i="4"/>
  <c r="O218" i="4"/>
  <c r="R219" i="4"/>
  <c r="S219" i="4"/>
  <c r="V220" i="4"/>
  <c r="U220" i="4"/>
  <c r="P231" i="4"/>
  <c r="O231" i="4"/>
  <c r="V231" i="4"/>
  <c r="U231" i="4"/>
  <c r="P234" i="4"/>
  <c r="O234" i="4"/>
  <c r="R235" i="4"/>
  <c r="S235" i="4"/>
  <c r="O236" i="4"/>
  <c r="P236" i="4"/>
  <c r="U236" i="4"/>
  <c r="V236" i="4"/>
  <c r="O238" i="4"/>
  <c r="P238" i="4"/>
  <c r="U238" i="4"/>
  <c r="V238" i="4"/>
  <c r="O240" i="4"/>
  <c r="P240" i="4"/>
  <c r="U240" i="4"/>
  <c r="V240" i="4"/>
  <c r="O242" i="4"/>
  <c r="P242" i="4"/>
  <c r="U242" i="4"/>
  <c r="V242" i="4"/>
  <c r="R243" i="4"/>
  <c r="S243" i="4"/>
  <c r="V244" i="4"/>
  <c r="U244" i="4"/>
  <c r="P247" i="4"/>
  <c r="O247" i="4"/>
  <c r="V247" i="4"/>
  <c r="U247" i="4"/>
  <c r="P257" i="4"/>
  <c r="O257" i="4"/>
  <c r="R258" i="4"/>
  <c r="S258" i="4"/>
  <c r="V259" i="4"/>
  <c r="U259" i="4"/>
  <c r="P262" i="4"/>
  <c r="O262" i="4"/>
  <c r="V262" i="4"/>
  <c r="U262" i="4"/>
  <c r="P271" i="4"/>
  <c r="O271" i="4"/>
  <c r="R272" i="4"/>
  <c r="S272" i="4"/>
  <c r="V273" i="4"/>
  <c r="U273" i="4"/>
  <c r="P276" i="4"/>
  <c r="O276" i="4"/>
  <c r="V276" i="4"/>
  <c r="U276" i="4"/>
  <c r="P285" i="4"/>
  <c r="O285" i="4"/>
  <c r="R286" i="4"/>
  <c r="S286" i="4"/>
  <c r="V287" i="4"/>
  <c r="U287" i="4"/>
  <c r="P290" i="4"/>
  <c r="O290" i="4"/>
  <c r="V290" i="4"/>
  <c r="U290" i="4"/>
  <c r="P299" i="4"/>
  <c r="O299" i="4"/>
  <c r="R300" i="4"/>
  <c r="S300" i="4"/>
  <c r="V301" i="4"/>
  <c r="U301" i="4"/>
  <c r="P304" i="4"/>
  <c r="O304" i="4"/>
  <c r="V304" i="4"/>
  <c r="U304" i="4"/>
  <c r="P313" i="4"/>
  <c r="O313" i="4"/>
  <c r="R314" i="4"/>
  <c r="S314" i="4"/>
  <c r="V315" i="4"/>
  <c r="U315" i="4"/>
  <c r="P318" i="4"/>
  <c r="O318" i="4"/>
  <c r="V318" i="4"/>
  <c r="U318" i="4"/>
  <c r="P327" i="4"/>
  <c r="O327" i="4"/>
  <c r="R328" i="4"/>
  <c r="S328" i="4"/>
  <c r="V329" i="4"/>
  <c r="U329" i="4"/>
  <c r="P332" i="4"/>
  <c r="O332" i="4"/>
  <c r="V332" i="4"/>
  <c r="U332" i="4"/>
  <c r="P341" i="4"/>
  <c r="O341" i="4"/>
  <c r="R342" i="4"/>
  <c r="S342" i="4"/>
  <c r="V343" i="4"/>
  <c r="U343" i="4"/>
  <c r="P346" i="4"/>
  <c r="O346" i="4"/>
  <c r="V346" i="4"/>
  <c r="U346" i="4"/>
  <c r="P355" i="4"/>
  <c r="O355" i="4"/>
  <c r="R356" i="4"/>
  <c r="S356" i="4"/>
  <c r="V357" i="4"/>
  <c r="U357" i="4"/>
  <c r="P360" i="4"/>
  <c r="O360" i="4"/>
  <c r="V360" i="4"/>
  <c r="U360" i="4"/>
  <c r="P369" i="4"/>
  <c r="O369" i="4"/>
  <c r="R370" i="4"/>
  <c r="S370" i="4"/>
  <c r="V371" i="4"/>
  <c r="U371" i="4"/>
  <c r="P374" i="4"/>
  <c r="O374" i="4"/>
  <c r="V374" i="4"/>
  <c r="U374" i="4"/>
  <c r="P383" i="4"/>
  <c r="O383" i="4"/>
  <c r="R384" i="4"/>
  <c r="S384" i="4"/>
  <c r="V385" i="4"/>
  <c r="U385" i="4"/>
  <c r="P388" i="4"/>
  <c r="O388" i="4"/>
  <c r="V388" i="4"/>
  <c r="U388" i="4"/>
  <c r="P397" i="4"/>
  <c r="O397" i="4"/>
  <c r="R398" i="4"/>
  <c r="S398" i="4"/>
  <c r="U399" i="4"/>
  <c r="V399" i="4"/>
  <c r="O401" i="4"/>
  <c r="P401" i="4"/>
  <c r="U401" i="4"/>
  <c r="V401" i="4"/>
  <c r="O403" i="4"/>
  <c r="P403" i="4"/>
  <c r="U403" i="4"/>
  <c r="V403" i="4"/>
  <c r="R404" i="4"/>
  <c r="S404" i="4"/>
  <c r="V405" i="4"/>
  <c r="U405" i="4"/>
  <c r="P408" i="4"/>
  <c r="O408" i="4"/>
  <c r="V408" i="4"/>
  <c r="U408" i="4"/>
  <c r="P419" i="4"/>
  <c r="O419" i="4"/>
  <c r="R420" i="4"/>
  <c r="S420" i="4"/>
  <c r="V421" i="4"/>
  <c r="U421" i="4"/>
  <c r="P424" i="4"/>
  <c r="O424" i="4"/>
  <c r="V424" i="4"/>
  <c r="U424" i="4"/>
  <c r="L427" i="4"/>
  <c r="O13" i="4"/>
  <c r="O14" i="4"/>
  <c r="O15" i="4"/>
  <c r="O16" i="4"/>
  <c r="O17" i="4"/>
  <c r="O18" i="4"/>
  <c r="R19" i="4"/>
  <c r="R21" i="4"/>
  <c r="R23" i="4"/>
  <c r="R25" i="4"/>
  <c r="U26" i="4"/>
  <c r="O28" i="4"/>
  <c r="R29" i="4"/>
  <c r="U30" i="4"/>
  <c r="O32" i="4"/>
  <c r="O33" i="4"/>
  <c r="R34" i="4"/>
  <c r="U35" i="4"/>
  <c r="O37" i="4"/>
  <c r="R38" i="4"/>
  <c r="U39" i="4"/>
  <c r="U40" i="4"/>
  <c r="O42" i="4"/>
  <c r="R43" i="4"/>
  <c r="U44" i="4"/>
  <c r="O46" i="4"/>
  <c r="O47" i="4"/>
  <c r="R48" i="4"/>
  <c r="U49" i="4"/>
  <c r="O51" i="4"/>
  <c r="R52" i="4"/>
  <c r="U53" i="4"/>
  <c r="U54" i="4"/>
  <c r="P56" i="4"/>
  <c r="R56" i="4"/>
  <c r="V56" i="4"/>
  <c r="O57" i="4"/>
  <c r="S57" i="4"/>
  <c r="U57" i="4"/>
  <c r="P58" i="4"/>
  <c r="R58" i="4"/>
  <c r="V58" i="4"/>
  <c r="O59" i="4"/>
  <c r="S59" i="4"/>
  <c r="U59" i="4"/>
  <c r="P60" i="4"/>
  <c r="R60" i="4"/>
  <c r="V60" i="4"/>
  <c r="R61" i="4"/>
  <c r="U62" i="4"/>
  <c r="O64" i="4"/>
  <c r="R65" i="4"/>
  <c r="U66" i="4"/>
  <c r="O76" i="4"/>
  <c r="R77" i="4"/>
  <c r="U78" i="4"/>
  <c r="O80" i="4"/>
  <c r="R81" i="4"/>
  <c r="P82" i="4"/>
  <c r="R82" i="4"/>
  <c r="V82" i="4"/>
  <c r="O83" i="4"/>
  <c r="S83" i="4"/>
  <c r="U83" i="4"/>
  <c r="P84" i="4"/>
  <c r="R84" i="4"/>
  <c r="V84" i="4"/>
  <c r="O85" i="4"/>
  <c r="S85" i="4"/>
  <c r="U85" i="4"/>
  <c r="P86" i="4"/>
  <c r="R86" i="4"/>
  <c r="V86" i="4"/>
  <c r="O87" i="4"/>
  <c r="S87" i="4"/>
  <c r="U87" i="4"/>
  <c r="P88" i="4"/>
  <c r="R88" i="4"/>
  <c r="V88" i="4"/>
  <c r="R89" i="4"/>
  <c r="U90" i="4"/>
  <c r="O92" i="4"/>
  <c r="R93" i="4"/>
  <c r="U94" i="4"/>
  <c r="O104" i="4"/>
  <c r="R105" i="4"/>
  <c r="U106" i="4"/>
  <c r="O108" i="4"/>
  <c r="R109" i="4"/>
  <c r="P110" i="4"/>
  <c r="R110" i="4"/>
  <c r="V110" i="4"/>
  <c r="Z427" i="4"/>
  <c r="AB427" i="4"/>
  <c r="R111" i="4"/>
  <c r="P112" i="4"/>
  <c r="R112" i="4"/>
  <c r="V112" i="4"/>
  <c r="R113" i="4"/>
  <c r="P114" i="4"/>
  <c r="R114" i="4"/>
  <c r="V114" i="4"/>
  <c r="R115" i="4"/>
  <c r="P116" i="4"/>
  <c r="R116" i="4"/>
  <c r="V116" i="4"/>
  <c r="O117" i="4"/>
  <c r="S117" i="4"/>
  <c r="U117" i="4"/>
  <c r="U118" i="4"/>
  <c r="O120" i="4"/>
  <c r="O121" i="4"/>
  <c r="S121" i="4"/>
  <c r="U121" i="4"/>
  <c r="U122" i="4"/>
  <c r="O132" i="4"/>
  <c r="O133" i="4"/>
  <c r="S133" i="4"/>
  <c r="U133" i="4"/>
  <c r="U134" i="4"/>
  <c r="O136" i="4"/>
  <c r="O137" i="4"/>
  <c r="S137" i="4"/>
  <c r="U137" i="4"/>
  <c r="P138" i="4"/>
  <c r="R138" i="4"/>
  <c r="V138" i="4"/>
  <c r="R139" i="4"/>
  <c r="P140" i="4"/>
  <c r="R140" i="4"/>
  <c r="V140" i="4"/>
  <c r="R141" i="4"/>
  <c r="P142" i="4"/>
  <c r="R142" i="4"/>
  <c r="V142" i="4"/>
  <c r="R143" i="4"/>
  <c r="P144" i="4"/>
  <c r="R144" i="4"/>
  <c r="V144" i="4"/>
  <c r="O145" i="4"/>
  <c r="S145" i="4"/>
  <c r="U145" i="4"/>
  <c r="U146" i="4"/>
  <c r="O148" i="4"/>
  <c r="O149" i="4"/>
  <c r="S149" i="4"/>
  <c r="U149" i="4"/>
  <c r="U150" i="4"/>
  <c r="O160" i="4"/>
  <c r="O161" i="4"/>
  <c r="S161" i="4"/>
  <c r="U161" i="4"/>
  <c r="U162" i="4"/>
  <c r="O164" i="4"/>
  <c r="O165" i="4"/>
  <c r="S165" i="4"/>
  <c r="U165" i="4"/>
  <c r="P166" i="4"/>
  <c r="R166" i="4"/>
  <c r="V166" i="4"/>
  <c r="R167" i="4"/>
  <c r="P168" i="4"/>
  <c r="R168" i="4"/>
  <c r="V168" i="4"/>
  <c r="R169" i="4"/>
  <c r="P170" i="4"/>
  <c r="R170" i="4"/>
  <c r="V170" i="4"/>
  <c r="R171" i="4"/>
  <c r="P172" i="4"/>
  <c r="R172" i="4"/>
  <c r="V172" i="4"/>
  <c r="O173" i="4"/>
  <c r="S173" i="4"/>
  <c r="U173" i="4"/>
  <c r="U174" i="4"/>
  <c r="O176" i="4"/>
  <c r="O177" i="4"/>
  <c r="S177" i="4"/>
  <c r="U177" i="4"/>
  <c r="U178" i="4"/>
  <c r="S183" i="4"/>
  <c r="R183" i="4"/>
  <c r="S184" i="4"/>
  <c r="R184" i="4"/>
  <c r="S185" i="4"/>
  <c r="R185" i="4"/>
  <c r="S186" i="4"/>
  <c r="R186" i="4"/>
  <c r="P187" i="4"/>
  <c r="O187" i="4"/>
  <c r="V187" i="4"/>
  <c r="U187" i="4"/>
  <c r="P190" i="4"/>
  <c r="O190" i="4"/>
  <c r="R191" i="4"/>
  <c r="S191" i="4"/>
  <c r="V192" i="4"/>
  <c r="U192" i="4"/>
  <c r="P203" i="4"/>
  <c r="O203" i="4"/>
  <c r="V203" i="4"/>
  <c r="U203" i="4"/>
  <c r="P206" i="4"/>
  <c r="O206" i="4"/>
  <c r="R207" i="4"/>
  <c r="S207" i="4"/>
  <c r="O208" i="4"/>
  <c r="P208" i="4"/>
  <c r="U208" i="4"/>
  <c r="V208" i="4"/>
  <c r="O210" i="4"/>
  <c r="P210" i="4"/>
  <c r="U210" i="4"/>
  <c r="V210" i="4"/>
  <c r="O212" i="4"/>
  <c r="P212" i="4"/>
  <c r="U212" i="4"/>
  <c r="V212" i="4"/>
  <c r="O214" i="4"/>
  <c r="P214" i="4"/>
  <c r="U214" i="4"/>
  <c r="V214" i="4"/>
  <c r="R215" i="4"/>
  <c r="S215" i="4"/>
  <c r="V216" i="4"/>
  <c r="U216" i="4"/>
  <c r="P219" i="4"/>
  <c r="O219" i="4"/>
  <c r="V219" i="4"/>
  <c r="U219" i="4"/>
  <c r="P230" i="4"/>
  <c r="O230" i="4"/>
  <c r="R231" i="4"/>
  <c r="S231" i="4"/>
  <c r="V232" i="4"/>
  <c r="U232" i="4"/>
  <c r="P235" i="4"/>
  <c r="O235" i="4"/>
  <c r="V235" i="4"/>
  <c r="U235" i="4"/>
  <c r="S236" i="4"/>
  <c r="R236" i="4"/>
  <c r="S237" i="4"/>
  <c r="R237" i="4"/>
  <c r="S238" i="4"/>
  <c r="R238" i="4"/>
  <c r="S239" i="4"/>
  <c r="R239" i="4"/>
  <c r="S240" i="4"/>
  <c r="R240" i="4"/>
  <c r="S241" i="4"/>
  <c r="R241" i="4"/>
  <c r="S242" i="4"/>
  <c r="R242" i="4"/>
  <c r="P243" i="4"/>
  <c r="O243" i="4"/>
  <c r="V243" i="4"/>
  <c r="U243" i="4"/>
  <c r="P246" i="4"/>
  <c r="O246" i="4"/>
  <c r="R247" i="4"/>
  <c r="S247" i="4"/>
  <c r="V248" i="4"/>
  <c r="U248" i="4"/>
  <c r="P258" i="4"/>
  <c r="O258" i="4"/>
  <c r="V258" i="4"/>
  <c r="U258" i="4"/>
  <c r="P261" i="4"/>
  <c r="O261" i="4"/>
  <c r="R262" i="4"/>
  <c r="S262" i="4"/>
  <c r="V263" i="4"/>
  <c r="U263" i="4"/>
  <c r="P272" i="4"/>
  <c r="O272" i="4"/>
  <c r="V272" i="4"/>
  <c r="U272" i="4"/>
  <c r="P275" i="4"/>
  <c r="O275" i="4"/>
  <c r="R276" i="4"/>
  <c r="S276" i="4"/>
  <c r="V277" i="4"/>
  <c r="U277" i="4"/>
  <c r="P286" i="4"/>
  <c r="O286" i="4"/>
  <c r="V286" i="4"/>
  <c r="U286" i="4"/>
  <c r="P289" i="4"/>
  <c r="O289" i="4"/>
  <c r="R290" i="4"/>
  <c r="S290" i="4"/>
  <c r="V291" i="4"/>
  <c r="U291" i="4"/>
  <c r="P300" i="4"/>
  <c r="O300" i="4"/>
  <c r="V300" i="4"/>
  <c r="U300" i="4"/>
  <c r="P303" i="4"/>
  <c r="O303" i="4"/>
  <c r="R304" i="4"/>
  <c r="S304" i="4"/>
  <c r="V305" i="4"/>
  <c r="U305" i="4"/>
  <c r="P314" i="4"/>
  <c r="O314" i="4"/>
  <c r="V314" i="4"/>
  <c r="U314" i="4"/>
  <c r="P317" i="4"/>
  <c r="O317" i="4"/>
  <c r="R318" i="4"/>
  <c r="S318" i="4"/>
  <c r="V319" i="4"/>
  <c r="U319" i="4"/>
  <c r="P328" i="4"/>
  <c r="O328" i="4"/>
  <c r="V328" i="4"/>
  <c r="U328" i="4"/>
  <c r="P331" i="4"/>
  <c r="O331" i="4"/>
  <c r="R332" i="4"/>
  <c r="S332" i="4"/>
  <c r="V333" i="4"/>
  <c r="U333" i="4"/>
  <c r="P342" i="4"/>
  <c r="O342" i="4"/>
  <c r="V342" i="4"/>
  <c r="U342" i="4"/>
  <c r="P345" i="4"/>
  <c r="O345" i="4"/>
  <c r="R346" i="4"/>
  <c r="S346" i="4"/>
  <c r="V347" i="4"/>
  <c r="U347" i="4"/>
  <c r="P356" i="4"/>
  <c r="O356" i="4"/>
  <c r="V356" i="4"/>
  <c r="U356" i="4"/>
  <c r="P359" i="4"/>
  <c r="O359" i="4"/>
  <c r="R360" i="4"/>
  <c r="S360" i="4"/>
  <c r="V361" i="4"/>
  <c r="U361" i="4"/>
  <c r="P370" i="4"/>
  <c r="O370" i="4"/>
  <c r="V370" i="4"/>
  <c r="U370" i="4"/>
  <c r="P373" i="4"/>
  <c r="O373" i="4"/>
  <c r="R374" i="4"/>
  <c r="S374" i="4"/>
  <c r="V375" i="4"/>
  <c r="U375" i="4"/>
  <c r="P384" i="4"/>
  <c r="O384" i="4"/>
  <c r="V384" i="4"/>
  <c r="U384" i="4"/>
  <c r="P387" i="4"/>
  <c r="O387" i="4"/>
  <c r="R388" i="4"/>
  <c r="S388" i="4"/>
  <c r="V389" i="4"/>
  <c r="U389" i="4"/>
  <c r="P398" i="4"/>
  <c r="O398" i="4"/>
  <c r="V398" i="4"/>
  <c r="U398" i="4"/>
  <c r="S400" i="4"/>
  <c r="R400" i="4"/>
  <c r="S401" i="4"/>
  <c r="R401" i="4"/>
  <c r="S402" i="4"/>
  <c r="R402" i="4"/>
  <c r="S403" i="4"/>
  <c r="R403" i="4"/>
  <c r="P404" i="4"/>
  <c r="O404" i="4"/>
  <c r="V404" i="4"/>
  <c r="U404" i="4"/>
  <c r="P407" i="4"/>
  <c r="O407" i="4"/>
  <c r="R408" i="4"/>
  <c r="S408" i="4"/>
  <c r="V409" i="4"/>
  <c r="U409" i="4"/>
  <c r="P420" i="4"/>
  <c r="O420" i="4"/>
  <c r="V420" i="4"/>
  <c r="U420" i="4"/>
  <c r="P423" i="4"/>
  <c r="O423" i="4"/>
  <c r="R424" i="4"/>
  <c r="S424" i="4"/>
  <c r="S170" i="5"/>
  <c r="R170" i="5"/>
  <c r="V173" i="5"/>
  <c r="U173" i="5"/>
  <c r="V175" i="5"/>
  <c r="U175" i="5"/>
  <c r="V177" i="5"/>
  <c r="U177" i="5"/>
  <c r="V179" i="5"/>
  <c r="U179" i="5"/>
  <c r="S183" i="5"/>
  <c r="R183" i="5"/>
  <c r="P187" i="5"/>
  <c r="O187" i="5"/>
  <c r="P189" i="5"/>
  <c r="O189" i="5"/>
  <c r="P191" i="5"/>
  <c r="O191" i="5"/>
  <c r="P193" i="5"/>
  <c r="O193" i="5"/>
  <c r="S196" i="5"/>
  <c r="R196" i="5"/>
  <c r="S200" i="5"/>
  <c r="R200" i="5"/>
  <c r="T427" i="5"/>
  <c r="R14" i="5"/>
  <c r="R16" i="5"/>
  <c r="R18" i="5"/>
  <c r="U19" i="5"/>
  <c r="U20" i="5"/>
  <c r="U21" i="5"/>
  <c r="U22" i="5"/>
  <c r="U23" i="5"/>
  <c r="U24" i="5"/>
  <c r="U25" i="5"/>
  <c r="U27" i="5"/>
  <c r="O29" i="5"/>
  <c r="R30" i="5"/>
  <c r="U31" i="5"/>
  <c r="R33" i="5"/>
  <c r="U34" i="5"/>
  <c r="O36" i="5"/>
  <c r="R37" i="5"/>
  <c r="U38" i="5"/>
  <c r="R40" i="5"/>
  <c r="U41" i="5"/>
  <c r="O43" i="5"/>
  <c r="R44" i="5"/>
  <c r="U45" i="5"/>
  <c r="R47" i="5"/>
  <c r="U48" i="5"/>
  <c r="O50" i="5"/>
  <c r="R51" i="5"/>
  <c r="U52" i="5"/>
  <c r="R54" i="5"/>
  <c r="U55" i="5"/>
  <c r="O57" i="5"/>
  <c r="R58" i="5"/>
  <c r="U59" i="5"/>
  <c r="R61" i="5"/>
  <c r="U62" i="5"/>
  <c r="O64" i="5"/>
  <c r="R65" i="5"/>
  <c r="U66" i="5"/>
  <c r="O76" i="5"/>
  <c r="R77" i="5"/>
  <c r="U78" i="5"/>
  <c r="O80" i="5"/>
  <c r="R81" i="5"/>
  <c r="P82" i="5"/>
  <c r="R82" i="5"/>
  <c r="V82" i="5"/>
  <c r="O83" i="5"/>
  <c r="S83" i="5"/>
  <c r="U83" i="5"/>
  <c r="P84" i="5"/>
  <c r="R84" i="5"/>
  <c r="V84" i="5"/>
  <c r="O85" i="5"/>
  <c r="S85" i="5"/>
  <c r="U85" i="5"/>
  <c r="P86" i="5"/>
  <c r="R86" i="5"/>
  <c r="V86" i="5"/>
  <c r="O87" i="5"/>
  <c r="S87" i="5"/>
  <c r="U87" i="5"/>
  <c r="P88" i="5"/>
  <c r="R88" i="5"/>
  <c r="V88" i="5"/>
  <c r="R89" i="5"/>
  <c r="U90" i="5"/>
  <c r="O92" i="5"/>
  <c r="R93" i="5"/>
  <c r="U94" i="5"/>
  <c r="U104" i="5"/>
  <c r="U106" i="5"/>
  <c r="U108" i="5"/>
  <c r="P110" i="5"/>
  <c r="R110" i="5"/>
  <c r="V110" i="5"/>
  <c r="Z427" i="5"/>
  <c r="AB427" i="5"/>
  <c r="R111" i="5"/>
  <c r="P112" i="5"/>
  <c r="R112" i="5"/>
  <c r="V112" i="5"/>
  <c r="O118" i="5"/>
  <c r="O119" i="5"/>
  <c r="O120" i="5"/>
  <c r="O121" i="5"/>
  <c r="O122" i="5"/>
  <c r="O123" i="5"/>
  <c r="R124" i="5"/>
  <c r="R126" i="5"/>
  <c r="R128" i="5"/>
  <c r="R130" i="5"/>
  <c r="U131" i="5"/>
  <c r="U132" i="5"/>
  <c r="U133" i="5"/>
  <c r="U134" i="5"/>
  <c r="U135" i="5"/>
  <c r="U136" i="5"/>
  <c r="U137" i="5"/>
  <c r="R139" i="5"/>
  <c r="R141" i="5"/>
  <c r="R143" i="5"/>
  <c r="O145" i="5"/>
  <c r="O146" i="5"/>
  <c r="O147" i="5"/>
  <c r="O148" i="5"/>
  <c r="O149" i="5"/>
  <c r="O150" i="5"/>
  <c r="O151" i="5"/>
  <c r="R152" i="5"/>
  <c r="R154" i="5"/>
  <c r="R156" i="5"/>
  <c r="R158" i="5"/>
  <c r="U159" i="5"/>
  <c r="U160" i="5"/>
  <c r="U161" i="5"/>
  <c r="U162" i="5"/>
  <c r="U163" i="5"/>
  <c r="U164" i="5"/>
  <c r="U165" i="5"/>
  <c r="R167" i="5"/>
  <c r="S168" i="5"/>
  <c r="R168" i="5"/>
  <c r="S172" i="5"/>
  <c r="R172" i="5"/>
  <c r="V174" i="5"/>
  <c r="U174" i="5"/>
  <c r="V176" i="5"/>
  <c r="U176" i="5"/>
  <c r="V178" i="5"/>
  <c r="U178" i="5"/>
  <c r="S181" i="5"/>
  <c r="R181" i="5"/>
  <c r="S185" i="5"/>
  <c r="R185" i="5"/>
  <c r="P188" i="5"/>
  <c r="O188" i="5"/>
  <c r="P190" i="5"/>
  <c r="O190" i="5"/>
  <c r="P192" i="5"/>
  <c r="O192" i="5"/>
  <c r="S194" i="5"/>
  <c r="R194" i="5"/>
  <c r="S198" i="5"/>
  <c r="R198" i="5"/>
  <c r="P364" i="5"/>
  <c r="O364" i="5"/>
  <c r="V364" i="5"/>
  <c r="U364" i="5"/>
  <c r="P367" i="5"/>
  <c r="O367" i="5"/>
  <c r="R368" i="5"/>
  <c r="S368" i="5"/>
  <c r="O369" i="5"/>
  <c r="P369" i="5"/>
  <c r="U369" i="5"/>
  <c r="V369" i="5"/>
  <c r="O371" i="5"/>
  <c r="P371" i="5"/>
  <c r="U371" i="5"/>
  <c r="V371" i="5"/>
  <c r="O373" i="5"/>
  <c r="P373" i="5"/>
  <c r="U373" i="5"/>
  <c r="V373" i="5"/>
  <c r="U201" i="5"/>
  <c r="U202" i="5"/>
  <c r="U203" i="5"/>
  <c r="U204" i="5"/>
  <c r="U205" i="5"/>
  <c r="U206" i="5"/>
  <c r="U207" i="5"/>
  <c r="R209" i="5"/>
  <c r="R211" i="5"/>
  <c r="R213" i="5"/>
  <c r="O215" i="5"/>
  <c r="O216" i="5"/>
  <c r="O217" i="5"/>
  <c r="O218" i="5"/>
  <c r="O219" i="5"/>
  <c r="O220" i="5"/>
  <c r="O221" i="5"/>
  <c r="R222" i="5"/>
  <c r="R224" i="5"/>
  <c r="R226" i="5"/>
  <c r="O227" i="5"/>
  <c r="S227" i="5"/>
  <c r="U227" i="5"/>
  <c r="U228" i="5"/>
  <c r="O236" i="5"/>
  <c r="O237" i="5"/>
  <c r="S237" i="5"/>
  <c r="U237" i="5"/>
  <c r="U238" i="5"/>
  <c r="O240" i="5"/>
  <c r="O241" i="5"/>
  <c r="S241" i="5"/>
  <c r="U241" i="5"/>
  <c r="U242" i="5"/>
  <c r="O250" i="5"/>
  <c r="O251" i="5"/>
  <c r="S251" i="5"/>
  <c r="U251" i="5"/>
  <c r="U252" i="5"/>
  <c r="O254" i="5"/>
  <c r="O255" i="5"/>
  <c r="S255" i="5"/>
  <c r="U255" i="5"/>
  <c r="U256" i="5"/>
  <c r="O264" i="5"/>
  <c r="O265" i="5"/>
  <c r="S265" i="5"/>
  <c r="U265" i="5"/>
  <c r="U266" i="5"/>
  <c r="O268" i="5"/>
  <c r="O269" i="5"/>
  <c r="S269" i="5"/>
  <c r="U269" i="5"/>
  <c r="U270" i="5"/>
  <c r="O278" i="5"/>
  <c r="O279" i="5"/>
  <c r="S279" i="5"/>
  <c r="U279" i="5"/>
  <c r="U280" i="5"/>
  <c r="O282" i="5"/>
  <c r="O283" i="5"/>
  <c r="S283" i="5"/>
  <c r="U283" i="5"/>
  <c r="U284" i="5"/>
  <c r="O292" i="5"/>
  <c r="O293" i="5"/>
  <c r="S293" i="5"/>
  <c r="U293" i="5"/>
  <c r="U294" i="5"/>
  <c r="O296" i="5"/>
  <c r="O297" i="5"/>
  <c r="S297" i="5"/>
  <c r="U297" i="5"/>
  <c r="U298" i="5"/>
  <c r="O306" i="5"/>
  <c r="O307" i="5"/>
  <c r="S307" i="5"/>
  <c r="U307" i="5"/>
  <c r="U308" i="5"/>
  <c r="O310" i="5"/>
  <c r="O311" i="5"/>
  <c r="S311" i="5"/>
  <c r="U311" i="5"/>
  <c r="U312" i="5"/>
  <c r="R319" i="5"/>
  <c r="U320" i="5"/>
  <c r="U321" i="5"/>
  <c r="U322" i="5"/>
  <c r="U323" i="5"/>
  <c r="U324" i="5"/>
  <c r="U325" i="5"/>
  <c r="U326" i="5"/>
  <c r="P327" i="5"/>
  <c r="R327" i="5"/>
  <c r="V327" i="5"/>
  <c r="R328" i="5"/>
  <c r="P329" i="5"/>
  <c r="R329" i="5"/>
  <c r="V329" i="5"/>
  <c r="R330" i="5"/>
  <c r="P331" i="5"/>
  <c r="R331" i="5"/>
  <c r="V331" i="5"/>
  <c r="R332" i="5"/>
  <c r="P333" i="5"/>
  <c r="R333" i="5"/>
  <c r="V333" i="5"/>
  <c r="O334" i="5"/>
  <c r="S334" i="5"/>
  <c r="U334" i="5"/>
  <c r="U335" i="5"/>
  <c r="O337" i="5"/>
  <c r="O338" i="5"/>
  <c r="S338" i="5"/>
  <c r="U338" i="5"/>
  <c r="U339" i="5"/>
  <c r="O349" i="5"/>
  <c r="O350" i="5"/>
  <c r="S350" i="5"/>
  <c r="U350" i="5"/>
  <c r="U351" i="5"/>
  <c r="O353" i="5"/>
  <c r="O354" i="5"/>
  <c r="S354" i="5"/>
  <c r="U354" i="5"/>
  <c r="P355" i="5"/>
  <c r="R355" i="5"/>
  <c r="V355" i="5"/>
  <c r="R356" i="5"/>
  <c r="P357" i="5"/>
  <c r="R357" i="5"/>
  <c r="V357" i="5"/>
  <c r="R358" i="5"/>
  <c r="P359" i="5"/>
  <c r="R359" i="5"/>
  <c r="V359" i="5"/>
  <c r="R360" i="5"/>
  <c r="P361" i="5"/>
  <c r="R361" i="5"/>
  <c r="V361" i="5"/>
  <c r="O362" i="5"/>
  <c r="S362" i="5"/>
  <c r="U362" i="5"/>
  <c r="P363" i="5"/>
  <c r="O363" i="5"/>
  <c r="R364" i="5"/>
  <c r="S364" i="5"/>
  <c r="V365" i="5"/>
  <c r="U365" i="5"/>
  <c r="P368" i="5"/>
  <c r="O368" i="5"/>
  <c r="V368" i="5"/>
  <c r="U368" i="5"/>
  <c r="S369" i="5"/>
  <c r="R369" i="5"/>
  <c r="S370" i="5"/>
  <c r="R370" i="5"/>
  <c r="S371" i="5"/>
  <c r="R371" i="5"/>
  <c r="S372" i="5"/>
  <c r="R372" i="5"/>
  <c r="S373" i="5"/>
  <c r="R373" i="5"/>
  <c r="S374" i="5"/>
  <c r="R374" i="5"/>
  <c r="P375" i="5"/>
  <c r="R375" i="5"/>
  <c r="V375" i="5"/>
  <c r="O376" i="5"/>
  <c r="S376" i="5"/>
  <c r="U376" i="5"/>
  <c r="U377" i="5"/>
  <c r="O384" i="5"/>
  <c r="O385" i="5"/>
  <c r="S385" i="5"/>
  <c r="U385" i="5"/>
  <c r="U386" i="5"/>
  <c r="O388" i="5"/>
  <c r="O389" i="5"/>
  <c r="S389" i="5"/>
  <c r="U389" i="5"/>
  <c r="P390" i="5"/>
  <c r="R390" i="5"/>
  <c r="V390" i="5"/>
  <c r="R391" i="5"/>
  <c r="P392" i="5"/>
  <c r="R392" i="5"/>
  <c r="V392" i="5"/>
  <c r="R393" i="5"/>
  <c r="P394" i="5"/>
  <c r="R394" i="5"/>
  <c r="V394" i="5"/>
  <c r="R395" i="5"/>
  <c r="P396" i="5"/>
  <c r="R396" i="5"/>
  <c r="V396" i="5"/>
  <c r="O397" i="5"/>
  <c r="S397" i="5"/>
  <c r="U397" i="5"/>
  <c r="U398" i="5"/>
  <c r="O400" i="5"/>
  <c r="O401" i="5"/>
  <c r="S401" i="5"/>
  <c r="U401" i="5"/>
  <c r="U402" i="5"/>
  <c r="O412" i="5"/>
  <c r="O413" i="5"/>
  <c r="S413" i="5"/>
  <c r="U413" i="5"/>
  <c r="U414" i="5"/>
  <c r="O416" i="5"/>
  <c r="O417" i="5"/>
  <c r="S417" i="5"/>
  <c r="U417" i="5"/>
  <c r="P418" i="5"/>
  <c r="R418" i="5"/>
  <c r="V418" i="5"/>
  <c r="R419" i="5"/>
  <c r="P420" i="5"/>
  <c r="R420" i="5"/>
  <c r="V420" i="5"/>
  <c r="R421" i="5"/>
  <c r="P422" i="5"/>
  <c r="R422" i="5"/>
  <c r="V422" i="5"/>
  <c r="R423" i="5"/>
  <c r="P424" i="5"/>
  <c r="R424" i="5"/>
  <c r="V424" i="5"/>
  <c r="FM2" i="3"/>
  <c r="FK2" i="3"/>
  <c r="FI2" i="3"/>
  <c r="FG2" i="3"/>
  <c r="FE2" i="3"/>
  <c r="FC2" i="3"/>
  <c r="FA2" i="3"/>
  <c r="EY2" i="3"/>
  <c r="EW2" i="3"/>
  <c r="EU2" i="3"/>
  <c r="ES2" i="3"/>
  <c r="EQ2" i="3"/>
  <c r="EO2" i="3"/>
  <c r="EM2" i="3"/>
  <c r="EK2" i="3"/>
  <c r="EI2" i="3"/>
  <c r="EG2" i="3"/>
  <c r="EE2" i="3"/>
  <c r="EC2" i="3"/>
  <c r="EA2" i="3"/>
  <c r="DY2" i="3"/>
  <c r="DW2" i="3"/>
  <c r="DU2" i="3"/>
  <c r="DS2" i="3"/>
  <c r="DQ2" i="3"/>
  <c r="DO2" i="3"/>
  <c r="DM2" i="3"/>
  <c r="DK2" i="3"/>
  <c r="DI2" i="3"/>
  <c r="DG2" i="3"/>
  <c r="DE2" i="3"/>
  <c r="DC2" i="3"/>
  <c r="DA2" i="3"/>
  <c r="CY2" i="3"/>
  <c r="CW2" i="3"/>
  <c r="CU2" i="3"/>
  <c r="CS2" i="3"/>
  <c r="CQ2" i="3"/>
  <c r="CO2" i="3"/>
  <c r="CM2" i="3"/>
  <c r="CK2" i="3"/>
  <c r="CI2" i="3"/>
  <c r="CG2" i="3"/>
  <c r="CE2" i="3"/>
  <c r="CC2" i="3"/>
  <c r="CA2" i="3"/>
  <c r="BY2" i="3"/>
  <c r="BW2" i="3"/>
  <c r="BU2" i="3"/>
  <c r="BS2" i="3"/>
  <c r="BQ2" i="3"/>
  <c r="BO2" i="3"/>
  <c r="BM2" i="3"/>
  <c r="BK2" i="3"/>
  <c r="BI2" i="3"/>
  <c r="BG2" i="3"/>
  <c r="BE2" i="3"/>
  <c r="BC2" i="3"/>
  <c r="BA2" i="3"/>
  <c r="AY2" i="3"/>
  <c r="AW2" i="3"/>
  <c r="AU2" i="3"/>
  <c r="AS2" i="3"/>
  <c r="AQ2" i="3"/>
  <c r="AO2" i="3"/>
  <c r="AM2" i="3"/>
  <c r="AK2" i="3"/>
  <c r="AI2" i="3"/>
  <c r="AG2" i="3"/>
  <c r="AE2" i="3"/>
  <c r="AC2" i="3"/>
  <c r="AA2" i="3"/>
  <c r="Y2" i="3"/>
  <c r="W2" i="3"/>
  <c r="U2" i="3"/>
  <c r="S2" i="3"/>
  <c r="Q2" i="3"/>
  <c r="O2" i="3"/>
  <c r="M2" i="3"/>
  <c r="K2" i="3"/>
  <c r="I2" i="3"/>
  <c r="G2" i="3"/>
  <c r="E2" i="3"/>
  <c r="C2" i="3"/>
  <c r="R105" i="5"/>
  <c r="R113" i="5"/>
  <c r="R109" i="5"/>
  <c r="R107" i="5"/>
  <c r="X427" i="5"/>
  <c r="R103" i="5"/>
  <c r="L427" i="5"/>
  <c r="Q427" i="5"/>
  <c r="S12" i="5"/>
  <c r="U12" i="5"/>
  <c r="O13" i="5"/>
  <c r="U13" i="5"/>
  <c r="O14" i="5"/>
  <c r="U14" i="5"/>
  <c r="O15" i="5"/>
  <c r="U15" i="5"/>
  <c r="O16" i="5"/>
  <c r="U16" i="5"/>
  <c r="O17" i="5"/>
  <c r="U17" i="5"/>
  <c r="O18" i="5"/>
  <c r="U18" i="5"/>
  <c r="R19" i="5"/>
  <c r="R20" i="5"/>
  <c r="R21" i="5"/>
  <c r="R22" i="5"/>
  <c r="R23" i="5"/>
  <c r="R24" i="5"/>
  <c r="R25" i="5"/>
  <c r="O26" i="5"/>
  <c r="U26" i="5"/>
  <c r="W427" i="5"/>
  <c r="Y427" i="5"/>
  <c r="R27" i="5"/>
  <c r="O28" i="5"/>
  <c r="U28" i="5"/>
  <c r="R29" i="5"/>
  <c r="O30" i="5"/>
  <c r="U30" i="5"/>
  <c r="R31" i="5"/>
  <c r="O32" i="5"/>
  <c r="U32" i="5"/>
  <c r="O33" i="5"/>
  <c r="U33" i="5"/>
  <c r="R34" i="5"/>
  <c r="O35" i="5"/>
  <c r="U35" i="5"/>
  <c r="R36" i="5"/>
  <c r="O37" i="5"/>
  <c r="U37" i="5"/>
  <c r="R38" i="5"/>
  <c r="O39" i="5"/>
  <c r="U39" i="5"/>
  <c r="O40" i="5"/>
  <c r="U40" i="5"/>
  <c r="R41" i="5"/>
  <c r="O42" i="5"/>
  <c r="U42" i="5"/>
  <c r="R43" i="5"/>
  <c r="O44" i="5"/>
  <c r="U44" i="5"/>
  <c r="R45" i="5"/>
  <c r="O46" i="5"/>
  <c r="U46" i="5"/>
  <c r="O47" i="5"/>
  <c r="U47" i="5"/>
  <c r="R48" i="5"/>
  <c r="O49" i="5"/>
  <c r="U49" i="5"/>
  <c r="R50" i="5"/>
  <c r="O51" i="5"/>
  <c r="U51" i="5"/>
  <c r="R52" i="5"/>
  <c r="O53" i="5"/>
  <c r="U53" i="5"/>
  <c r="O54" i="5"/>
  <c r="U54" i="5"/>
  <c r="R55" i="5"/>
  <c r="O56" i="5"/>
  <c r="U56" i="5"/>
  <c r="R57" i="5"/>
  <c r="O58" i="5"/>
  <c r="U58" i="5"/>
  <c r="R59" i="5"/>
  <c r="O60" i="5"/>
  <c r="U60" i="5"/>
  <c r="O61" i="5"/>
  <c r="U61" i="5"/>
  <c r="R62" i="5"/>
  <c r="P63" i="5"/>
  <c r="V63" i="5"/>
  <c r="S64" i="5"/>
  <c r="P65" i="5"/>
  <c r="V65" i="5"/>
  <c r="S66" i="5"/>
  <c r="P67" i="5"/>
  <c r="V67" i="5"/>
  <c r="P75" i="5"/>
  <c r="V75" i="5"/>
  <c r="S76" i="5"/>
  <c r="P77" i="5"/>
  <c r="V77" i="5"/>
  <c r="S78" i="5"/>
  <c r="P79" i="5"/>
  <c r="V79" i="5"/>
  <c r="S80" i="5"/>
  <c r="P81" i="5"/>
  <c r="V81" i="5"/>
  <c r="P89" i="5"/>
  <c r="V89" i="5"/>
  <c r="S90" i="5"/>
  <c r="P91" i="5"/>
  <c r="V91" i="5"/>
  <c r="S92" i="5"/>
  <c r="P93" i="5"/>
  <c r="V93" i="5"/>
  <c r="S94" i="5"/>
  <c r="P95" i="5"/>
  <c r="V95" i="5"/>
  <c r="P103" i="5"/>
  <c r="V103" i="5"/>
  <c r="S104" i="5"/>
  <c r="P105" i="5"/>
  <c r="V105" i="5"/>
  <c r="S106" i="5"/>
  <c r="P107" i="5"/>
  <c r="V107" i="5"/>
  <c r="S108" i="5"/>
  <c r="P109" i="5"/>
  <c r="V109" i="5"/>
  <c r="P111" i="5"/>
  <c r="V111" i="5"/>
  <c r="P113" i="5"/>
  <c r="V113" i="5"/>
  <c r="P115" i="5"/>
  <c r="V115" i="5"/>
  <c r="P12" i="5"/>
  <c r="V12" i="5"/>
  <c r="R118" i="5"/>
  <c r="S118" i="5"/>
  <c r="S119" i="5"/>
  <c r="S120" i="5"/>
  <c r="S121" i="5"/>
  <c r="S122" i="5"/>
  <c r="S123" i="5"/>
  <c r="P124" i="5"/>
  <c r="V124" i="5"/>
  <c r="P125" i="5"/>
  <c r="V125" i="5"/>
  <c r="P126" i="5"/>
  <c r="V126" i="5"/>
  <c r="P127" i="5"/>
  <c r="V127" i="5"/>
  <c r="P128" i="5"/>
  <c r="V128" i="5"/>
  <c r="P129" i="5"/>
  <c r="V129" i="5"/>
  <c r="P130" i="5"/>
  <c r="V130" i="5"/>
  <c r="S131" i="5"/>
  <c r="S132" i="5"/>
  <c r="S133" i="5"/>
  <c r="S134" i="5"/>
  <c r="S135" i="5"/>
  <c r="S136" i="5"/>
  <c r="S137" i="5"/>
  <c r="P138" i="5"/>
  <c r="V138" i="5"/>
  <c r="P139" i="5"/>
  <c r="V139" i="5"/>
  <c r="P140" i="5"/>
  <c r="V140" i="5"/>
  <c r="P141" i="5"/>
  <c r="V141" i="5"/>
  <c r="P142" i="5"/>
  <c r="V142" i="5"/>
  <c r="P143" i="5"/>
  <c r="V143" i="5"/>
  <c r="P144" i="5"/>
  <c r="V144" i="5"/>
  <c r="S145" i="5"/>
  <c r="S146" i="5"/>
  <c r="S147" i="5"/>
  <c r="S148" i="5"/>
  <c r="S149" i="5"/>
  <c r="S150" i="5"/>
  <c r="S151" i="5"/>
  <c r="P152" i="5"/>
  <c r="V152" i="5"/>
  <c r="P153" i="5"/>
  <c r="V153" i="5"/>
  <c r="P154" i="5"/>
  <c r="V154" i="5"/>
  <c r="P155" i="5"/>
  <c r="V155" i="5"/>
  <c r="P156" i="5"/>
  <c r="V156" i="5"/>
  <c r="P157" i="5"/>
  <c r="V157" i="5"/>
  <c r="P158" i="5"/>
  <c r="V158" i="5"/>
  <c r="S159" i="5"/>
  <c r="S160" i="5"/>
  <c r="S161" i="5"/>
  <c r="S162" i="5"/>
  <c r="S163" i="5"/>
  <c r="S164" i="5"/>
  <c r="S165" i="5"/>
  <c r="P166" i="5"/>
  <c r="V166" i="5"/>
  <c r="P167" i="5"/>
  <c r="V167" i="5"/>
  <c r="P168" i="5"/>
  <c r="V168" i="5"/>
  <c r="P169" i="5"/>
  <c r="V169" i="5"/>
  <c r="P170" i="5"/>
  <c r="V170" i="5"/>
  <c r="P171" i="5"/>
  <c r="V171" i="5"/>
  <c r="P172" i="5"/>
  <c r="V172" i="5"/>
  <c r="S173" i="5"/>
  <c r="S174" i="5"/>
  <c r="S175" i="5"/>
  <c r="S176" i="5"/>
  <c r="S177" i="5"/>
  <c r="S178" i="5"/>
  <c r="S179" i="5"/>
  <c r="P180" i="5"/>
  <c r="V180" i="5"/>
  <c r="P181" i="5"/>
  <c r="V181" i="5"/>
  <c r="P182" i="5"/>
  <c r="V182" i="5"/>
  <c r="P183" i="5"/>
  <c r="V183" i="5"/>
  <c r="P184" i="5"/>
  <c r="V184" i="5"/>
  <c r="P185" i="5"/>
  <c r="V185" i="5"/>
  <c r="P186" i="5"/>
  <c r="V186" i="5"/>
  <c r="S187" i="5"/>
  <c r="S188" i="5"/>
  <c r="S189" i="5"/>
  <c r="S190" i="5"/>
  <c r="S191" i="5"/>
  <c r="S192" i="5"/>
  <c r="S193" i="5"/>
  <c r="P194" i="5"/>
  <c r="V194" i="5"/>
  <c r="P195" i="5"/>
  <c r="V195" i="5"/>
  <c r="P196" i="5"/>
  <c r="V196" i="5"/>
  <c r="P197" i="5"/>
  <c r="V197" i="5"/>
  <c r="P198" i="5"/>
  <c r="V198" i="5"/>
  <c r="P199" i="5"/>
  <c r="V199" i="5"/>
  <c r="P200" i="5"/>
  <c r="V200" i="5"/>
  <c r="S201" i="5"/>
  <c r="S202" i="5"/>
  <c r="S203" i="5"/>
  <c r="S204" i="5"/>
  <c r="S205" i="5"/>
  <c r="S206" i="5"/>
  <c r="S207" i="5"/>
  <c r="P208" i="5"/>
  <c r="V208" i="5"/>
  <c r="P209" i="5"/>
  <c r="V209" i="5"/>
  <c r="P210" i="5"/>
  <c r="V210" i="5"/>
  <c r="P211" i="5"/>
  <c r="V211" i="5"/>
  <c r="P212" i="5"/>
  <c r="V212" i="5"/>
  <c r="P213" i="5"/>
  <c r="V213" i="5"/>
  <c r="P214" i="5"/>
  <c r="V214" i="5"/>
  <c r="S215" i="5"/>
  <c r="S216" i="5"/>
  <c r="S217" i="5"/>
  <c r="S218" i="5"/>
  <c r="S219" i="5"/>
  <c r="S220" i="5"/>
  <c r="S221" i="5"/>
  <c r="P222" i="5"/>
  <c r="V222" i="5"/>
  <c r="P223" i="5"/>
  <c r="V223" i="5"/>
  <c r="P224" i="5"/>
  <c r="V224" i="5"/>
  <c r="P225" i="5"/>
  <c r="V225" i="5"/>
  <c r="P226" i="5"/>
  <c r="S321" i="5"/>
  <c r="S323" i="5"/>
  <c r="S325" i="5"/>
  <c r="U328" i="5"/>
  <c r="V328" i="5"/>
  <c r="U330" i="5"/>
  <c r="V330" i="5"/>
  <c r="U332" i="5"/>
  <c r="V332" i="5"/>
  <c r="R337" i="5"/>
  <c r="S337" i="5"/>
  <c r="O342" i="5"/>
  <c r="P342" i="5"/>
  <c r="O344" i="5"/>
  <c r="P344" i="5"/>
  <c r="O346" i="5"/>
  <c r="P346" i="5"/>
  <c r="R349" i="5"/>
  <c r="S349" i="5"/>
  <c r="R353" i="5"/>
  <c r="S353" i="5"/>
  <c r="U356" i="5"/>
  <c r="V356" i="5"/>
  <c r="U358" i="5"/>
  <c r="V358" i="5"/>
  <c r="U360" i="5"/>
  <c r="V360" i="5"/>
  <c r="R365" i="5"/>
  <c r="S365" i="5"/>
  <c r="O370" i="5"/>
  <c r="P370" i="5"/>
  <c r="O372" i="5"/>
  <c r="P372" i="5"/>
  <c r="O374" i="5"/>
  <c r="P374" i="5"/>
  <c r="R377" i="5"/>
  <c r="S377" i="5"/>
  <c r="AA427" i="5"/>
  <c r="U226" i="5"/>
  <c r="S228" i="5"/>
  <c r="P229" i="5"/>
  <c r="V229" i="5"/>
  <c r="P231" i="5"/>
  <c r="V231" i="5"/>
  <c r="P233" i="5"/>
  <c r="V233" i="5"/>
  <c r="P235" i="5"/>
  <c r="V235" i="5"/>
  <c r="S236" i="5"/>
  <c r="S238" i="5"/>
  <c r="S240" i="5"/>
  <c r="S242" i="5"/>
  <c r="P243" i="5"/>
  <c r="V243" i="5"/>
  <c r="P245" i="5"/>
  <c r="V245" i="5"/>
  <c r="P247" i="5"/>
  <c r="V247" i="5"/>
  <c r="P249" i="5"/>
  <c r="V249" i="5"/>
  <c r="S250" i="5"/>
  <c r="S252" i="5"/>
  <c r="S254" i="5"/>
  <c r="S256" i="5"/>
  <c r="P257" i="5"/>
  <c r="V257" i="5"/>
  <c r="P259" i="5"/>
  <c r="V259" i="5"/>
  <c r="P261" i="5"/>
  <c r="V261" i="5"/>
  <c r="P263" i="5"/>
  <c r="V263" i="5"/>
  <c r="S264" i="5"/>
  <c r="S266" i="5"/>
  <c r="S268" i="5"/>
  <c r="S270" i="5"/>
  <c r="P271" i="5"/>
  <c r="V271" i="5"/>
  <c r="P273" i="5"/>
  <c r="V273" i="5"/>
  <c r="P275" i="5"/>
  <c r="V275" i="5"/>
  <c r="P277" i="5"/>
  <c r="V277" i="5"/>
  <c r="S278" i="5"/>
  <c r="S280" i="5"/>
  <c r="S282" i="5"/>
  <c r="S284" i="5"/>
  <c r="P285" i="5"/>
  <c r="V285" i="5"/>
  <c r="P287" i="5"/>
  <c r="V287" i="5"/>
  <c r="P289" i="5"/>
  <c r="V289" i="5"/>
  <c r="P291" i="5"/>
  <c r="V291" i="5"/>
  <c r="S292" i="5"/>
  <c r="S294" i="5"/>
  <c r="S296" i="5"/>
  <c r="S298" i="5"/>
  <c r="P299" i="5"/>
  <c r="V299" i="5"/>
  <c r="P301" i="5"/>
  <c r="V301" i="5"/>
  <c r="P303" i="5"/>
  <c r="V303" i="5"/>
  <c r="P305" i="5"/>
  <c r="V305" i="5"/>
  <c r="S306" i="5"/>
  <c r="S308" i="5"/>
  <c r="S310" i="5"/>
  <c r="S312" i="5"/>
  <c r="P313" i="5"/>
  <c r="V313" i="5"/>
  <c r="P315" i="5"/>
  <c r="V315" i="5"/>
  <c r="P317" i="5"/>
  <c r="V317" i="5"/>
  <c r="P319" i="5"/>
  <c r="V319" i="5"/>
  <c r="S320" i="5"/>
  <c r="S322" i="5"/>
  <c r="S324" i="5"/>
  <c r="S326" i="5"/>
  <c r="O328" i="5"/>
  <c r="P328" i="5"/>
  <c r="O330" i="5"/>
  <c r="P330" i="5"/>
  <c r="O332" i="5"/>
  <c r="P332" i="5"/>
  <c r="R335" i="5"/>
  <c r="S335" i="5"/>
  <c r="R339" i="5"/>
  <c r="S339" i="5"/>
  <c r="U342" i="5"/>
  <c r="V342" i="5"/>
  <c r="U344" i="5"/>
  <c r="V344" i="5"/>
  <c r="U346" i="5"/>
  <c r="V346" i="5"/>
  <c r="R351" i="5"/>
  <c r="S351" i="5"/>
  <c r="O356" i="5"/>
  <c r="P356" i="5"/>
  <c r="O358" i="5"/>
  <c r="P358" i="5"/>
  <c r="O360" i="5"/>
  <c r="P360" i="5"/>
  <c r="R363" i="5"/>
  <c r="S363" i="5"/>
  <c r="R367" i="5"/>
  <c r="S367" i="5"/>
  <c r="U370" i="5"/>
  <c r="V370" i="5"/>
  <c r="U372" i="5"/>
  <c r="V372" i="5"/>
  <c r="U374" i="5"/>
  <c r="V374" i="5"/>
  <c r="O379" i="5"/>
  <c r="P379" i="5"/>
  <c r="O381" i="5"/>
  <c r="P381" i="5"/>
  <c r="R384" i="5"/>
  <c r="S384" i="5"/>
  <c r="R388" i="5"/>
  <c r="S388" i="5"/>
  <c r="U391" i="5"/>
  <c r="V391" i="5"/>
  <c r="U393" i="5"/>
  <c r="V393" i="5"/>
  <c r="U395" i="5"/>
  <c r="V395" i="5"/>
  <c r="R400" i="5"/>
  <c r="S400" i="5"/>
  <c r="O405" i="5"/>
  <c r="P405" i="5"/>
  <c r="O407" i="5"/>
  <c r="P407" i="5"/>
  <c r="O409" i="5"/>
  <c r="P409" i="5"/>
  <c r="R412" i="5"/>
  <c r="S412" i="5"/>
  <c r="R416" i="5"/>
  <c r="S416" i="5"/>
  <c r="U419" i="5"/>
  <c r="V419" i="5"/>
  <c r="U421" i="5"/>
  <c r="V421" i="5"/>
  <c r="U423" i="5"/>
  <c r="V423" i="5"/>
  <c r="U379" i="5"/>
  <c r="V379" i="5"/>
  <c r="U381" i="5"/>
  <c r="V381" i="5"/>
  <c r="R386" i="5"/>
  <c r="S386" i="5"/>
  <c r="O391" i="5"/>
  <c r="P391" i="5"/>
  <c r="O393" i="5"/>
  <c r="P393" i="5"/>
  <c r="O395" i="5"/>
  <c r="P395" i="5"/>
  <c r="R398" i="5"/>
  <c r="S398" i="5"/>
  <c r="R402" i="5"/>
  <c r="S402" i="5"/>
  <c r="U405" i="5"/>
  <c r="V405" i="5"/>
  <c r="U407" i="5"/>
  <c r="V407" i="5"/>
  <c r="U409" i="5"/>
  <c r="V409" i="5"/>
  <c r="R414" i="5"/>
  <c r="S414" i="5"/>
  <c r="O419" i="5"/>
  <c r="P419" i="5"/>
  <c r="O421" i="5"/>
  <c r="P421" i="5"/>
  <c r="O423" i="5"/>
  <c r="P423" i="5"/>
  <c r="S12" i="4"/>
  <c r="S13" i="4"/>
  <c r="S14" i="4"/>
  <c r="S15" i="4"/>
  <c r="V19" i="4"/>
  <c r="V21" i="4"/>
  <c r="P22" i="4"/>
  <c r="P23" i="4"/>
  <c r="V24" i="4"/>
  <c r="P25" i="4"/>
  <c r="V25" i="4"/>
  <c r="S26" i="4"/>
  <c r="V27" i="4"/>
  <c r="S28" i="4"/>
  <c r="V29" i="4"/>
  <c r="S30" i="4"/>
  <c r="V31" i="4"/>
  <c r="S33" i="4"/>
  <c r="V34" i="4"/>
  <c r="S35" i="4"/>
  <c r="P36" i="4"/>
  <c r="S37" i="4"/>
  <c r="V38" i="4"/>
  <c r="S39" i="4"/>
  <c r="S40" i="4"/>
  <c r="S42" i="4"/>
  <c r="P43" i="4"/>
  <c r="S44" i="4"/>
  <c r="V45" i="4"/>
  <c r="S46" i="4"/>
  <c r="S47" i="4"/>
  <c r="V48" i="4"/>
  <c r="S49" i="4"/>
  <c r="V50" i="4"/>
  <c r="S51" i="4"/>
  <c r="S53" i="4"/>
  <c r="S54" i="4"/>
  <c r="O254" i="4"/>
  <c r="P254" i="4"/>
  <c r="O256" i="4"/>
  <c r="P256" i="4"/>
  <c r="R257" i="4"/>
  <c r="S257" i="4"/>
  <c r="R261" i="4"/>
  <c r="S261" i="4"/>
  <c r="O264" i="4"/>
  <c r="P264" i="4"/>
  <c r="O266" i="4"/>
  <c r="P266" i="4"/>
  <c r="O268" i="4"/>
  <c r="P268" i="4"/>
  <c r="O270" i="4"/>
  <c r="P270" i="4"/>
  <c r="R271" i="4"/>
  <c r="S271" i="4"/>
  <c r="R275" i="4"/>
  <c r="S275" i="4"/>
  <c r="O278" i="4"/>
  <c r="P278" i="4"/>
  <c r="O280" i="4"/>
  <c r="P280" i="4"/>
  <c r="O282" i="4"/>
  <c r="P282" i="4"/>
  <c r="O284" i="4"/>
  <c r="P284" i="4"/>
  <c r="R285" i="4"/>
  <c r="S285" i="4"/>
  <c r="R289" i="4"/>
  <c r="S289" i="4"/>
  <c r="O292" i="4"/>
  <c r="P292" i="4"/>
  <c r="O294" i="4"/>
  <c r="P294" i="4"/>
  <c r="S16" i="4"/>
  <c r="S17" i="4"/>
  <c r="S18" i="4"/>
  <c r="P19" i="4"/>
  <c r="P20" i="4"/>
  <c r="V20" i="4"/>
  <c r="P21" i="4"/>
  <c r="V22" i="4"/>
  <c r="V23" i="4"/>
  <c r="P24" i="4"/>
  <c r="P27" i="4"/>
  <c r="P29" i="4"/>
  <c r="P31" i="4"/>
  <c r="S32" i="4"/>
  <c r="P34" i="4"/>
  <c r="V36" i="4"/>
  <c r="P38" i="4"/>
  <c r="P41" i="4"/>
  <c r="V41" i="4"/>
  <c r="V43" i="4"/>
  <c r="P45" i="4"/>
  <c r="P48" i="4"/>
  <c r="P50" i="4"/>
  <c r="P52" i="4"/>
  <c r="V52" i="4"/>
  <c r="P55" i="4"/>
  <c r="V55" i="4"/>
  <c r="J427" i="4"/>
  <c r="M427" i="4"/>
  <c r="N427" i="4"/>
  <c r="P12" i="4"/>
  <c r="R12" i="4"/>
  <c r="T427" i="4"/>
  <c r="V12" i="4"/>
  <c r="X427" i="4"/>
  <c r="P61" i="4"/>
  <c r="V61" i="4"/>
  <c r="S62" i="4"/>
  <c r="P63" i="4"/>
  <c r="V63" i="4"/>
  <c r="S64" i="4"/>
  <c r="P65" i="4"/>
  <c r="V65" i="4"/>
  <c r="S66" i="4"/>
  <c r="P67" i="4"/>
  <c r="V67" i="4"/>
  <c r="P75" i="4"/>
  <c r="V75" i="4"/>
  <c r="S76" i="4"/>
  <c r="P77" i="4"/>
  <c r="V77" i="4"/>
  <c r="S78" i="4"/>
  <c r="P79" i="4"/>
  <c r="V79" i="4"/>
  <c r="S80" i="4"/>
  <c r="P81" i="4"/>
  <c r="V81" i="4"/>
  <c r="P89" i="4"/>
  <c r="V89" i="4"/>
  <c r="S90" i="4"/>
  <c r="P91" i="4"/>
  <c r="V91" i="4"/>
  <c r="S92" i="4"/>
  <c r="P93" i="4"/>
  <c r="V93" i="4"/>
  <c r="S94" i="4"/>
  <c r="P95" i="4"/>
  <c r="V95" i="4"/>
  <c r="P103" i="4"/>
  <c r="V103" i="4"/>
  <c r="S104" i="4"/>
  <c r="P105" i="4"/>
  <c r="V105" i="4"/>
  <c r="S106" i="4"/>
  <c r="P107" i="4"/>
  <c r="V107" i="4"/>
  <c r="S108" i="4"/>
  <c r="P109" i="4"/>
  <c r="V109" i="4"/>
  <c r="P111" i="4"/>
  <c r="V111" i="4"/>
  <c r="P113" i="4"/>
  <c r="V113" i="4"/>
  <c r="P115" i="4"/>
  <c r="V115" i="4"/>
  <c r="S118" i="4"/>
  <c r="S120" i="4"/>
  <c r="S122" i="4"/>
  <c r="P125" i="4"/>
  <c r="V125" i="4"/>
  <c r="P127" i="4"/>
  <c r="V127" i="4"/>
  <c r="P129" i="4"/>
  <c r="V129" i="4"/>
  <c r="S132" i="4"/>
  <c r="S134" i="4"/>
  <c r="S136" i="4"/>
  <c r="P139" i="4"/>
  <c r="V139" i="4"/>
  <c r="P141" i="4"/>
  <c r="V141" i="4"/>
  <c r="P143" i="4"/>
  <c r="V143" i="4"/>
  <c r="S146" i="4"/>
  <c r="S148" i="4"/>
  <c r="S150" i="4"/>
  <c r="P153" i="4"/>
  <c r="V153" i="4"/>
  <c r="P155" i="4"/>
  <c r="V155" i="4"/>
  <c r="P157" i="4"/>
  <c r="V157" i="4"/>
  <c r="S160" i="4"/>
  <c r="S162" i="4"/>
  <c r="S164" i="4"/>
  <c r="P167" i="4"/>
  <c r="V167" i="4"/>
  <c r="P169" i="4"/>
  <c r="V169" i="4"/>
  <c r="P171" i="4"/>
  <c r="V171" i="4"/>
  <c r="S174" i="4"/>
  <c r="S176" i="4"/>
  <c r="S178" i="4"/>
  <c r="P181" i="4"/>
  <c r="V181" i="4"/>
  <c r="P183" i="4"/>
  <c r="V183" i="4"/>
  <c r="P185" i="4"/>
  <c r="V185" i="4"/>
  <c r="S188" i="4"/>
  <c r="S190" i="4"/>
  <c r="S192" i="4"/>
  <c r="P195" i="4"/>
  <c r="V195" i="4"/>
  <c r="P197" i="4"/>
  <c r="V197" i="4"/>
  <c r="P199" i="4"/>
  <c r="V199" i="4"/>
  <c r="S202" i="4"/>
  <c r="S204" i="4"/>
  <c r="S206" i="4"/>
  <c r="P209" i="4"/>
  <c r="V209" i="4"/>
  <c r="P211" i="4"/>
  <c r="V211" i="4"/>
  <c r="P213" i="4"/>
  <c r="V213" i="4"/>
  <c r="S216" i="4"/>
  <c r="S218" i="4"/>
  <c r="S220" i="4"/>
  <c r="P223" i="4"/>
  <c r="V223" i="4"/>
  <c r="P225" i="4"/>
  <c r="V225" i="4"/>
  <c r="P227" i="4"/>
  <c r="V227" i="4"/>
  <c r="S230" i="4"/>
  <c r="S232" i="4"/>
  <c r="S234" i="4"/>
  <c r="P237" i="4"/>
  <c r="V237" i="4"/>
  <c r="P239" i="4"/>
  <c r="V239" i="4"/>
  <c r="P241" i="4"/>
  <c r="V241" i="4"/>
  <c r="S244" i="4"/>
  <c r="S246" i="4"/>
  <c r="S248" i="4"/>
  <c r="P251" i="4"/>
  <c r="V251" i="4"/>
  <c r="U252" i="4"/>
  <c r="V252" i="4"/>
  <c r="U254" i="4"/>
  <c r="V254" i="4"/>
  <c r="U256" i="4"/>
  <c r="V256" i="4"/>
  <c r="R259" i="4"/>
  <c r="S259" i="4"/>
  <c r="R263" i="4"/>
  <c r="S263" i="4"/>
  <c r="U264" i="4"/>
  <c r="V264" i="4"/>
  <c r="U266" i="4"/>
  <c r="V266" i="4"/>
  <c r="U268" i="4"/>
  <c r="V268" i="4"/>
  <c r="U270" i="4"/>
  <c r="V270" i="4"/>
  <c r="R273" i="4"/>
  <c r="S273" i="4"/>
  <c r="R277" i="4"/>
  <c r="S277" i="4"/>
  <c r="U278" i="4"/>
  <c r="V278" i="4"/>
  <c r="U280" i="4"/>
  <c r="V280" i="4"/>
  <c r="U282" i="4"/>
  <c r="V282" i="4"/>
  <c r="U284" i="4"/>
  <c r="V284" i="4"/>
  <c r="R287" i="4"/>
  <c r="S287" i="4"/>
  <c r="R291" i="4"/>
  <c r="S291" i="4"/>
  <c r="U292" i="4"/>
  <c r="V292" i="4"/>
  <c r="O350" i="4"/>
  <c r="P350" i="4"/>
  <c r="O352" i="4"/>
  <c r="P352" i="4"/>
  <c r="O354" i="4"/>
  <c r="P354" i="4"/>
  <c r="R355" i="4"/>
  <c r="S355" i="4"/>
  <c r="R359" i="4"/>
  <c r="S359" i="4"/>
  <c r="O362" i="4"/>
  <c r="P362" i="4"/>
  <c r="O364" i="4"/>
  <c r="P364" i="4"/>
  <c r="O366" i="4"/>
  <c r="P366" i="4"/>
  <c r="O368" i="4"/>
  <c r="P368" i="4"/>
  <c r="R369" i="4"/>
  <c r="S369" i="4"/>
  <c r="R373" i="4"/>
  <c r="S373" i="4"/>
  <c r="O376" i="4"/>
  <c r="P376" i="4"/>
  <c r="O378" i="4"/>
  <c r="P378" i="4"/>
  <c r="O380" i="4"/>
  <c r="P380" i="4"/>
  <c r="O382" i="4"/>
  <c r="P382" i="4"/>
  <c r="R383" i="4"/>
  <c r="S383" i="4"/>
  <c r="R387" i="4"/>
  <c r="S387" i="4"/>
  <c r="O390" i="4"/>
  <c r="P390" i="4"/>
  <c r="O392" i="4"/>
  <c r="P392" i="4"/>
  <c r="O394" i="4"/>
  <c r="P394" i="4"/>
  <c r="O396" i="4"/>
  <c r="P396" i="4"/>
  <c r="R397" i="4"/>
  <c r="S397" i="4"/>
  <c r="U400" i="4"/>
  <c r="V400" i="4"/>
  <c r="U402" i="4"/>
  <c r="V402" i="4"/>
  <c r="R407" i="4"/>
  <c r="S407" i="4"/>
  <c r="O412" i="4"/>
  <c r="P412" i="4"/>
  <c r="O414" i="4"/>
  <c r="P414" i="4"/>
  <c r="O416" i="4"/>
  <c r="P416" i="4"/>
  <c r="R419" i="4"/>
  <c r="S419" i="4"/>
  <c r="R423" i="4"/>
  <c r="S423" i="4"/>
  <c r="AA427" i="4"/>
  <c r="V294" i="4"/>
  <c r="P296" i="4"/>
  <c r="V296" i="4"/>
  <c r="P298" i="4"/>
  <c r="V298" i="4"/>
  <c r="S299" i="4"/>
  <c r="S301" i="4"/>
  <c r="S303" i="4"/>
  <c r="S305" i="4"/>
  <c r="P306" i="4"/>
  <c r="V306" i="4"/>
  <c r="P308" i="4"/>
  <c r="V308" i="4"/>
  <c r="P310" i="4"/>
  <c r="V310" i="4"/>
  <c r="P312" i="4"/>
  <c r="V312" i="4"/>
  <c r="S313" i="4"/>
  <c r="S315" i="4"/>
  <c r="S317" i="4"/>
  <c r="S319" i="4"/>
  <c r="P320" i="4"/>
  <c r="V320" i="4"/>
  <c r="P322" i="4"/>
  <c r="V322" i="4"/>
  <c r="P324" i="4"/>
  <c r="V324" i="4"/>
  <c r="P326" i="4"/>
  <c r="V326" i="4"/>
  <c r="S327" i="4"/>
  <c r="S329" i="4"/>
  <c r="S331" i="4"/>
  <c r="S333" i="4"/>
  <c r="P334" i="4"/>
  <c r="V334" i="4"/>
  <c r="P336" i="4"/>
  <c r="V336" i="4"/>
  <c r="P338" i="4"/>
  <c r="V338" i="4"/>
  <c r="P340" i="4"/>
  <c r="V340" i="4"/>
  <c r="S341" i="4"/>
  <c r="S343" i="4"/>
  <c r="S345" i="4"/>
  <c r="S347" i="4"/>
  <c r="P348" i="4"/>
  <c r="V348" i="4"/>
  <c r="U350" i="4"/>
  <c r="V350" i="4"/>
  <c r="U352" i="4"/>
  <c r="V352" i="4"/>
  <c r="U354" i="4"/>
  <c r="V354" i="4"/>
  <c r="R357" i="4"/>
  <c r="S357" i="4"/>
  <c r="R361" i="4"/>
  <c r="S361" i="4"/>
  <c r="U362" i="4"/>
  <c r="V362" i="4"/>
  <c r="U364" i="4"/>
  <c r="V364" i="4"/>
  <c r="U366" i="4"/>
  <c r="V366" i="4"/>
  <c r="U368" i="4"/>
  <c r="V368" i="4"/>
  <c r="R371" i="4"/>
  <c r="S371" i="4"/>
  <c r="R375" i="4"/>
  <c r="S375" i="4"/>
  <c r="U376" i="4"/>
  <c r="V376" i="4"/>
  <c r="U378" i="4"/>
  <c r="V378" i="4"/>
  <c r="U380" i="4"/>
  <c r="V380" i="4"/>
  <c r="U382" i="4"/>
  <c r="V382" i="4"/>
  <c r="R385" i="4"/>
  <c r="S385" i="4"/>
  <c r="R389" i="4"/>
  <c r="S389" i="4"/>
  <c r="U390" i="4"/>
  <c r="V390" i="4"/>
  <c r="U392" i="4"/>
  <c r="V392" i="4"/>
  <c r="U394" i="4"/>
  <c r="V394" i="4"/>
  <c r="U396" i="4"/>
  <c r="V396" i="4"/>
  <c r="R399" i="4"/>
  <c r="S399" i="4"/>
  <c r="O400" i="4"/>
  <c r="P400" i="4"/>
  <c r="O402" i="4"/>
  <c r="P402" i="4"/>
  <c r="R405" i="4"/>
  <c r="S405" i="4"/>
  <c r="R409" i="4"/>
  <c r="S409" i="4"/>
  <c r="U412" i="4"/>
  <c r="V412" i="4"/>
  <c r="U414" i="4"/>
  <c r="V414" i="4"/>
  <c r="U416" i="4"/>
  <c r="V416" i="4"/>
  <c r="R421" i="4"/>
  <c r="S421" i="4"/>
  <c r="U427" i="4" l="1"/>
  <c r="R427" i="5"/>
  <c r="O427" i="5"/>
  <c r="V427" i="5"/>
  <c r="P427" i="5"/>
  <c r="S427" i="5"/>
  <c r="U427" i="5"/>
  <c r="P427" i="4"/>
  <c r="V427" i="4"/>
  <c r="R427" i="4"/>
  <c r="S427" i="4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F422" i="1" s="1"/>
  <c r="JJ7" i="3" l="1"/>
  <c r="KP7" i="3"/>
  <c r="LB7" i="3"/>
  <c r="LR7" i="3"/>
  <c r="LV7" i="3"/>
  <c r="MX7" i="3"/>
  <c r="NB7" i="3"/>
  <c r="NN7" i="3"/>
  <c r="OH7" i="3"/>
  <c r="HZ7" i="3"/>
  <c r="IP7" i="3"/>
  <c r="JB7" i="3"/>
  <c r="JF7" i="3"/>
  <c r="EG7" i="3"/>
  <c r="JI7" i="3"/>
  <c r="JK7" i="3"/>
  <c r="JQ7" i="3"/>
  <c r="JS7" i="3"/>
  <c r="KA7" i="3"/>
  <c r="KI7" i="3"/>
  <c r="KO7" i="3"/>
  <c r="KQ7" i="3"/>
  <c r="KW7" i="3"/>
  <c r="KY7" i="3"/>
  <c r="LE7" i="3"/>
  <c r="LG7" i="3"/>
  <c r="LO7" i="3"/>
  <c r="LW7" i="3"/>
  <c r="MC7" i="3"/>
  <c r="ME7" i="3"/>
  <c r="MM7" i="3"/>
  <c r="MU7" i="3"/>
  <c r="NA7" i="3"/>
  <c r="NC7" i="3"/>
  <c r="NI7" i="3"/>
  <c r="NK7" i="3"/>
  <c r="NQ7" i="3"/>
  <c r="NS7" i="3"/>
  <c r="OA7" i="3"/>
  <c r="OG7" i="3"/>
  <c r="OI7" i="3"/>
  <c r="OO7" i="3"/>
  <c r="OQ7" i="3"/>
  <c r="OY7" i="3"/>
  <c r="IZ7" i="3"/>
  <c r="PE7" i="3" l="1"/>
  <c r="OW7" i="3"/>
  <c r="NY7" i="3"/>
  <c r="MS7" i="3"/>
  <c r="MK7" i="3"/>
  <c r="LU7" i="3"/>
  <c r="LM7" i="3"/>
  <c r="KG7" i="3"/>
  <c r="JY7" i="3"/>
  <c r="FM7" i="3"/>
  <c r="FE7" i="3"/>
  <c r="DY7" i="3"/>
  <c r="DA7" i="3"/>
  <c r="CS7" i="3"/>
  <c r="BU7" i="3"/>
  <c r="BM7" i="3"/>
  <c r="AO7" i="3"/>
  <c r="AG7" i="3"/>
  <c r="I7" i="3"/>
  <c r="IX7" i="3"/>
  <c r="HJ7" i="3"/>
  <c r="GT7" i="3"/>
  <c r="GD7" i="3"/>
  <c r="B7" i="3"/>
  <c r="PB7" i="3"/>
  <c r="OX7" i="3"/>
  <c r="OT7" i="3"/>
  <c r="OL7" i="3"/>
  <c r="OD7" i="3"/>
  <c r="NV7" i="3"/>
  <c r="NR7" i="3"/>
  <c r="NF7" i="3"/>
  <c r="MP7" i="3"/>
  <c r="ML7" i="3"/>
  <c r="MH7" i="3"/>
  <c r="LZ7" i="3"/>
  <c r="LF7" i="3"/>
  <c r="KL7" i="3"/>
  <c r="JZ7" i="3"/>
  <c r="JV7" i="3"/>
  <c r="LJ7" i="3"/>
  <c r="KT7" i="3"/>
  <c r="IL7" i="3"/>
  <c r="HV7" i="3"/>
  <c r="HR7" i="3"/>
  <c r="HF7" i="3"/>
  <c r="GP7" i="3"/>
  <c r="GL7" i="3"/>
  <c r="FZ7" i="3"/>
  <c r="FN7" i="3"/>
  <c r="FF7" i="3"/>
  <c r="EX7" i="3"/>
  <c r="EP7" i="3"/>
  <c r="EH7" i="3"/>
  <c r="DZ7" i="3"/>
  <c r="DR7" i="3"/>
  <c r="DJ7" i="3"/>
  <c r="DB7" i="3"/>
  <c r="CT7" i="3"/>
  <c r="CL7" i="3"/>
  <c r="CD7" i="3"/>
  <c r="BV7" i="3"/>
  <c r="BN7" i="3"/>
  <c r="BF7" i="3"/>
  <c r="AX7" i="3"/>
  <c r="AP7" i="3"/>
  <c r="AH7" i="3"/>
  <c r="Z7" i="3"/>
  <c r="R7" i="3"/>
  <c r="J7" i="3"/>
  <c r="KD7" i="3"/>
  <c r="JN7" i="3"/>
  <c r="OP7" i="3"/>
  <c r="NZ7" i="3"/>
  <c r="NJ7" i="3"/>
  <c r="MT7" i="3"/>
  <c r="MD7" i="3"/>
  <c r="LN7" i="3"/>
  <c r="KX7" i="3"/>
  <c r="KH7" i="3"/>
  <c r="JR7" i="3"/>
  <c r="IH7" i="3"/>
  <c r="HB7" i="3"/>
  <c r="FV7" i="3"/>
  <c r="F7" i="3"/>
  <c r="N7" i="3"/>
  <c r="V7" i="3"/>
  <c r="AD7" i="3"/>
  <c r="AL7" i="3"/>
  <c r="AT7" i="3"/>
  <c r="BB7" i="3"/>
  <c r="BJ7" i="3"/>
  <c r="BR7" i="3"/>
  <c r="BZ7" i="3"/>
  <c r="CH7" i="3"/>
  <c r="CP7" i="3"/>
  <c r="CX7" i="3"/>
  <c r="DF7" i="3"/>
  <c r="DN7" i="3"/>
  <c r="DV7" i="3"/>
  <c r="ED7" i="3"/>
  <c r="EL7" i="3"/>
  <c r="ET7" i="3"/>
  <c r="FB7" i="3"/>
  <c r="FJ7" i="3"/>
  <c r="D7" i="3"/>
  <c r="L7" i="3"/>
  <c r="T7" i="3"/>
  <c r="AB7" i="3"/>
  <c r="AJ7" i="3"/>
  <c r="AR7" i="3"/>
  <c r="AZ7" i="3"/>
  <c r="BH7" i="3"/>
  <c r="BP7" i="3"/>
  <c r="BX7" i="3"/>
  <c r="CF7" i="3"/>
  <c r="CN7" i="3"/>
  <c r="CV7" i="3"/>
  <c r="DD7" i="3"/>
  <c r="DL7" i="3"/>
  <c r="DT7" i="3"/>
  <c r="EB7" i="3"/>
  <c r="EJ7" i="3"/>
  <c r="ER7" i="3"/>
  <c r="EZ7" i="3"/>
  <c r="FH7" i="3"/>
  <c r="FP7" i="3"/>
  <c r="FX7" i="3"/>
  <c r="GF7" i="3"/>
  <c r="GN7" i="3"/>
  <c r="GV7" i="3"/>
  <c r="HD7" i="3"/>
  <c r="HL7" i="3"/>
  <c r="HT7" i="3"/>
  <c r="IB7" i="3"/>
  <c r="IJ7" i="3"/>
  <c r="IR7" i="3"/>
  <c r="PC7" i="3"/>
  <c r="OU7" i="3"/>
  <c r="OM7" i="3"/>
  <c r="OE7" i="3"/>
  <c r="NW7" i="3"/>
  <c r="NO7" i="3"/>
  <c r="NG7" i="3"/>
  <c r="MY7" i="3"/>
  <c r="MQ7" i="3"/>
  <c r="MI7" i="3"/>
  <c r="MA7" i="3"/>
  <c r="LS7" i="3"/>
  <c r="LK7" i="3"/>
  <c r="LC7" i="3"/>
  <c r="KU7" i="3"/>
  <c r="KM7" i="3"/>
  <c r="KE7" i="3"/>
  <c r="JW7" i="3"/>
  <c r="JO7" i="3"/>
  <c r="JG7" i="3"/>
  <c r="JC7" i="3"/>
  <c r="IY7" i="3"/>
  <c r="IU7" i="3"/>
  <c r="IQ7" i="3"/>
  <c r="IM7" i="3"/>
  <c r="II7" i="3"/>
  <c r="IE7" i="3"/>
  <c r="IA7" i="3"/>
  <c r="HW7" i="3"/>
  <c r="HS7" i="3"/>
  <c r="HO7" i="3"/>
  <c r="HK7" i="3"/>
  <c r="HG7" i="3"/>
  <c r="HC7" i="3"/>
  <c r="GY7" i="3"/>
  <c r="GU7" i="3"/>
  <c r="GQ7" i="3"/>
  <c r="GM7" i="3"/>
  <c r="GI7" i="3"/>
  <c r="GE7" i="3"/>
  <c r="GA7" i="3"/>
  <c r="FW7" i="3"/>
  <c r="FS7" i="3"/>
  <c r="FO7" i="3"/>
  <c r="FG7" i="3"/>
  <c r="EY7" i="3"/>
  <c r="EQ7" i="3"/>
  <c r="EI7" i="3"/>
  <c r="EA7" i="3"/>
  <c r="DS7" i="3"/>
  <c r="DK7" i="3"/>
  <c r="DC7" i="3"/>
  <c r="CU7" i="3"/>
  <c r="CM7" i="3"/>
  <c r="CE7" i="3"/>
  <c r="BW7" i="3"/>
  <c r="BO7" i="3"/>
  <c r="BG7" i="3"/>
  <c r="AY7" i="3"/>
  <c r="AQ7" i="3"/>
  <c r="AI7" i="3"/>
  <c r="AA7" i="3"/>
  <c r="S7" i="3"/>
  <c r="K7" i="3"/>
  <c r="C7" i="3"/>
  <c r="IT7" i="3"/>
  <c r="ID7" i="3"/>
  <c r="HN7" i="3"/>
  <c r="GX7" i="3"/>
  <c r="GH7" i="3"/>
  <c r="FR7" i="3"/>
  <c r="JH7" i="3"/>
  <c r="JP7" i="3"/>
  <c r="JX7" i="3"/>
  <c r="KF7" i="3"/>
  <c r="KN7" i="3"/>
  <c r="KV7" i="3"/>
  <c r="LD7" i="3"/>
  <c r="LL7" i="3"/>
  <c r="LT7" i="3"/>
  <c r="MB7" i="3"/>
  <c r="MJ7" i="3"/>
  <c r="MR7" i="3"/>
  <c r="MZ7" i="3"/>
  <c r="NH7" i="3"/>
  <c r="NP7" i="3"/>
  <c r="NX7" i="3"/>
  <c r="OF7" i="3"/>
  <c r="ON7" i="3"/>
  <c r="OV7" i="3"/>
  <c r="PD7" i="3"/>
  <c r="FK7" i="3"/>
  <c r="FC7" i="3"/>
  <c r="EU7" i="3"/>
  <c r="EM7" i="3"/>
  <c r="EE7" i="3"/>
  <c r="DW7" i="3"/>
  <c r="DO7" i="3"/>
  <c r="DG7" i="3"/>
  <c r="CY7" i="3"/>
  <c r="CQ7" i="3"/>
  <c r="CI7" i="3"/>
  <c r="CA7" i="3"/>
  <c r="BS7" i="3"/>
  <c r="BK7" i="3"/>
  <c r="BC7" i="3"/>
  <c r="AU7" i="3"/>
  <c r="AM7" i="3"/>
  <c r="AE7" i="3"/>
  <c r="W7" i="3"/>
  <c r="O7" i="3"/>
  <c r="G7" i="3"/>
  <c r="H7" i="3"/>
  <c r="P7" i="3"/>
  <c r="X7" i="3"/>
  <c r="AF7" i="3"/>
  <c r="AN7" i="3"/>
  <c r="AV7" i="3"/>
  <c r="BD7" i="3"/>
  <c r="BL7" i="3"/>
  <c r="BT7" i="3"/>
  <c r="CB7" i="3"/>
  <c r="CJ7" i="3"/>
  <c r="CR7" i="3"/>
  <c r="CZ7" i="3"/>
  <c r="DH7" i="3"/>
  <c r="DP7" i="3"/>
  <c r="DX7" i="3"/>
  <c r="EF7" i="3"/>
  <c r="EN7" i="3"/>
  <c r="EV7" i="3"/>
  <c r="FD7" i="3"/>
  <c r="FL7" i="3"/>
  <c r="FT7" i="3"/>
  <c r="GB7" i="3"/>
  <c r="GJ7" i="3"/>
  <c r="GR7" i="3"/>
  <c r="GZ7" i="3"/>
  <c r="HH7" i="3"/>
  <c r="HP7" i="3"/>
  <c r="HX7" i="3"/>
  <c r="IF7" i="3"/>
  <c r="IN7" i="3"/>
  <c r="IV7" i="3"/>
  <c r="JD7" i="3"/>
  <c r="JL7" i="3"/>
  <c r="JT7" i="3"/>
  <c r="KB7" i="3"/>
  <c r="KJ7" i="3"/>
  <c r="KR7" i="3"/>
  <c r="KZ7" i="3"/>
  <c r="LH7" i="3"/>
  <c r="LP7" i="3"/>
  <c r="LX7" i="3"/>
  <c r="MF7" i="3"/>
  <c r="MN7" i="3"/>
  <c r="MV7" i="3"/>
  <c r="ND7" i="3"/>
  <c r="NL7" i="3"/>
  <c r="NT7" i="3"/>
  <c r="OB7" i="3"/>
  <c r="OJ7" i="3"/>
  <c r="OR7" i="3"/>
  <c r="OZ7" i="3"/>
  <c r="PA7" i="3"/>
  <c r="OS7" i="3"/>
  <c r="OK7" i="3"/>
  <c r="OC7" i="3"/>
  <c r="NU7" i="3"/>
  <c r="NM7" i="3"/>
  <c r="NE7" i="3"/>
  <c r="MW7" i="3"/>
  <c r="MO7" i="3"/>
  <c r="MG7" i="3"/>
  <c r="LY7" i="3"/>
  <c r="LQ7" i="3"/>
  <c r="LI7" i="3"/>
  <c r="LA7" i="3"/>
  <c r="KS7" i="3"/>
  <c r="KK7" i="3"/>
  <c r="KC7" i="3"/>
  <c r="JU7" i="3"/>
  <c r="JM7" i="3"/>
  <c r="JE7" i="3"/>
  <c r="JA7" i="3"/>
  <c r="IW7" i="3"/>
  <c r="IS7" i="3"/>
  <c r="IO7" i="3"/>
  <c r="IK7" i="3"/>
  <c r="IG7" i="3"/>
  <c r="IC7" i="3"/>
  <c r="HY7" i="3"/>
  <c r="HU7" i="3"/>
  <c r="HQ7" i="3"/>
  <c r="HM7" i="3"/>
  <c r="HI7" i="3"/>
  <c r="HE7" i="3"/>
  <c r="HA7" i="3"/>
  <c r="GW7" i="3"/>
  <c r="GS7" i="3"/>
  <c r="GO7" i="3"/>
  <c r="GK7" i="3"/>
  <c r="GG7" i="3"/>
  <c r="GC7" i="3"/>
  <c r="FY7" i="3"/>
  <c r="FU7" i="3"/>
  <c r="FQ7" i="3"/>
  <c r="FI7" i="3"/>
  <c r="FA7" i="3"/>
  <c r="EW7" i="3"/>
  <c r="ES7" i="3"/>
  <c r="EO7" i="3"/>
  <c r="EK7" i="3"/>
  <c r="EC7" i="3"/>
  <c r="DU7" i="3"/>
  <c r="DQ7" i="3"/>
  <c r="DM7" i="3"/>
  <c r="DI7" i="3"/>
  <c r="DE7" i="3"/>
  <c r="CW7" i="3"/>
  <c r="CO7" i="3"/>
  <c r="CK7" i="3"/>
  <c r="CG7" i="3"/>
  <c r="CC7" i="3"/>
  <c r="BY7" i="3"/>
  <c r="BQ7" i="3"/>
  <c r="BI7" i="3"/>
  <c r="BE7" i="3"/>
  <c r="BA7" i="3"/>
  <c r="AW7" i="3"/>
  <c r="AS7" i="3"/>
  <c r="AK7" i="3"/>
  <c r="AC7" i="3"/>
  <c r="Y7" i="3"/>
  <c r="U7" i="3"/>
  <c r="Q7" i="3"/>
  <c r="M7" i="3"/>
  <c r="E7" i="3"/>
  <c r="PF7" i="3" l="1"/>
</calcChain>
</file>

<file path=xl/comments1.xml><?xml version="1.0" encoding="utf-8"?>
<comments xmlns="http://schemas.openxmlformats.org/spreadsheetml/2006/main">
  <authors>
    <author>Kyeyune</author>
  </authors>
  <commentList>
    <comment ref="O12" authorId="0" shapeId="0">
      <text>
        <r>
          <rPr>
            <b/>
            <sz val="9"/>
            <color indexed="81"/>
            <rFont val="Tahoma"/>
            <family val="2"/>
          </rPr>
          <t>Kyeyune:</t>
        </r>
        <r>
          <rPr>
            <sz val="9"/>
            <color indexed="81"/>
            <rFont val="Tahoma"/>
            <family val="2"/>
          </rPr>
          <t xml:space="preserve">
The formula here has 3 as the denominator because the traffic volume has three levels. </t>
        </r>
      </text>
    </comment>
  </commentList>
</comments>
</file>

<file path=xl/comments2.xml><?xml version="1.0" encoding="utf-8"?>
<comments xmlns="http://schemas.openxmlformats.org/spreadsheetml/2006/main">
  <authors>
    <author>Kyeyune</author>
  </authors>
  <commentList>
    <comment ref="O12" authorId="0" shapeId="0">
      <text>
        <r>
          <rPr>
            <b/>
            <sz val="9"/>
            <color indexed="81"/>
            <rFont val="Tahoma"/>
            <family val="2"/>
          </rPr>
          <t>Kyeyune:</t>
        </r>
        <r>
          <rPr>
            <sz val="9"/>
            <color indexed="81"/>
            <rFont val="Tahoma"/>
            <family val="2"/>
          </rPr>
          <t xml:space="preserve">
The formula here has 3 as the denominator because the traffic volume has three levels. </t>
        </r>
      </text>
    </comment>
  </commentList>
</comments>
</file>

<file path=xl/sharedStrings.xml><?xml version="1.0" encoding="utf-8"?>
<sst xmlns="http://schemas.openxmlformats.org/spreadsheetml/2006/main" count="82" uniqueCount="28">
  <si>
    <t>TG</t>
  </si>
  <si>
    <t>Co</t>
  </si>
  <si>
    <t>Tv</t>
  </si>
  <si>
    <t>GE</t>
  </si>
  <si>
    <t>Run No</t>
  </si>
  <si>
    <t>IRR</t>
  </si>
  <si>
    <t>AVE_IRI</t>
  </si>
  <si>
    <t>NPV</t>
  </si>
  <si>
    <t>Run 7 Reconstruction</t>
  </si>
  <si>
    <t>NPV DELTA</t>
  </si>
  <si>
    <t>IRR DELTA</t>
  </si>
  <si>
    <t>AVE_IRI DELTA</t>
  </si>
  <si>
    <t>Output Values</t>
  </si>
  <si>
    <t>GE Sensitivity</t>
  </si>
  <si>
    <t>Traffic Volume (Tv) Sensitivity</t>
  </si>
  <si>
    <t>Condition Sensitivity</t>
  </si>
  <si>
    <t>Traffic Growth (TG) Sensitivity</t>
  </si>
  <si>
    <t>Factorial Sensitivity Averages (For Comparison only)</t>
  </si>
  <si>
    <t>Impact Elasticity</t>
  </si>
  <si>
    <t>Impact Elasticity of High Level Data</t>
  </si>
  <si>
    <t>Impact Elasticity of Actual Traffic</t>
  </si>
  <si>
    <t>NPV SENSITIVITY</t>
  </si>
  <si>
    <t>IRR SENSITIVITY</t>
  </si>
  <si>
    <t>AVE_IRI SENSITIVITY</t>
  </si>
  <si>
    <t>Average DELTA</t>
  </si>
  <si>
    <t>Median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</si>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</sst>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164" fontId="0" fillId="33" borderId="0" xfId="1" applyNumberFormat="1" applyFont="1" applyFill="1"/>
    <xf numFmtId="0" fontId="0" fillId="34" borderId="0" xfId="0" applyFill="1" applyAlignment="1">
      <alignment horizontal="center"/>
    </xf>
    <xf numFmtId="0" fontId="0" fillId="34" borderId="0" xfId="0" applyFill="1"/>
    <xf numFmtId="43" fontId="0" fillId="33" borderId="0" xfId="1" applyNumberFormat="1" applyFont="1" applyFill="1"/>
    <xf numFmtId="2" fontId="0" fillId="34" borderId="0" xfId="0" applyNumberFormat="1" applyFill="1"/>
    <xf numFmtId="1" fontId="0" fillId="34" borderId="0" xfId="0" applyNumberFormat="1" applyFill="1"/>
    <xf numFmtId="0" fontId="0" fillId="0" borderId="0" xfId="0" applyFill="1" applyBorder="1"/>
    <xf numFmtId="164" fontId="0" fillId="34" borderId="10" xfId="1" applyNumberFormat="1" applyFont="1" applyFill="1" applyBorder="1"/>
    <xf numFmtId="0" fontId="0" fillId="34" borderId="10" xfId="0" applyFill="1" applyBorder="1"/>
    <xf numFmtId="164" fontId="0" fillId="33" borderId="10" xfId="1" applyNumberFormat="1" applyFont="1" applyFill="1" applyBorder="1"/>
    <xf numFmtId="43" fontId="0" fillId="33" borderId="10" xfId="1" applyNumberFormat="1" applyFont="1" applyFill="1" applyBorder="1"/>
    <xf numFmtId="43" fontId="0" fillId="34" borderId="10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164" fontId="0" fillId="33" borderId="14" xfId="1" applyNumberFormat="1" applyFont="1" applyFill="1" applyBorder="1"/>
    <xf numFmtId="43" fontId="0" fillId="33" borderId="0" xfId="1" applyNumberFormat="1" applyFont="1" applyFill="1" applyBorder="1"/>
    <xf numFmtId="164" fontId="0" fillId="33" borderId="0" xfId="1" applyNumberFormat="1" applyFont="1" applyFill="1" applyBorder="1"/>
    <xf numFmtId="164" fontId="0" fillId="33" borderId="15" xfId="1" applyNumberFormat="1" applyFont="1" applyFill="1" applyBorder="1"/>
    <xf numFmtId="164" fontId="0" fillId="33" borderId="16" xfId="1" applyNumberFormat="1" applyFont="1" applyFill="1" applyBorder="1"/>
    <xf numFmtId="43" fontId="0" fillId="33" borderId="17" xfId="1" applyNumberFormat="1" applyFont="1" applyFill="1" applyBorder="1"/>
    <xf numFmtId="0" fontId="0" fillId="0" borderId="14" xfId="0" applyFill="1" applyBorder="1"/>
    <xf numFmtId="0" fontId="0" fillId="0" borderId="15" xfId="0" applyFill="1" applyBorder="1"/>
    <xf numFmtId="43" fontId="0" fillId="33" borderId="14" xfId="1" applyNumberFormat="1" applyFont="1" applyFill="1" applyBorder="1"/>
    <xf numFmtId="165" fontId="0" fillId="33" borderId="15" xfId="1" applyNumberFormat="1" applyFont="1" applyFill="1" applyBorder="1"/>
    <xf numFmtId="43" fontId="0" fillId="33" borderId="16" xfId="1" applyNumberFormat="1" applyFont="1" applyFill="1" applyBorder="1"/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 wrapText="1"/>
    </xf>
    <xf numFmtId="0" fontId="0" fillId="33" borderId="20" xfId="0" applyFill="1" applyBorder="1" applyAlignment="1">
      <alignment horizontal="center" vertical="center" wrapText="1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164" fontId="0" fillId="34" borderId="0" xfId="1" applyNumberFormat="1" applyFont="1" applyFill="1"/>
    <xf numFmtId="2" fontId="0" fillId="0" borderId="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topLeftCell="A401" workbookViewId="0">
      <selection activeCell="K6" sqref="K6"/>
    </sheetView>
  </sheetViews>
  <sheetFormatPr defaultRowHeight="15" x14ac:dyDescent="0.25"/>
  <sheetData>
    <row r="1" spans="1:6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>
        <v>1</v>
      </c>
      <c r="B2">
        <v>1</v>
      </c>
      <c r="C2">
        <v>0</v>
      </c>
      <c r="D2">
        <v>0</v>
      </c>
      <c r="E2">
        <v>0</v>
      </c>
      <c r="F2">
        <f>IF(E2=0,1,0)</f>
        <v>1</v>
      </c>
    </row>
    <row r="3" spans="1:6" x14ac:dyDescent="0.25">
      <c r="A3" s="2">
        <v>2</v>
      </c>
      <c r="B3">
        <v>1</v>
      </c>
      <c r="C3">
        <v>0</v>
      </c>
      <c r="D3">
        <v>0</v>
      </c>
      <c r="E3">
        <v>1</v>
      </c>
      <c r="F3">
        <f t="shared" ref="F3:F66" si="0">IF(E3=0,1,0)</f>
        <v>0</v>
      </c>
    </row>
    <row r="4" spans="1:6" x14ac:dyDescent="0.25">
      <c r="A4" s="2">
        <v>3</v>
      </c>
      <c r="B4">
        <v>1</v>
      </c>
      <c r="C4">
        <v>0</v>
      </c>
      <c r="D4">
        <v>0</v>
      </c>
      <c r="E4">
        <v>2</v>
      </c>
      <c r="F4">
        <f t="shared" si="0"/>
        <v>0</v>
      </c>
    </row>
    <row r="5" spans="1:6" x14ac:dyDescent="0.25">
      <c r="A5" s="2">
        <v>4</v>
      </c>
      <c r="B5">
        <v>1</v>
      </c>
      <c r="C5">
        <v>0</v>
      </c>
      <c r="D5">
        <v>0</v>
      </c>
      <c r="E5">
        <v>3</v>
      </c>
      <c r="F5">
        <f t="shared" si="0"/>
        <v>0</v>
      </c>
    </row>
    <row r="6" spans="1:6" x14ac:dyDescent="0.25">
      <c r="A6" s="2">
        <v>5</v>
      </c>
      <c r="B6">
        <v>1</v>
      </c>
      <c r="C6">
        <v>0</v>
      </c>
      <c r="D6">
        <v>0</v>
      </c>
      <c r="E6">
        <v>4</v>
      </c>
      <c r="F6">
        <f t="shared" si="0"/>
        <v>0</v>
      </c>
    </row>
    <row r="7" spans="1:6" x14ac:dyDescent="0.25">
      <c r="A7" s="2">
        <v>6</v>
      </c>
      <c r="B7">
        <v>1</v>
      </c>
      <c r="C7">
        <v>0</v>
      </c>
      <c r="D7">
        <v>0</v>
      </c>
      <c r="E7">
        <v>5</v>
      </c>
      <c r="F7">
        <f t="shared" si="0"/>
        <v>0</v>
      </c>
    </row>
    <row r="8" spans="1:6" x14ac:dyDescent="0.25">
      <c r="A8" s="2">
        <v>7</v>
      </c>
      <c r="B8">
        <v>1</v>
      </c>
      <c r="C8">
        <v>0</v>
      </c>
      <c r="D8">
        <v>0</v>
      </c>
      <c r="E8">
        <v>6</v>
      </c>
      <c r="F8">
        <f t="shared" si="0"/>
        <v>0</v>
      </c>
    </row>
    <row r="9" spans="1:6" x14ac:dyDescent="0.25">
      <c r="A9" s="2">
        <v>8</v>
      </c>
      <c r="B9">
        <v>1</v>
      </c>
      <c r="C9">
        <v>0</v>
      </c>
      <c r="D9">
        <v>1</v>
      </c>
      <c r="E9">
        <v>0</v>
      </c>
      <c r="F9">
        <f t="shared" si="0"/>
        <v>1</v>
      </c>
    </row>
    <row r="10" spans="1:6" x14ac:dyDescent="0.25">
      <c r="A10" s="2">
        <v>9</v>
      </c>
      <c r="B10">
        <v>1</v>
      </c>
      <c r="C10">
        <v>0</v>
      </c>
      <c r="D10">
        <v>1</v>
      </c>
      <c r="E10">
        <v>1</v>
      </c>
      <c r="F10">
        <f t="shared" si="0"/>
        <v>0</v>
      </c>
    </row>
    <row r="11" spans="1:6" x14ac:dyDescent="0.25">
      <c r="A11" s="2">
        <v>10</v>
      </c>
      <c r="B11">
        <v>1</v>
      </c>
      <c r="C11">
        <v>0</v>
      </c>
      <c r="D11">
        <v>1</v>
      </c>
      <c r="E11">
        <v>2</v>
      </c>
      <c r="F11">
        <f t="shared" si="0"/>
        <v>0</v>
      </c>
    </row>
    <row r="12" spans="1:6" x14ac:dyDescent="0.25">
      <c r="A12" s="2">
        <v>11</v>
      </c>
      <c r="B12">
        <v>1</v>
      </c>
      <c r="C12">
        <v>0</v>
      </c>
      <c r="D12">
        <v>1</v>
      </c>
      <c r="E12">
        <v>3</v>
      </c>
      <c r="F12">
        <f t="shared" si="0"/>
        <v>0</v>
      </c>
    </row>
    <row r="13" spans="1:6" x14ac:dyDescent="0.25">
      <c r="A13" s="2">
        <v>12</v>
      </c>
      <c r="B13">
        <v>1</v>
      </c>
      <c r="C13">
        <v>0</v>
      </c>
      <c r="D13">
        <v>1</v>
      </c>
      <c r="E13">
        <v>4</v>
      </c>
      <c r="F13">
        <f t="shared" si="0"/>
        <v>0</v>
      </c>
    </row>
    <row r="14" spans="1:6" x14ac:dyDescent="0.25">
      <c r="A14" s="2">
        <v>13</v>
      </c>
      <c r="B14">
        <v>1</v>
      </c>
      <c r="C14">
        <v>0</v>
      </c>
      <c r="D14">
        <v>1</v>
      </c>
      <c r="E14">
        <v>5</v>
      </c>
      <c r="F14">
        <f t="shared" si="0"/>
        <v>0</v>
      </c>
    </row>
    <row r="15" spans="1:6" x14ac:dyDescent="0.25">
      <c r="A15" s="2">
        <v>14</v>
      </c>
      <c r="B15">
        <v>1</v>
      </c>
      <c r="C15">
        <v>0</v>
      </c>
      <c r="D15">
        <v>1</v>
      </c>
      <c r="E15">
        <v>6</v>
      </c>
      <c r="F15">
        <f t="shared" si="0"/>
        <v>0</v>
      </c>
    </row>
    <row r="16" spans="1:6" x14ac:dyDescent="0.25">
      <c r="A16" s="2">
        <v>15</v>
      </c>
      <c r="B16">
        <v>1</v>
      </c>
      <c r="C16">
        <v>0</v>
      </c>
      <c r="D16">
        <v>2</v>
      </c>
      <c r="E16">
        <v>0</v>
      </c>
      <c r="F16">
        <f t="shared" si="0"/>
        <v>1</v>
      </c>
    </row>
    <row r="17" spans="1:6" x14ac:dyDescent="0.25">
      <c r="A17" s="2">
        <v>16</v>
      </c>
      <c r="B17">
        <v>1</v>
      </c>
      <c r="C17">
        <v>0</v>
      </c>
      <c r="D17">
        <v>2</v>
      </c>
      <c r="E17">
        <v>1</v>
      </c>
      <c r="F17">
        <f t="shared" si="0"/>
        <v>0</v>
      </c>
    </row>
    <row r="18" spans="1:6" x14ac:dyDescent="0.25">
      <c r="A18" s="2">
        <v>17</v>
      </c>
      <c r="B18">
        <v>1</v>
      </c>
      <c r="C18">
        <v>0</v>
      </c>
      <c r="D18">
        <v>2</v>
      </c>
      <c r="E18">
        <v>2</v>
      </c>
      <c r="F18">
        <f t="shared" si="0"/>
        <v>0</v>
      </c>
    </row>
    <row r="19" spans="1:6" x14ac:dyDescent="0.25">
      <c r="A19" s="2">
        <v>18</v>
      </c>
      <c r="B19">
        <v>1</v>
      </c>
      <c r="C19">
        <v>0</v>
      </c>
      <c r="D19">
        <v>2</v>
      </c>
      <c r="E19">
        <v>3</v>
      </c>
      <c r="F19">
        <f t="shared" si="0"/>
        <v>0</v>
      </c>
    </row>
    <row r="20" spans="1:6" x14ac:dyDescent="0.25">
      <c r="A20" s="2">
        <v>19</v>
      </c>
      <c r="B20">
        <v>1</v>
      </c>
      <c r="C20">
        <v>0</v>
      </c>
      <c r="D20">
        <v>2</v>
      </c>
      <c r="E20">
        <v>4</v>
      </c>
      <c r="F20">
        <f t="shared" si="0"/>
        <v>0</v>
      </c>
    </row>
    <row r="21" spans="1:6" x14ac:dyDescent="0.25">
      <c r="A21" s="2">
        <v>20</v>
      </c>
      <c r="B21">
        <v>1</v>
      </c>
      <c r="C21">
        <v>0</v>
      </c>
      <c r="D21">
        <v>2</v>
      </c>
      <c r="E21">
        <v>5</v>
      </c>
      <c r="F21">
        <f t="shared" si="0"/>
        <v>0</v>
      </c>
    </row>
    <row r="22" spans="1:6" x14ac:dyDescent="0.25">
      <c r="A22" s="2">
        <v>21</v>
      </c>
      <c r="B22">
        <v>1</v>
      </c>
      <c r="C22">
        <v>0</v>
      </c>
      <c r="D22">
        <v>2</v>
      </c>
      <c r="E22">
        <v>6</v>
      </c>
      <c r="F22">
        <f t="shared" si="0"/>
        <v>0</v>
      </c>
    </row>
    <row r="23" spans="1:6" x14ac:dyDescent="0.25">
      <c r="A23" s="2">
        <v>22</v>
      </c>
      <c r="B23">
        <v>1</v>
      </c>
      <c r="C23">
        <v>1</v>
      </c>
      <c r="D23">
        <v>0</v>
      </c>
      <c r="E23">
        <v>0</v>
      </c>
      <c r="F23">
        <f t="shared" si="0"/>
        <v>1</v>
      </c>
    </row>
    <row r="24" spans="1:6" x14ac:dyDescent="0.25">
      <c r="A24" s="2">
        <v>23</v>
      </c>
      <c r="B24">
        <v>1</v>
      </c>
      <c r="C24">
        <v>1</v>
      </c>
      <c r="D24">
        <v>0</v>
      </c>
      <c r="E24">
        <v>1</v>
      </c>
      <c r="F24">
        <f t="shared" si="0"/>
        <v>0</v>
      </c>
    </row>
    <row r="25" spans="1:6" x14ac:dyDescent="0.25">
      <c r="A25" s="2">
        <v>24</v>
      </c>
      <c r="B25">
        <v>1</v>
      </c>
      <c r="C25">
        <v>1</v>
      </c>
      <c r="D25">
        <v>0</v>
      </c>
      <c r="E25">
        <v>2</v>
      </c>
      <c r="F25">
        <f t="shared" si="0"/>
        <v>0</v>
      </c>
    </row>
    <row r="26" spans="1:6" x14ac:dyDescent="0.25">
      <c r="A26" s="2">
        <v>25</v>
      </c>
      <c r="B26">
        <v>1</v>
      </c>
      <c r="C26">
        <v>1</v>
      </c>
      <c r="D26">
        <v>0</v>
      </c>
      <c r="E26">
        <v>3</v>
      </c>
      <c r="F26">
        <f t="shared" si="0"/>
        <v>0</v>
      </c>
    </row>
    <row r="27" spans="1:6" x14ac:dyDescent="0.25">
      <c r="A27" s="2">
        <v>26</v>
      </c>
      <c r="B27">
        <v>1</v>
      </c>
      <c r="C27">
        <v>1</v>
      </c>
      <c r="D27">
        <v>0</v>
      </c>
      <c r="E27">
        <v>4</v>
      </c>
      <c r="F27">
        <f t="shared" si="0"/>
        <v>0</v>
      </c>
    </row>
    <row r="28" spans="1:6" x14ac:dyDescent="0.25">
      <c r="A28" s="2">
        <v>27</v>
      </c>
      <c r="B28">
        <v>1</v>
      </c>
      <c r="C28">
        <v>1</v>
      </c>
      <c r="D28">
        <v>0</v>
      </c>
      <c r="E28">
        <v>5</v>
      </c>
      <c r="F28">
        <f t="shared" si="0"/>
        <v>0</v>
      </c>
    </row>
    <row r="29" spans="1:6" x14ac:dyDescent="0.25">
      <c r="A29" s="2">
        <v>28</v>
      </c>
      <c r="B29">
        <v>1</v>
      </c>
      <c r="C29">
        <v>1</v>
      </c>
      <c r="D29">
        <v>0</v>
      </c>
      <c r="E29">
        <v>6</v>
      </c>
      <c r="F29">
        <f t="shared" si="0"/>
        <v>0</v>
      </c>
    </row>
    <row r="30" spans="1:6" x14ac:dyDescent="0.25">
      <c r="A30" s="2">
        <v>29</v>
      </c>
      <c r="B30">
        <v>1</v>
      </c>
      <c r="C30">
        <v>1</v>
      </c>
      <c r="D30">
        <v>1</v>
      </c>
      <c r="E30">
        <v>0</v>
      </c>
      <c r="F30">
        <f t="shared" si="0"/>
        <v>1</v>
      </c>
    </row>
    <row r="31" spans="1:6" x14ac:dyDescent="0.25">
      <c r="A31" s="2">
        <v>30</v>
      </c>
      <c r="B31">
        <v>1</v>
      </c>
      <c r="C31">
        <v>1</v>
      </c>
      <c r="D31">
        <v>1</v>
      </c>
      <c r="E31">
        <v>1</v>
      </c>
      <c r="F31">
        <f t="shared" si="0"/>
        <v>0</v>
      </c>
    </row>
    <row r="32" spans="1:6" x14ac:dyDescent="0.25">
      <c r="A32" s="2">
        <v>31</v>
      </c>
      <c r="B32">
        <v>1</v>
      </c>
      <c r="C32">
        <v>1</v>
      </c>
      <c r="D32">
        <v>1</v>
      </c>
      <c r="E32">
        <v>2</v>
      </c>
      <c r="F32">
        <f t="shared" si="0"/>
        <v>0</v>
      </c>
    </row>
    <row r="33" spans="1:6" x14ac:dyDescent="0.25">
      <c r="A33" s="2">
        <v>32</v>
      </c>
      <c r="B33">
        <v>1</v>
      </c>
      <c r="C33">
        <v>1</v>
      </c>
      <c r="D33">
        <v>1</v>
      </c>
      <c r="E33">
        <v>3</v>
      </c>
      <c r="F33">
        <f t="shared" si="0"/>
        <v>0</v>
      </c>
    </row>
    <row r="34" spans="1:6" x14ac:dyDescent="0.25">
      <c r="A34" s="2">
        <v>33</v>
      </c>
      <c r="B34">
        <v>1</v>
      </c>
      <c r="C34">
        <v>1</v>
      </c>
      <c r="D34">
        <v>1</v>
      </c>
      <c r="E34">
        <v>4</v>
      </c>
      <c r="F34">
        <f t="shared" si="0"/>
        <v>0</v>
      </c>
    </row>
    <row r="35" spans="1:6" x14ac:dyDescent="0.25">
      <c r="A35" s="2">
        <v>34</v>
      </c>
      <c r="B35">
        <v>1</v>
      </c>
      <c r="C35">
        <v>1</v>
      </c>
      <c r="D35">
        <v>1</v>
      </c>
      <c r="E35">
        <v>5</v>
      </c>
      <c r="F35">
        <f t="shared" si="0"/>
        <v>0</v>
      </c>
    </row>
    <row r="36" spans="1:6" x14ac:dyDescent="0.25">
      <c r="A36" s="2">
        <v>35</v>
      </c>
      <c r="B36">
        <v>1</v>
      </c>
      <c r="C36">
        <v>1</v>
      </c>
      <c r="D36">
        <v>1</v>
      </c>
      <c r="E36">
        <v>6</v>
      </c>
      <c r="F36">
        <f t="shared" si="0"/>
        <v>0</v>
      </c>
    </row>
    <row r="37" spans="1:6" x14ac:dyDescent="0.25">
      <c r="A37" s="2">
        <v>36</v>
      </c>
      <c r="B37">
        <v>1</v>
      </c>
      <c r="C37">
        <v>1</v>
      </c>
      <c r="D37">
        <v>2</v>
      </c>
      <c r="E37">
        <v>0</v>
      </c>
      <c r="F37">
        <f t="shared" si="0"/>
        <v>1</v>
      </c>
    </row>
    <row r="38" spans="1:6" x14ac:dyDescent="0.25">
      <c r="A38" s="2">
        <v>37</v>
      </c>
      <c r="B38">
        <v>1</v>
      </c>
      <c r="C38">
        <v>1</v>
      </c>
      <c r="D38">
        <v>2</v>
      </c>
      <c r="E38">
        <v>1</v>
      </c>
      <c r="F38">
        <f t="shared" si="0"/>
        <v>0</v>
      </c>
    </row>
    <row r="39" spans="1:6" x14ac:dyDescent="0.25">
      <c r="A39" s="2">
        <v>38</v>
      </c>
      <c r="B39">
        <v>1</v>
      </c>
      <c r="C39">
        <v>1</v>
      </c>
      <c r="D39">
        <v>2</v>
      </c>
      <c r="E39">
        <v>2</v>
      </c>
      <c r="F39">
        <f t="shared" si="0"/>
        <v>0</v>
      </c>
    </row>
    <row r="40" spans="1:6" x14ac:dyDescent="0.25">
      <c r="A40" s="2">
        <v>39</v>
      </c>
      <c r="B40">
        <v>1</v>
      </c>
      <c r="C40">
        <v>1</v>
      </c>
      <c r="D40">
        <v>2</v>
      </c>
      <c r="E40">
        <v>3</v>
      </c>
      <c r="F40">
        <f t="shared" si="0"/>
        <v>0</v>
      </c>
    </row>
    <row r="41" spans="1:6" x14ac:dyDescent="0.25">
      <c r="A41" s="2">
        <v>40</v>
      </c>
      <c r="B41">
        <v>1</v>
      </c>
      <c r="C41">
        <v>1</v>
      </c>
      <c r="D41">
        <v>2</v>
      </c>
      <c r="E41">
        <v>4</v>
      </c>
      <c r="F41">
        <f t="shared" si="0"/>
        <v>0</v>
      </c>
    </row>
    <row r="42" spans="1:6" x14ac:dyDescent="0.25">
      <c r="A42" s="2">
        <v>41</v>
      </c>
      <c r="B42">
        <v>1</v>
      </c>
      <c r="C42">
        <v>1</v>
      </c>
      <c r="D42">
        <v>2</v>
      </c>
      <c r="E42">
        <v>5</v>
      </c>
      <c r="F42">
        <f t="shared" si="0"/>
        <v>0</v>
      </c>
    </row>
    <row r="43" spans="1:6" x14ac:dyDescent="0.25">
      <c r="A43" s="2">
        <v>42</v>
      </c>
      <c r="B43">
        <v>1</v>
      </c>
      <c r="C43">
        <v>1</v>
      </c>
      <c r="D43">
        <v>2</v>
      </c>
      <c r="E43">
        <v>6</v>
      </c>
      <c r="F43">
        <f t="shared" si="0"/>
        <v>0</v>
      </c>
    </row>
    <row r="44" spans="1:6" x14ac:dyDescent="0.25">
      <c r="A44" s="2">
        <v>43</v>
      </c>
      <c r="B44">
        <v>1</v>
      </c>
      <c r="C44">
        <v>2</v>
      </c>
      <c r="D44">
        <v>0</v>
      </c>
      <c r="E44">
        <v>0</v>
      </c>
      <c r="F44">
        <f t="shared" si="0"/>
        <v>1</v>
      </c>
    </row>
    <row r="45" spans="1:6" x14ac:dyDescent="0.25">
      <c r="A45" s="2">
        <v>44</v>
      </c>
      <c r="B45">
        <v>1</v>
      </c>
      <c r="C45">
        <v>2</v>
      </c>
      <c r="D45">
        <v>0</v>
      </c>
      <c r="E45">
        <v>1</v>
      </c>
      <c r="F45">
        <f t="shared" si="0"/>
        <v>0</v>
      </c>
    </row>
    <row r="46" spans="1:6" x14ac:dyDescent="0.25">
      <c r="A46" s="2">
        <v>45</v>
      </c>
      <c r="B46">
        <v>1</v>
      </c>
      <c r="C46">
        <v>2</v>
      </c>
      <c r="D46">
        <v>0</v>
      </c>
      <c r="E46">
        <v>2</v>
      </c>
      <c r="F46">
        <f t="shared" si="0"/>
        <v>0</v>
      </c>
    </row>
    <row r="47" spans="1:6" x14ac:dyDescent="0.25">
      <c r="A47" s="2">
        <v>46</v>
      </c>
      <c r="B47">
        <v>1</v>
      </c>
      <c r="C47">
        <v>2</v>
      </c>
      <c r="D47">
        <v>0</v>
      </c>
      <c r="E47">
        <v>3</v>
      </c>
      <c r="F47">
        <f t="shared" si="0"/>
        <v>0</v>
      </c>
    </row>
    <row r="48" spans="1:6" x14ac:dyDescent="0.25">
      <c r="A48" s="2">
        <v>47</v>
      </c>
      <c r="B48">
        <v>1</v>
      </c>
      <c r="C48">
        <v>2</v>
      </c>
      <c r="D48">
        <v>0</v>
      </c>
      <c r="E48">
        <v>4</v>
      </c>
      <c r="F48">
        <f t="shared" si="0"/>
        <v>0</v>
      </c>
    </row>
    <row r="49" spans="1:6" x14ac:dyDescent="0.25">
      <c r="A49" s="2">
        <v>48</v>
      </c>
      <c r="B49">
        <v>1</v>
      </c>
      <c r="C49">
        <v>2</v>
      </c>
      <c r="D49">
        <v>0</v>
      </c>
      <c r="E49">
        <v>5</v>
      </c>
      <c r="F49">
        <f t="shared" si="0"/>
        <v>0</v>
      </c>
    </row>
    <row r="50" spans="1:6" x14ac:dyDescent="0.25">
      <c r="A50" s="2">
        <v>49</v>
      </c>
      <c r="B50">
        <v>1</v>
      </c>
      <c r="C50">
        <v>2</v>
      </c>
      <c r="D50">
        <v>0</v>
      </c>
      <c r="E50">
        <v>6</v>
      </c>
      <c r="F50">
        <f t="shared" si="0"/>
        <v>0</v>
      </c>
    </row>
    <row r="51" spans="1:6" x14ac:dyDescent="0.25">
      <c r="A51" s="2">
        <v>50</v>
      </c>
      <c r="B51">
        <v>1</v>
      </c>
      <c r="C51">
        <v>2</v>
      </c>
      <c r="D51">
        <v>1</v>
      </c>
      <c r="E51">
        <v>0</v>
      </c>
      <c r="F51">
        <f t="shared" si="0"/>
        <v>1</v>
      </c>
    </row>
    <row r="52" spans="1:6" x14ac:dyDescent="0.25">
      <c r="A52" s="2">
        <v>51</v>
      </c>
      <c r="B52">
        <v>1</v>
      </c>
      <c r="C52">
        <v>2</v>
      </c>
      <c r="D52">
        <v>1</v>
      </c>
      <c r="E52">
        <v>1</v>
      </c>
      <c r="F52">
        <f t="shared" si="0"/>
        <v>0</v>
      </c>
    </row>
    <row r="53" spans="1:6" x14ac:dyDescent="0.25">
      <c r="A53" s="2">
        <v>52</v>
      </c>
      <c r="B53">
        <v>1</v>
      </c>
      <c r="C53">
        <v>2</v>
      </c>
      <c r="D53">
        <v>1</v>
      </c>
      <c r="E53">
        <v>2</v>
      </c>
      <c r="F53">
        <f t="shared" si="0"/>
        <v>0</v>
      </c>
    </row>
    <row r="54" spans="1:6" x14ac:dyDescent="0.25">
      <c r="A54" s="2">
        <v>53</v>
      </c>
      <c r="B54">
        <v>1</v>
      </c>
      <c r="C54">
        <v>2</v>
      </c>
      <c r="D54">
        <v>1</v>
      </c>
      <c r="E54">
        <v>3</v>
      </c>
      <c r="F54">
        <f t="shared" si="0"/>
        <v>0</v>
      </c>
    </row>
    <row r="55" spans="1:6" x14ac:dyDescent="0.25">
      <c r="A55" s="2">
        <v>54</v>
      </c>
      <c r="B55">
        <v>1</v>
      </c>
      <c r="C55">
        <v>2</v>
      </c>
      <c r="D55">
        <v>1</v>
      </c>
      <c r="E55">
        <v>4</v>
      </c>
      <c r="F55">
        <f t="shared" si="0"/>
        <v>0</v>
      </c>
    </row>
    <row r="56" spans="1:6" x14ac:dyDescent="0.25">
      <c r="A56" s="2">
        <v>55</v>
      </c>
      <c r="B56">
        <v>1</v>
      </c>
      <c r="C56">
        <v>2</v>
      </c>
      <c r="D56">
        <v>1</v>
      </c>
      <c r="E56">
        <v>5</v>
      </c>
      <c r="F56">
        <f t="shared" si="0"/>
        <v>0</v>
      </c>
    </row>
    <row r="57" spans="1:6" x14ac:dyDescent="0.25">
      <c r="A57" s="2">
        <v>56</v>
      </c>
      <c r="B57">
        <v>1</v>
      </c>
      <c r="C57">
        <v>2</v>
      </c>
      <c r="D57">
        <v>1</v>
      </c>
      <c r="E57">
        <v>6</v>
      </c>
      <c r="F57">
        <f t="shared" si="0"/>
        <v>0</v>
      </c>
    </row>
    <row r="58" spans="1:6" x14ac:dyDescent="0.25">
      <c r="A58" s="2">
        <v>57</v>
      </c>
      <c r="B58">
        <v>1</v>
      </c>
      <c r="C58">
        <v>2</v>
      </c>
      <c r="D58">
        <v>2</v>
      </c>
      <c r="E58">
        <v>0</v>
      </c>
      <c r="F58">
        <f t="shared" si="0"/>
        <v>1</v>
      </c>
    </row>
    <row r="59" spans="1:6" x14ac:dyDescent="0.25">
      <c r="A59" s="2">
        <v>58</v>
      </c>
      <c r="B59">
        <v>1</v>
      </c>
      <c r="C59">
        <v>2</v>
      </c>
      <c r="D59">
        <v>2</v>
      </c>
      <c r="E59">
        <v>1</v>
      </c>
      <c r="F59">
        <f t="shared" si="0"/>
        <v>0</v>
      </c>
    </row>
    <row r="60" spans="1:6" x14ac:dyDescent="0.25">
      <c r="A60" s="2">
        <v>59</v>
      </c>
      <c r="B60">
        <v>1</v>
      </c>
      <c r="C60">
        <v>2</v>
      </c>
      <c r="D60">
        <v>2</v>
      </c>
      <c r="E60">
        <v>2</v>
      </c>
      <c r="F60">
        <f t="shared" si="0"/>
        <v>0</v>
      </c>
    </row>
    <row r="61" spans="1:6" x14ac:dyDescent="0.25">
      <c r="A61" s="2">
        <v>60</v>
      </c>
      <c r="B61">
        <v>1</v>
      </c>
      <c r="C61">
        <v>2</v>
      </c>
      <c r="D61">
        <v>2</v>
      </c>
      <c r="E61">
        <v>3</v>
      </c>
      <c r="F61">
        <f t="shared" si="0"/>
        <v>0</v>
      </c>
    </row>
    <row r="62" spans="1:6" x14ac:dyDescent="0.25">
      <c r="A62" s="2">
        <v>61</v>
      </c>
      <c r="B62">
        <v>1</v>
      </c>
      <c r="C62">
        <v>2</v>
      </c>
      <c r="D62">
        <v>2</v>
      </c>
      <c r="E62">
        <v>4</v>
      </c>
      <c r="F62">
        <f t="shared" si="0"/>
        <v>0</v>
      </c>
    </row>
    <row r="63" spans="1:6" x14ac:dyDescent="0.25">
      <c r="A63" s="2">
        <v>62</v>
      </c>
      <c r="B63">
        <v>1</v>
      </c>
      <c r="C63">
        <v>2</v>
      </c>
      <c r="D63">
        <v>2</v>
      </c>
      <c r="E63">
        <v>5</v>
      </c>
      <c r="F63">
        <f t="shared" si="0"/>
        <v>0</v>
      </c>
    </row>
    <row r="64" spans="1:6" x14ac:dyDescent="0.25">
      <c r="A64" s="2">
        <v>63</v>
      </c>
      <c r="B64">
        <v>1</v>
      </c>
      <c r="C64">
        <v>2</v>
      </c>
      <c r="D64">
        <v>2</v>
      </c>
      <c r="E64">
        <v>6</v>
      </c>
      <c r="F64">
        <f t="shared" si="0"/>
        <v>0</v>
      </c>
    </row>
    <row r="65" spans="1:6" x14ac:dyDescent="0.25">
      <c r="A65" s="2">
        <v>64</v>
      </c>
      <c r="B65">
        <v>1</v>
      </c>
      <c r="C65">
        <v>3</v>
      </c>
      <c r="D65">
        <v>0</v>
      </c>
      <c r="E65">
        <v>0</v>
      </c>
      <c r="F65">
        <f t="shared" si="0"/>
        <v>1</v>
      </c>
    </row>
    <row r="66" spans="1:6" x14ac:dyDescent="0.25">
      <c r="A66" s="2">
        <v>65</v>
      </c>
      <c r="B66">
        <v>1</v>
      </c>
      <c r="C66">
        <v>3</v>
      </c>
      <c r="D66">
        <v>0</v>
      </c>
      <c r="E66">
        <v>1</v>
      </c>
      <c r="F66">
        <f t="shared" si="0"/>
        <v>0</v>
      </c>
    </row>
    <row r="67" spans="1:6" x14ac:dyDescent="0.25">
      <c r="A67" s="2">
        <v>66</v>
      </c>
      <c r="B67">
        <v>1</v>
      </c>
      <c r="C67">
        <v>3</v>
      </c>
      <c r="D67">
        <v>0</v>
      </c>
      <c r="E67">
        <v>2</v>
      </c>
      <c r="F67">
        <f t="shared" ref="F67:F130" si="1">IF(E67=0,1,0)</f>
        <v>0</v>
      </c>
    </row>
    <row r="68" spans="1:6" x14ac:dyDescent="0.25">
      <c r="A68" s="2">
        <v>67</v>
      </c>
      <c r="B68">
        <v>1</v>
      </c>
      <c r="C68">
        <v>3</v>
      </c>
      <c r="D68">
        <v>0</v>
      </c>
      <c r="E68">
        <v>3</v>
      </c>
      <c r="F68">
        <f t="shared" si="1"/>
        <v>0</v>
      </c>
    </row>
    <row r="69" spans="1:6" x14ac:dyDescent="0.25">
      <c r="A69" s="2">
        <v>68</v>
      </c>
      <c r="B69">
        <v>1</v>
      </c>
      <c r="C69">
        <v>3</v>
      </c>
      <c r="D69">
        <v>0</v>
      </c>
      <c r="E69">
        <v>4</v>
      </c>
      <c r="F69">
        <f t="shared" si="1"/>
        <v>0</v>
      </c>
    </row>
    <row r="70" spans="1:6" x14ac:dyDescent="0.25">
      <c r="A70" s="2">
        <v>69</v>
      </c>
      <c r="B70">
        <v>1</v>
      </c>
      <c r="C70">
        <v>3</v>
      </c>
      <c r="D70">
        <v>0</v>
      </c>
      <c r="E70">
        <v>5</v>
      </c>
      <c r="F70">
        <f t="shared" si="1"/>
        <v>0</v>
      </c>
    </row>
    <row r="71" spans="1:6" x14ac:dyDescent="0.25">
      <c r="A71" s="2">
        <v>70</v>
      </c>
      <c r="B71">
        <v>1</v>
      </c>
      <c r="C71">
        <v>3</v>
      </c>
      <c r="D71">
        <v>0</v>
      </c>
      <c r="E71">
        <v>6</v>
      </c>
      <c r="F71">
        <f t="shared" si="1"/>
        <v>0</v>
      </c>
    </row>
    <row r="72" spans="1:6" x14ac:dyDescent="0.25">
      <c r="A72" s="2">
        <v>71</v>
      </c>
      <c r="B72">
        <v>1</v>
      </c>
      <c r="C72">
        <v>3</v>
      </c>
      <c r="D72">
        <v>1</v>
      </c>
      <c r="E72">
        <v>0</v>
      </c>
      <c r="F72">
        <f t="shared" si="1"/>
        <v>1</v>
      </c>
    </row>
    <row r="73" spans="1:6" x14ac:dyDescent="0.25">
      <c r="A73" s="2">
        <v>72</v>
      </c>
      <c r="B73">
        <v>1</v>
      </c>
      <c r="C73">
        <v>3</v>
      </c>
      <c r="D73">
        <v>1</v>
      </c>
      <c r="E73">
        <v>1</v>
      </c>
      <c r="F73">
        <f t="shared" si="1"/>
        <v>0</v>
      </c>
    </row>
    <row r="74" spans="1:6" x14ac:dyDescent="0.25">
      <c r="A74" s="2">
        <v>73</v>
      </c>
      <c r="B74">
        <v>1</v>
      </c>
      <c r="C74">
        <v>3</v>
      </c>
      <c r="D74">
        <v>1</v>
      </c>
      <c r="E74">
        <v>2</v>
      </c>
      <c r="F74">
        <f t="shared" si="1"/>
        <v>0</v>
      </c>
    </row>
    <row r="75" spans="1:6" x14ac:dyDescent="0.25">
      <c r="A75" s="2">
        <v>74</v>
      </c>
      <c r="B75">
        <v>1</v>
      </c>
      <c r="C75">
        <v>3</v>
      </c>
      <c r="D75">
        <v>1</v>
      </c>
      <c r="E75">
        <v>3</v>
      </c>
      <c r="F75">
        <f t="shared" si="1"/>
        <v>0</v>
      </c>
    </row>
    <row r="76" spans="1:6" x14ac:dyDescent="0.25">
      <c r="A76" s="2">
        <v>75</v>
      </c>
      <c r="B76">
        <v>1</v>
      </c>
      <c r="C76">
        <v>3</v>
      </c>
      <c r="D76">
        <v>1</v>
      </c>
      <c r="E76">
        <v>4</v>
      </c>
      <c r="F76">
        <f t="shared" si="1"/>
        <v>0</v>
      </c>
    </row>
    <row r="77" spans="1:6" x14ac:dyDescent="0.25">
      <c r="A77" s="2">
        <v>76</v>
      </c>
      <c r="B77">
        <v>1</v>
      </c>
      <c r="C77">
        <v>3</v>
      </c>
      <c r="D77">
        <v>1</v>
      </c>
      <c r="E77">
        <v>5</v>
      </c>
      <c r="F77">
        <f t="shared" si="1"/>
        <v>0</v>
      </c>
    </row>
    <row r="78" spans="1:6" x14ac:dyDescent="0.25">
      <c r="A78" s="2">
        <v>77</v>
      </c>
      <c r="B78">
        <v>1</v>
      </c>
      <c r="C78">
        <v>3</v>
      </c>
      <c r="D78">
        <v>1</v>
      </c>
      <c r="E78">
        <v>6</v>
      </c>
      <c r="F78">
        <f t="shared" si="1"/>
        <v>0</v>
      </c>
    </row>
    <row r="79" spans="1:6" x14ac:dyDescent="0.25">
      <c r="A79" s="2">
        <v>78</v>
      </c>
      <c r="B79">
        <v>1</v>
      </c>
      <c r="C79">
        <v>3</v>
      </c>
      <c r="D79">
        <v>2</v>
      </c>
      <c r="E79">
        <v>0</v>
      </c>
      <c r="F79">
        <f t="shared" si="1"/>
        <v>1</v>
      </c>
    </row>
    <row r="80" spans="1:6" x14ac:dyDescent="0.25">
      <c r="A80" s="2">
        <v>79</v>
      </c>
      <c r="B80">
        <v>1</v>
      </c>
      <c r="C80">
        <v>3</v>
      </c>
      <c r="D80">
        <v>2</v>
      </c>
      <c r="E80">
        <v>1</v>
      </c>
      <c r="F80">
        <f t="shared" si="1"/>
        <v>0</v>
      </c>
    </row>
    <row r="81" spans="1:6" x14ac:dyDescent="0.25">
      <c r="A81" s="2">
        <v>80</v>
      </c>
      <c r="B81">
        <v>1</v>
      </c>
      <c r="C81">
        <v>3</v>
      </c>
      <c r="D81">
        <v>2</v>
      </c>
      <c r="E81">
        <v>2</v>
      </c>
      <c r="F81">
        <f t="shared" si="1"/>
        <v>0</v>
      </c>
    </row>
    <row r="82" spans="1:6" x14ac:dyDescent="0.25">
      <c r="A82" s="2">
        <v>81</v>
      </c>
      <c r="B82">
        <v>1</v>
      </c>
      <c r="C82">
        <v>3</v>
      </c>
      <c r="D82">
        <v>2</v>
      </c>
      <c r="E82">
        <v>3</v>
      </c>
      <c r="F82">
        <f t="shared" si="1"/>
        <v>0</v>
      </c>
    </row>
    <row r="83" spans="1:6" x14ac:dyDescent="0.25">
      <c r="A83" s="2">
        <v>82</v>
      </c>
      <c r="B83">
        <v>1</v>
      </c>
      <c r="C83">
        <v>3</v>
      </c>
      <c r="D83">
        <v>2</v>
      </c>
      <c r="E83">
        <v>4</v>
      </c>
      <c r="F83">
        <f t="shared" si="1"/>
        <v>0</v>
      </c>
    </row>
    <row r="84" spans="1:6" x14ac:dyDescent="0.25">
      <c r="A84" s="2">
        <v>83</v>
      </c>
      <c r="B84">
        <v>1</v>
      </c>
      <c r="C84">
        <v>3</v>
      </c>
      <c r="D84">
        <v>2</v>
      </c>
      <c r="E84">
        <v>5</v>
      </c>
      <c r="F84">
        <f t="shared" si="1"/>
        <v>0</v>
      </c>
    </row>
    <row r="85" spans="1:6" x14ac:dyDescent="0.25">
      <c r="A85" s="2">
        <v>84</v>
      </c>
      <c r="B85">
        <v>1</v>
      </c>
      <c r="C85">
        <v>3</v>
      </c>
      <c r="D85">
        <v>2</v>
      </c>
      <c r="E85">
        <v>6</v>
      </c>
      <c r="F85">
        <f t="shared" si="1"/>
        <v>0</v>
      </c>
    </row>
    <row r="86" spans="1:6" x14ac:dyDescent="0.25">
      <c r="A86" s="2">
        <v>85</v>
      </c>
      <c r="B86">
        <v>1</v>
      </c>
      <c r="C86">
        <v>4</v>
      </c>
      <c r="D86">
        <v>0</v>
      </c>
      <c r="E86">
        <v>0</v>
      </c>
      <c r="F86">
        <f t="shared" si="1"/>
        <v>1</v>
      </c>
    </row>
    <row r="87" spans="1:6" x14ac:dyDescent="0.25">
      <c r="A87" s="2">
        <v>86</v>
      </c>
      <c r="B87">
        <v>1</v>
      </c>
      <c r="C87">
        <v>4</v>
      </c>
      <c r="D87">
        <v>0</v>
      </c>
      <c r="E87">
        <v>1</v>
      </c>
      <c r="F87">
        <f t="shared" si="1"/>
        <v>0</v>
      </c>
    </row>
    <row r="88" spans="1:6" x14ac:dyDescent="0.25">
      <c r="A88" s="2">
        <v>87</v>
      </c>
      <c r="B88">
        <v>1</v>
      </c>
      <c r="C88">
        <v>4</v>
      </c>
      <c r="D88">
        <v>0</v>
      </c>
      <c r="E88">
        <v>2</v>
      </c>
      <c r="F88">
        <f t="shared" si="1"/>
        <v>0</v>
      </c>
    </row>
    <row r="89" spans="1:6" x14ac:dyDescent="0.25">
      <c r="A89" s="2">
        <v>88</v>
      </c>
      <c r="B89">
        <v>1</v>
      </c>
      <c r="C89">
        <v>4</v>
      </c>
      <c r="D89">
        <v>0</v>
      </c>
      <c r="E89">
        <v>3</v>
      </c>
      <c r="F89">
        <f t="shared" si="1"/>
        <v>0</v>
      </c>
    </row>
    <row r="90" spans="1:6" x14ac:dyDescent="0.25">
      <c r="A90" s="2">
        <v>89</v>
      </c>
      <c r="B90">
        <v>1</v>
      </c>
      <c r="C90">
        <v>4</v>
      </c>
      <c r="D90">
        <v>0</v>
      </c>
      <c r="E90">
        <v>4</v>
      </c>
      <c r="F90">
        <f t="shared" si="1"/>
        <v>0</v>
      </c>
    </row>
    <row r="91" spans="1:6" x14ac:dyDescent="0.25">
      <c r="A91" s="2">
        <v>90</v>
      </c>
      <c r="B91">
        <v>1</v>
      </c>
      <c r="C91">
        <v>4</v>
      </c>
      <c r="D91">
        <v>0</v>
      </c>
      <c r="E91">
        <v>5</v>
      </c>
      <c r="F91">
        <f t="shared" si="1"/>
        <v>0</v>
      </c>
    </row>
    <row r="92" spans="1:6" x14ac:dyDescent="0.25">
      <c r="A92" s="2">
        <v>91</v>
      </c>
      <c r="B92">
        <v>1</v>
      </c>
      <c r="C92">
        <v>4</v>
      </c>
      <c r="D92">
        <v>0</v>
      </c>
      <c r="E92">
        <v>6</v>
      </c>
      <c r="F92">
        <f t="shared" si="1"/>
        <v>0</v>
      </c>
    </row>
    <row r="93" spans="1:6" x14ac:dyDescent="0.25">
      <c r="A93" s="2">
        <v>92</v>
      </c>
      <c r="B93">
        <v>1</v>
      </c>
      <c r="C93">
        <v>4</v>
      </c>
      <c r="D93">
        <v>1</v>
      </c>
      <c r="E93">
        <v>0</v>
      </c>
      <c r="F93">
        <f t="shared" si="1"/>
        <v>1</v>
      </c>
    </row>
    <row r="94" spans="1:6" x14ac:dyDescent="0.25">
      <c r="A94" s="2">
        <v>93</v>
      </c>
      <c r="B94">
        <v>1</v>
      </c>
      <c r="C94">
        <v>4</v>
      </c>
      <c r="D94">
        <v>1</v>
      </c>
      <c r="E94">
        <v>1</v>
      </c>
      <c r="F94">
        <f t="shared" si="1"/>
        <v>0</v>
      </c>
    </row>
    <row r="95" spans="1:6" x14ac:dyDescent="0.25">
      <c r="A95" s="2">
        <v>94</v>
      </c>
      <c r="B95">
        <v>1</v>
      </c>
      <c r="C95">
        <v>4</v>
      </c>
      <c r="D95">
        <v>1</v>
      </c>
      <c r="E95">
        <v>2</v>
      </c>
      <c r="F95">
        <f t="shared" si="1"/>
        <v>0</v>
      </c>
    </row>
    <row r="96" spans="1:6" x14ac:dyDescent="0.25">
      <c r="A96" s="2">
        <v>95</v>
      </c>
      <c r="B96">
        <v>1</v>
      </c>
      <c r="C96">
        <v>4</v>
      </c>
      <c r="D96">
        <v>1</v>
      </c>
      <c r="E96">
        <v>3</v>
      </c>
      <c r="F96">
        <f t="shared" si="1"/>
        <v>0</v>
      </c>
    </row>
    <row r="97" spans="1:6" x14ac:dyDescent="0.25">
      <c r="A97" s="2">
        <v>96</v>
      </c>
      <c r="B97">
        <v>1</v>
      </c>
      <c r="C97">
        <v>4</v>
      </c>
      <c r="D97">
        <v>1</v>
      </c>
      <c r="E97">
        <v>4</v>
      </c>
      <c r="F97">
        <f t="shared" si="1"/>
        <v>0</v>
      </c>
    </row>
    <row r="98" spans="1:6" x14ac:dyDescent="0.25">
      <c r="A98" s="2">
        <v>97</v>
      </c>
      <c r="B98">
        <v>1</v>
      </c>
      <c r="C98">
        <v>4</v>
      </c>
      <c r="D98">
        <v>1</v>
      </c>
      <c r="E98">
        <v>5</v>
      </c>
      <c r="F98">
        <f t="shared" si="1"/>
        <v>0</v>
      </c>
    </row>
    <row r="99" spans="1:6" x14ac:dyDescent="0.25">
      <c r="A99" s="2">
        <v>98</v>
      </c>
      <c r="B99">
        <v>1</v>
      </c>
      <c r="C99">
        <v>4</v>
      </c>
      <c r="D99">
        <v>1</v>
      </c>
      <c r="E99">
        <v>6</v>
      </c>
      <c r="F99">
        <f t="shared" si="1"/>
        <v>0</v>
      </c>
    </row>
    <row r="100" spans="1:6" x14ac:dyDescent="0.25">
      <c r="A100" s="2">
        <v>99</v>
      </c>
      <c r="B100">
        <v>1</v>
      </c>
      <c r="C100">
        <v>4</v>
      </c>
      <c r="D100">
        <v>2</v>
      </c>
      <c r="E100">
        <v>0</v>
      </c>
      <c r="F100">
        <f t="shared" si="1"/>
        <v>1</v>
      </c>
    </row>
    <row r="101" spans="1:6" x14ac:dyDescent="0.25">
      <c r="A101" s="2">
        <v>100</v>
      </c>
      <c r="B101">
        <v>1</v>
      </c>
      <c r="C101">
        <v>4</v>
      </c>
      <c r="D101">
        <v>2</v>
      </c>
      <c r="E101">
        <v>1</v>
      </c>
      <c r="F101">
        <f t="shared" si="1"/>
        <v>0</v>
      </c>
    </row>
    <row r="102" spans="1:6" x14ac:dyDescent="0.25">
      <c r="A102" s="2">
        <v>101</v>
      </c>
      <c r="B102">
        <v>1</v>
      </c>
      <c r="C102">
        <v>4</v>
      </c>
      <c r="D102">
        <v>2</v>
      </c>
      <c r="E102">
        <v>2</v>
      </c>
      <c r="F102">
        <f t="shared" si="1"/>
        <v>0</v>
      </c>
    </row>
    <row r="103" spans="1:6" x14ac:dyDescent="0.25">
      <c r="A103" s="2">
        <v>102</v>
      </c>
      <c r="B103">
        <v>1</v>
      </c>
      <c r="C103">
        <v>4</v>
      </c>
      <c r="D103">
        <v>2</v>
      </c>
      <c r="E103">
        <v>3</v>
      </c>
      <c r="F103">
        <f t="shared" si="1"/>
        <v>0</v>
      </c>
    </row>
    <row r="104" spans="1:6" x14ac:dyDescent="0.25">
      <c r="A104" s="2">
        <v>103</v>
      </c>
      <c r="B104">
        <v>1</v>
      </c>
      <c r="C104">
        <v>4</v>
      </c>
      <c r="D104">
        <v>2</v>
      </c>
      <c r="E104">
        <v>4</v>
      </c>
      <c r="F104">
        <f t="shared" si="1"/>
        <v>0</v>
      </c>
    </row>
    <row r="105" spans="1:6" x14ac:dyDescent="0.25">
      <c r="A105" s="2">
        <v>104</v>
      </c>
      <c r="B105">
        <v>1</v>
      </c>
      <c r="C105">
        <v>4</v>
      </c>
      <c r="D105">
        <v>2</v>
      </c>
      <c r="E105">
        <v>5</v>
      </c>
      <c r="F105">
        <f t="shared" si="1"/>
        <v>0</v>
      </c>
    </row>
    <row r="106" spans="1:6" x14ac:dyDescent="0.25">
      <c r="A106" s="2">
        <v>105</v>
      </c>
      <c r="B106">
        <v>1</v>
      </c>
      <c r="C106">
        <v>4</v>
      </c>
      <c r="D106">
        <v>2</v>
      </c>
      <c r="E106">
        <v>6</v>
      </c>
      <c r="F106">
        <f t="shared" si="1"/>
        <v>0</v>
      </c>
    </row>
    <row r="107" spans="1:6" x14ac:dyDescent="0.25">
      <c r="A107" s="2">
        <v>106</v>
      </c>
      <c r="B107">
        <v>2</v>
      </c>
      <c r="C107">
        <v>0</v>
      </c>
      <c r="D107">
        <v>0</v>
      </c>
      <c r="E107">
        <v>0</v>
      </c>
      <c r="F107">
        <f t="shared" si="1"/>
        <v>1</v>
      </c>
    </row>
    <row r="108" spans="1:6" x14ac:dyDescent="0.25">
      <c r="A108" s="2">
        <v>107</v>
      </c>
      <c r="B108">
        <v>2</v>
      </c>
      <c r="C108">
        <v>0</v>
      </c>
      <c r="D108">
        <v>0</v>
      </c>
      <c r="E108">
        <v>1</v>
      </c>
      <c r="F108">
        <f t="shared" si="1"/>
        <v>0</v>
      </c>
    </row>
    <row r="109" spans="1:6" x14ac:dyDescent="0.25">
      <c r="A109" s="2">
        <v>108</v>
      </c>
      <c r="B109">
        <v>2</v>
      </c>
      <c r="C109">
        <v>0</v>
      </c>
      <c r="D109">
        <v>0</v>
      </c>
      <c r="E109">
        <v>2</v>
      </c>
      <c r="F109">
        <f t="shared" si="1"/>
        <v>0</v>
      </c>
    </row>
    <row r="110" spans="1:6" x14ac:dyDescent="0.25">
      <c r="A110" s="2">
        <v>109</v>
      </c>
      <c r="B110">
        <v>2</v>
      </c>
      <c r="C110">
        <v>0</v>
      </c>
      <c r="D110">
        <v>0</v>
      </c>
      <c r="E110">
        <v>3</v>
      </c>
      <c r="F110">
        <f t="shared" si="1"/>
        <v>0</v>
      </c>
    </row>
    <row r="111" spans="1:6" x14ac:dyDescent="0.25">
      <c r="A111" s="2">
        <v>110</v>
      </c>
      <c r="B111">
        <v>2</v>
      </c>
      <c r="C111">
        <v>0</v>
      </c>
      <c r="D111">
        <v>0</v>
      </c>
      <c r="E111">
        <v>4</v>
      </c>
      <c r="F111">
        <f t="shared" si="1"/>
        <v>0</v>
      </c>
    </row>
    <row r="112" spans="1:6" x14ac:dyDescent="0.25">
      <c r="A112" s="2">
        <v>111</v>
      </c>
      <c r="B112">
        <v>2</v>
      </c>
      <c r="C112">
        <v>0</v>
      </c>
      <c r="D112">
        <v>0</v>
      </c>
      <c r="E112">
        <v>5</v>
      </c>
      <c r="F112">
        <f t="shared" si="1"/>
        <v>0</v>
      </c>
    </row>
    <row r="113" spans="1:6" x14ac:dyDescent="0.25">
      <c r="A113" s="2">
        <v>112</v>
      </c>
      <c r="B113">
        <v>2</v>
      </c>
      <c r="C113">
        <v>0</v>
      </c>
      <c r="D113">
        <v>0</v>
      </c>
      <c r="E113">
        <v>6</v>
      </c>
      <c r="F113">
        <f t="shared" si="1"/>
        <v>0</v>
      </c>
    </row>
    <row r="114" spans="1:6" x14ac:dyDescent="0.25">
      <c r="A114" s="2">
        <v>113</v>
      </c>
      <c r="B114">
        <v>2</v>
      </c>
      <c r="C114">
        <v>0</v>
      </c>
      <c r="D114">
        <v>1</v>
      </c>
      <c r="E114">
        <v>0</v>
      </c>
      <c r="F114">
        <f t="shared" si="1"/>
        <v>1</v>
      </c>
    </row>
    <row r="115" spans="1:6" x14ac:dyDescent="0.25">
      <c r="A115" s="2">
        <v>114</v>
      </c>
      <c r="B115">
        <v>2</v>
      </c>
      <c r="C115">
        <v>0</v>
      </c>
      <c r="D115">
        <v>1</v>
      </c>
      <c r="E115">
        <v>1</v>
      </c>
      <c r="F115">
        <f t="shared" si="1"/>
        <v>0</v>
      </c>
    </row>
    <row r="116" spans="1:6" x14ac:dyDescent="0.25">
      <c r="A116" s="2">
        <v>115</v>
      </c>
      <c r="B116">
        <v>2</v>
      </c>
      <c r="C116">
        <v>0</v>
      </c>
      <c r="D116">
        <v>1</v>
      </c>
      <c r="E116">
        <v>2</v>
      </c>
      <c r="F116">
        <f t="shared" si="1"/>
        <v>0</v>
      </c>
    </row>
    <row r="117" spans="1:6" x14ac:dyDescent="0.25">
      <c r="A117" s="2">
        <v>116</v>
      </c>
      <c r="B117">
        <v>2</v>
      </c>
      <c r="C117">
        <v>0</v>
      </c>
      <c r="D117">
        <v>1</v>
      </c>
      <c r="E117">
        <v>3</v>
      </c>
      <c r="F117">
        <f t="shared" si="1"/>
        <v>0</v>
      </c>
    </row>
    <row r="118" spans="1:6" x14ac:dyDescent="0.25">
      <c r="A118" s="2">
        <v>117</v>
      </c>
      <c r="B118">
        <v>2</v>
      </c>
      <c r="C118">
        <v>0</v>
      </c>
      <c r="D118">
        <v>1</v>
      </c>
      <c r="E118">
        <v>4</v>
      </c>
      <c r="F118">
        <f t="shared" si="1"/>
        <v>0</v>
      </c>
    </row>
    <row r="119" spans="1:6" x14ac:dyDescent="0.25">
      <c r="A119" s="2">
        <v>118</v>
      </c>
      <c r="B119">
        <v>2</v>
      </c>
      <c r="C119">
        <v>0</v>
      </c>
      <c r="D119">
        <v>1</v>
      </c>
      <c r="E119">
        <v>5</v>
      </c>
      <c r="F119">
        <f t="shared" si="1"/>
        <v>0</v>
      </c>
    </row>
    <row r="120" spans="1:6" x14ac:dyDescent="0.25">
      <c r="A120" s="2">
        <v>119</v>
      </c>
      <c r="B120">
        <v>2</v>
      </c>
      <c r="C120">
        <v>0</v>
      </c>
      <c r="D120">
        <v>1</v>
      </c>
      <c r="E120">
        <v>6</v>
      </c>
      <c r="F120">
        <f t="shared" si="1"/>
        <v>0</v>
      </c>
    </row>
    <row r="121" spans="1:6" x14ac:dyDescent="0.25">
      <c r="A121" s="2">
        <v>120</v>
      </c>
      <c r="B121">
        <v>2</v>
      </c>
      <c r="C121">
        <v>0</v>
      </c>
      <c r="D121">
        <v>2</v>
      </c>
      <c r="E121">
        <v>0</v>
      </c>
      <c r="F121">
        <f t="shared" si="1"/>
        <v>1</v>
      </c>
    </row>
    <row r="122" spans="1:6" x14ac:dyDescent="0.25">
      <c r="A122" s="2">
        <v>121</v>
      </c>
      <c r="B122">
        <v>2</v>
      </c>
      <c r="C122">
        <v>0</v>
      </c>
      <c r="D122">
        <v>2</v>
      </c>
      <c r="E122">
        <v>1</v>
      </c>
      <c r="F122">
        <f t="shared" si="1"/>
        <v>0</v>
      </c>
    </row>
    <row r="123" spans="1:6" x14ac:dyDescent="0.25">
      <c r="A123" s="2">
        <v>122</v>
      </c>
      <c r="B123">
        <v>2</v>
      </c>
      <c r="C123">
        <v>0</v>
      </c>
      <c r="D123">
        <v>2</v>
      </c>
      <c r="E123">
        <v>2</v>
      </c>
      <c r="F123">
        <f t="shared" si="1"/>
        <v>0</v>
      </c>
    </row>
    <row r="124" spans="1:6" x14ac:dyDescent="0.25">
      <c r="A124" s="2">
        <v>123</v>
      </c>
      <c r="B124">
        <v>2</v>
      </c>
      <c r="C124">
        <v>0</v>
      </c>
      <c r="D124">
        <v>2</v>
      </c>
      <c r="E124">
        <v>3</v>
      </c>
      <c r="F124">
        <f t="shared" si="1"/>
        <v>0</v>
      </c>
    </row>
    <row r="125" spans="1:6" x14ac:dyDescent="0.25">
      <c r="A125" s="2">
        <v>124</v>
      </c>
      <c r="B125">
        <v>2</v>
      </c>
      <c r="C125">
        <v>0</v>
      </c>
      <c r="D125">
        <v>2</v>
      </c>
      <c r="E125">
        <v>4</v>
      </c>
      <c r="F125">
        <f t="shared" si="1"/>
        <v>0</v>
      </c>
    </row>
    <row r="126" spans="1:6" x14ac:dyDescent="0.25">
      <c r="A126" s="2">
        <v>125</v>
      </c>
      <c r="B126">
        <v>2</v>
      </c>
      <c r="C126">
        <v>0</v>
      </c>
      <c r="D126">
        <v>2</v>
      </c>
      <c r="E126">
        <v>5</v>
      </c>
      <c r="F126">
        <f t="shared" si="1"/>
        <v>0</v>
      </c>
    </row>
    <row r="127" spans="1:6" x14ac:dyDescent="0.25">
      <c r="A127" s="2">
        <v>126</v>
      </c>
      <c r="B127">
        <v>2</v>
      </c>
      <c r="C127">
        <v>0</v>
      </c>
      <c r="D127">
        <v>2</v>
      </c>
      <c r="E127">
        <v>6</v>
      </c>
      <c r="F127">
        <f t="shared" si="1"/>
        <v>0</v>
      </c>
    </row>
    <row r="128" spans="1:6" x14ac:dyDescent="0.25">
      <c r="A128" s="2">
        <v>127</v>
      </c>
      <c r="B128">
        <v>2</v>
      </c>
      <c r="C128">
        <v>1</v>
      </c>
      <c r="D128">
        <v>0</v>
      </c>
      <c r="E128">
        <v>0</v>
      </c>
      <c r="F128">
        <f t="shared" si="1"/>
        <v>1</v>
      </c>
    </row>
    <row r="129" spans="1:6" x14ac:dyDescent="0.25">
      <c r="A129" s="2">
        <v>128</v>
      </c>
      <c r="B129">
        <v>2</v>
      </c>
      <c r="C129">
        <v>1</v>
      </c>
      <c r="D129">
        <v>0</v>
      </c>
      <c r="E129">
        <v>1</v>
      </c>
      <c r="F129">
        <f t="shared" si="1"/>
        <v>0</v>
      </c>
    </row>
    <row r="130" spans="1:6" x14ac:dyDescent="0.25">
      <c r="A130" s="2">
        <v>129</v>
      </c>
      <c r="B130">
        <v>2</v>
      </c>
      <c r="C130">
        <v>1</v>
      </c>
      <c r="D130">
        <v>0</v>
      </c>
      <c r="E130">
        <v>2</v>
      </c>
      <c r="F130">
        <f t="shared" si="1"/>
        <v>0</v>
      </c>
    </row>
    <row r="131" spans="1:6" x14ac:dyDescent="0.25">
      <c r="A131" s="2">
        <v>130</v>
      </c>
      <c r="B131">
        <v>2</v>
      </c>
      <c r="C131">
        <v>1</v>
      </c>
      <c r="D131">
        <v>0</v>
      </c>
      <c r="E131">
        <v>3</v>
      </c>
      <c r="F131">
        <f t="shared" ref="F131:F194" si="2">IF(E131=0,1,0)</f>
        <v>0</v>
      </c>
    </row>
    <row r="132" spans="1:6" x14ac:dyDescent="0.25">
      <c r="A132" s="2">
        <v>131</v>
      </c>
      <c r="B132">
        <v>2</v>
      </c>
      <c r="C132">
        <v>1</v>
      </c>
      <c r="D132">
        <v>0</v>
      </c>
      <c r="E132">
        <v>4</v>
      </c>
      <c r="F132">
        <f t="shared" si="2"/>
        <v>0</v>
      </c>
    </row>
    <row r="133" spans="1:6" x14ac:dyDescent="0.25">
      <c r="A133" s="2">
        <v>132</v>
      </c>
      <c r="B133">
        <v>2</v>
      </c>
      <c r="C133">
        <v>1</v>
      </c>
      <c r="D133">
        <v>0</v>
      </c>
      <c r="E133">
        <v>5</v>
      </c>
      <c r="F133">
        <f t="shared" si="2"/>
        <v>0</v>
      </c>
    </row>
    <row r="134" spans="1:6" x14ac:dyDescent="0.25">
      <c r="A134" s="2">
        <v>133</v>
      </c>
      <c r="B134">
        <v>2</v>
      </c>
      <c r="C134">
        <v>1</v>
      </c>
      <c r="D134">
        <v>0</v>
      </c>
      <c r="E134">
        <v>6</v>
      </c>
      <c r="F134">
        <f t="shared" si="2"/>
        <v>0</v>
      </c>
    </row>
    <row r="135" spans="1:6" x14ac:dyDescent="0.25">
      <c r="A135" s="2">
        <v>134</v>
      </c>
      <c r="B135">
        <v>2</v>
      </c>
      <c r="C135">
        <v>1</v>
      </c>
      <c r="D135">
        <v>1</v>
      </c>
      <c r="E135">
        <v>0</v>
      </c>
      <c r="F135">
        <f t="shared" si="2"/>
        <v>1</v>
      </c>
    </row>
    <row r="136" spans="1:6" x14ac:dyDescent="0.25">
      <c r="A136" s="2">
        <v>135</v>
      </c>
      <c r="B136">
        <v>2</v>
      </c>
      <c r="C136">
        <v>1</v>
      </c>
      <c r="D136">
        <v>1</v>
      </c>
      <c r="E136">
        <v>1</v>
      </c>
      <c r="F136">
        <f t="shared" si="2"/>
        <v>0</v>
      </c>
    </row>
    <row r="137" spans="1:6" x14ac:dyDescent="0.25">
      <c r="A137" s="2">
        <v>136</v>
      </c>
      <c r="B137">
        <v>2</v>
      </c>
      <c r="C137">
        <v>1</v>
      </c>
      <c r="D137">
        <v>1</v>
      </c>
      <c r="E137">
        <v>2</v>
      </c>
      <c r="F137">
        <f t="shared" si="2"/>
        <v>0</v>
      </c>
    </row>
    <row r="138" spans="1:6" x14ac:dyDescent="0.25">
      <c r="A138" s="2">
        <v>137</v>
      </c>
      <c r="B138">
        <v>2</v>
      </c>
      <c r="C138">
        <v>1</v>
      </c>
      <c r="D138">
        <v>1</v>
      </c>
      <c r="E138">
        <v>3</v>
      </c>
      <c r="F138">
        <f t="shared" si="2"/>
        <v>0</v>
      </c>
    </row>
    <row r="139" spans="1:6" x14ac:dyDescent="0.25">
      <c r="A139" s="2">
        <v>138</v>
      </c>
      <c r="B139">
        <v>2</v>
      </c>
      <c r="C139">
        <v>1</v>
      </c>
      <c r="D139">
        <v>1</v>
      </c>
      <c r="E139">
        <v>4</v>
      </c>
      <c r="F139">
        <f t="shared" si="2"/>
        <v>0</v>
      </c>
    </row>
    <row r="140" spans="1:6" x14ac:dyDescent="0.25">
      <c r="A140" s="2">
        <v>139</v>
      </c>
      <c r="B140">
        <v>2</v>
      </c>
      <c r="C140">
        <v>1</v>
      </c>
      <c r="D140">
        <v>1</v>
      </c>
      <c r="E140">
        <v>5</v>
      </c>
      <c r="F140">
        <f t="shared" si="2"/>
        <v>0</v>
      </c>
    </row>
    <row r="141" spans="1:6" x14ac:dyDescent="0.25">
      <c r="A141" s="2">
        <v>140</v>
      </c>
      <c r="B141">
        <v>2</v>
      </c>
      <c r="C141">
        <v>1</v>
      </c>
      <c r="D141">
        <v>1</v>
      </c>
      <c r="E141">
        <v>6</v>
      </c>
      <c r="F141">
        <f t="shared" si="2"/>
        <v>0</v>
      </c>
    </row>
    <row r="142" spans="1:6" x14ac:dyDescent="0.25">
      <c r="A142" s="2">
        <v>141</v>
      </c>
      <c r="B142">
        <v>2</v>
      </c>
      <c r="C142">
        <v>1</v>
      </c>
      <c r="D142">
        <v>2</v>
      </c>
      <c r="E142">
        <v>0</v>
      </c>
      <c r="F142">
        <f t="shared" si="2"/>
        <v>1</v>
      </c>
    </row>
    <row r="143" spans="1:6" x14ac:dyDescent="0.25">
      <c r="A143" s="2">
        <v>142</v>
      </c>
      <c r="B143">
        <v>2</v>
      </c>
      <c r="C143">
        <v>1</v>
      </c>
      <c r="D143">
        <v>2</v>
      </c>
      <c r="E143">
        <v>1</v>
      </c>
      <c r="F143">
        <f t="shared" si="2"/>
        <v>0</v>
      </c>
    </row>
    <row r="144" spans="1:6" x14ac:dyDescent="0.25">
      <c r="A144" s="2">
        <v>143</v>
      </c>
      <c r="B144">
        <v>2</v>
      </c>
      <c r="C144">
        <v>1</v>
      </c>
      <c r="D144">
        <v>2</v>
      </c>
      <c r="E144">
        <v>2</v>
      </c>
      <c r="F144">
        <f t="shared" si="2"/>
        <v>0</v>
      </c>
    </row>
    <row r="145" spans="1:6" x14ac:dyDescent="0.25">
      <c r="A145" s="2">
        <v>144</v>
      </c>
      <c r="B145">
        <v>2</v>
      </c>
      <c r="C145">
        <v>1</v>
      </c>
      <c r="D145">
        <v>2</v>
      </c>
      <c r="E145">
        <v>3</v>
      </c>
      <c r="F145">
        <f t="shared" si="2"/>
        <v>0</v>
      </c>
    </row>
    <row r="146" spans="1:6" x14ac:dyDescent="0.25">
      <c r="A146" s="2">
        <v>145</v>
      </c>
      <c r="B146">
        <v>2</v>
      </c>
      <c r="C146">
        <v>1</v>
      </c>
      <c r="D146">
        <v>2</v>
      </c>
      <c r="E146">
        <v>4</v>
      </c>
      <c r="F146">
        <f t="shared" si="2"/>
        <v>0</v>
      </c>
    </row>
    <row r="147" spans="1:6" x14ac:dyDescent="0.25">
      <c r="A147" s="2">
        <v>146</v>
      </c>
      <c r="B147">
        <v>2</v>
      </c>
      <c r="C147">
        <v>1</v>
      </c>
      <c r="D147">
        <v>2</v>
      </c>
      <c r="E147">
        <v>5</v>
      </c>
      <c r="F147">
        <f t="shared" si="2"/>
        <v>0</v>
      </c>
    </row>
    <row r="148" spans="1:6" x14ac:dyDescent="0.25">
      <c r="A148" s="2">
        <v>147</v>
      </c>
      <c r="B148">
        <v>2</v>
      </c>
      <c r="C148">
        <v>1</v>
      </c>
      <c r="D148">
        <v>2</v>
      </c>
      <c r="E148">
        <v>6</v>
      </c>
      <c r="F148">
        <f t="shared" si="2"/>
        <v>0</v>
      </c>
    </row>
    <row r="149" spans="1:6" x14ac:dyDescent="0.25">
      <c r="A149" s="2">
        <v>148</v>
      </c>
      <c r="B149">
        <v>2</v>
      </c>
      <c r="C149">
        <v>2</v>
      </c>
      <c r="D149">
        <v>0</v>
      </c>
      <c r="E149">
        <v>0</v>
      </c>
      <c r="F149">
        <f t="shared" si="2"/>
        <v>1</v>
      </c>
    </row>
    <row r="150" spans="1:6" x14ac:dyDescent="0.25">
      <c r="A150" s="2">
        <v>149</v>
      </c>
      <c r="B150">
        <v>2</v>
      </c>
      <c r="C150">
        <v>2</v>
      </c>
      <c r="D150">
        <v>0</v>
      </c>
      <c r="E150">
        <v>1</v>
      </c>
      <c r="F150">
        <f t="shared" si="2"/>
        <v>0</v>
      </c>
    </row>
    <row r="151" spans="1:6" x14ac:dyDescent="0.25">
      <c r="A151" s="2">
        <v>150</v>
      </c>
      <c r="B151">
        <v>2</v>
      </c>
      <c r="C151">
        <v>2</v>
      </c>
      <c r="D151">
        <v>0</v>
      </c>
      <c r="E151">
        <v>2</v>
      </c>
      <c r="F151">
        <f t="shared" si="2"/>
        <v>0</v>
      </c>
    </row>
    <row r="152" spans="1:6" x14ac:dyDescent="0.25">
      <c r="A152" s="2">
        <v>151</v>
      </c>
      <c r="B152">
        <v>2</v>
      </c>
      <c r="C152">
        <v>2</v>
      </c>
      <c r="D152">
        <v>0</v>
      </c>
      <c r="E152">
        <v>3</v>
      </c>
      <c r="F152">
        <f t="shared" si="2"/>
        <v>0</v>
      </c>
    </row>
    <row r="153" spans="1:6" x14ac:dyDescent="0.25">
      <c r="A153" s="2">
        <v>152</v>
      </c>
      <c r="B153">
        <v>2</v>
      </c>
      <c r="C153">
        <v>2</v>
      </c>
      <c r="D153">
        <v>0</v>
      </c>
      <c r="E153">
        <v>4</v>
      </c>
      <c r="F153">
        <f t="shared" si="2"/>
        <v>0</v>
      </c>
    </row>
    <row r="154" spans="1:6" x14ac:dyDescent="0.25">
      <c r="A154" s="2">
        <v>153</v>
      </c>
      <c r="B154">
        <v>2</v>
      </c>
      <c r="C154">
        <v>2</v>
      </c>
      <c r="D154">
        <v>0</v>
      </c>
      <c r="E154">
        <v>5</v>
      </c>
      <c r="F154">
        <f t="shared" si="2"/>
        <v>0</v>
      </c>
    </row>
    <row r="155" spans="1:6" x14ac:dyDescent="0.25">
      <c r="A155" s="2">
        <v>154</v>
      </c>
      <c r="B155">
        <v>2</v>
      </c>
      <c r="C155">
        <v>2</v>
      </c>
      <c r="D155">
        <v>0</v>
      </c>
      <c r="E155">
        <v>6</v>
      </c>
      <c r="F155">
        <f t="shared" si="2"/>
        <v>0</v>
      </c>
    </row>
    <row r="156" spans="1:6" x14ac:dyDescent="0.25">
      <c r="A156" s="2">
        <v>155</v>
      </c>
      <c r="B156">
        <v>2</v>
      </c>
      <c r="C156">
        <v>2</v>
      </c>
      <c r="D156">
        <v>1</v>
      </c>
      <c r="E156">
        <v>0</v>
      </c>
      <c r="F156">
        <f t="shared" si="2"/>
        <v>1</v>
      </c>
    </row>
    <row r="157" spans="1:6" x14ac:dyDescent="0.25">
      <c r="A157" s="2">
        <v>156</v>
      </c>
      <c r="B157">
        <v>2</v>
      </c>
      <c r="C157">
        <v>2</v>
      </c>
      <c r="D157">
        <v>1</v>
      </c>
      <c r="E157">
        <v>1</v>
      </c>
      <c r="F157">
        <f t="shared" si="2"/>
        <v>0</v>
      </c>
    </row>
    <row r="158" spans="1:6" x14ac:dyDescent="0.25">
      <c r="A158" s="2">
        <v>157</v>
      </c>
      <c r="B158">
        <v>2</v>
      </c>
      <c r="C158">
        <v>2</v>
      </c>
      <c r="D158">
        <v>1</v>
      </c>
      <c r="E158">
        <v>2</v>
      </c>
      <c r="F158">
        <f t="shared" si="2"/>
        <v>0</v>
      </c>
    </row>
    <row r="159" spans="1:6" x14ac:dyDescent="0.25">
      <c r="A159" s="2">
        <v>158</v>
      </c>
      <c r="B159">
        <v>2</v>
      </c>
      <c r="C159">
        <v>2</v>
      </c>
      <c r="D159">
        <v>1</v>
      </c>
      <c r="E159">
        <v>3</v>
      </c>
      <c r="F159">
        <f t="shared" si="2"/>
        <v>0</v>
      </c>
    </row>
    <row r="160" spans="1:6" x14ac:dyDescent="0.25">
      <c r="A160" s="2">
        <v>159</v>
      </c>
      <c r="B160">
        <v>2</v>
      </c>
      <c r="C160">
        <v>2</v>
      </c>
      <c r="D160">
        <v>1</v>
      </c>
      <c r="E160">
        <v>4</v>
      </c>
      <c r="F160">
        <f t="shared" si="2"/>
        <v>0</v>
      </c>
    </row>
    <row r="161" spans="1:6" x14ac:dyDescent="0.25">
      <c r="A161" s="2">
        <v>160</v>
      </c>
      <c r="B161">
        <v>2</v>
      </c>
      <c r="C161">
        <v>2</v>
      </c>
      <c r="D161">
        <v>1</v>
      </c>
      <c r="E161">
        <v>5</v>
      </c>
      <c r="F161">
        <f t="shared" si="2"/>
        <v>0</v>
      </c>
    </row>
    <row r="162" spans="1:6" x14ac:dyDescent="0.25">
      <c r="A162" s="2">
        <v>161</v>
      </c>
      <c r="B162">
        <v>2</v>
      </c>
      <c r="C162">
        <v>2</v>
      </c>
      <c r="D162">
        <v>1</v>
      </c>
      <c r="E162">
        <v>6</v>
      </c>
      <c r="F162">
        <f t="shared" si="2"/>
        <v>0</v>
      </c>
    </row>
    <row r="163" spans="1:6" x14ac:dyDescent="0.25">
      <c r="A163" s="2">
        <v>162</v>
      </c>
      <c r="B163">
        <v>2</v>
      </c>
      <c r="C163">
        <v>2</v>
      </c>
      <c r="D163">
        <v>2</v>
      </c>
      <c r="E163">
        <v>0</v>
      </c>
      <c r="F163">
        <f t="shared" si="2"/>
        <v>1</v>
      </c>
    </row>
    <row r="164" spans="1:6" x14ac:dyDescent="0.25">
      <c r="A164" s="2">
        <v>163</v>
      </c>
      <c r="B164">
        <v>2</v>
      </c>
      <c r="C164">
        <v>2</v>
      </c>
      <c r="D164">
        <v>2</v>
      </c>
      <c r="E164">
        <v>1</v>
      </c>
      <c r="F164">
        <f t="shared" si="2"/>
        <v>0</v>
      </c>
    </row>
    <row r="165" spans="1:6" x14ac:dyDescent="0.25">
      <c r="A165" s="2">
        <v>164</v>
      </c>
      <c r="B165">
        <v>2</v>
      </c>
      <c r="C165">
        <v>2</v>
      </c>
      <c r="D165">
        <v>2</v>
      </c>
      <c r="E165">
        <v>2</v>
      </c>
      <c r="F165">
        <f t="shared" si="2"/>
        <v>0</v>
      </c>
    </row>
    <row r="166" spans="1:6" x14ac:dyDescent="0.25">
      <c r="A166" s="2">
        <v>165</v>
      </c>
      <c r="B166">
        <v>2</v>
      </c>
      <c r="C166">
        <v>2</v>
      </c>
      <c r="D166">
        <v>2</v>
      </c>
      <c r="E166">
        <v>3</v>
      </c>
      <c r="F166">
        <f t="shared" si="2"/>
        <v>0</v>
      </c>
    </row>
    <row r="167" spans="1:6" x14ac:dyDescent="0.25">
      <c r="A167" s="2">
        <v>166</v>
      </c>
      <c r="B167">
        <v>2</v>
      </c>
      <c r="C167">
        <v>2</v>
      </c>
      <c r="D167">
        <v>2</v>
      </c>
      <c r="E167">
        <v>4</v>
      </c>
      <c r="F167">
        <f t="shared" si="2"/>
        <v>0</v>
      </c>
    </row>
    <row r="168" spans="1:6" x14ac:dyDescent="0.25">
      <c r="A168" s="2">
        <v>167</v>
      </c>
      <c r="B168">
        <v>2</v>
      </c>
      <c r="C168">
        <v>2</v>
      </c>
      <c r="D168">
        <v>2</v>
      </c>
      <c r="E168">
        <v>5</v>
      </c>
      <c r="F168">
        <f t="shared" si="2"/>
        <v>0</v>
      </c>
    </row>
    <row r="169" spans="1:6" x14ac:dyDescent="0.25">
      <c r="A169" s="2">
        <v>168</v>
      </c>
      <c r="B169">
        <v>2</v>
      </c>
      <c r="C169">
        <v>2</v>
      </c>
      <c r="D169">
        <v>2</v>
      </c>
      <c r="E169">
        <v>6</v>
      </c>
      <c r="F169">
        <f t="shared" si="2"/>
        <v>0</v>
      </c>
    </row>
    <row r="170" spans="1:6" x14ac:dyDescent="0.25">
      <c r="A170" s="2">
        <v>169</v>
      </c>
      <c r="B170">
        <v>2</v>
      </c>
      <c r="C170">
        <v>3</v>
      </c>
      <c r="D170">
        <v>0</v>
      </c>
      <c r="E170">
        <v>0</v>
      </c>
      <c r="F170">
        <f t="shared" si="2"/>
        <v>1</v>
      </c>
    </row>
    <row r="171" spans="1:6" x14ac:dyDescent="0.25">
      <c r="A171" s="2">
        <v>170</v>
      </c>
      <c r="B171">
        <v>2</v>
      </c>
      <c r="C171">
        <v>3</v>
      </c>
      <c r="D171">
        <v>0</v>
      </c>
      <c r="E171">
        <v>1</v>
      </c>
      <c r="F171">
        <f t="shared" si="2"/>
        <v>0</v>
      </c>
    </row>
    <row r="172" spans="1:6" x14ac:dyDescent="0.25">
      <c r="A172" s="2">
        <v>171</v>
      </c>
      <c r="B172">
        <v>2</v>
      </c>
      <c r="C172">
        <v>3</v>
      </c>
      <c r="D172">
        <v>0</v>
      </c>
      <c r="E172">
        <v>2</v>
      </c>
      <c r="F172">
        <f t="shared" si="2"/>
        <v>0</v>
      </c>
    </row>
    <row r="173" spans="1:6" x14ac:dyDescent="0.25">
      <c r="A173" s="2">
        <v>172</v>
      </c>
      <c r="B173">
        <v>2</v>
      </c>
      <c r="C173">
        <v>3</v>
      </c>
      <c r="D173">
        <v>0</v>
      </c>
      <c r="E173">
        <v>3</v>
      </c>
      <c r="F173">
        <f t="shared" si="2"/>
        <v>0</v>
      </c>
    </row>
    <row r="174" spans="1:6" x14ac:dyDescent="0.25">
      <c r="A174" s="2">
        <v>173</v>
      </c>
      <c r="B174">
        <v>2</v>
      </c>
      <c r="C174">
        <v>3</v>
      </c>
      <c r="D174">
        <v>0</v>
      </c>
      <c r="E174">
        <v>4</v>
      </c>
      <c r="F174">
        <f t="shared" si="2"/>
        <v>0</v>
      </c>
    </row>
    <row r="175" spans="1:6" x14ac:dyDescent="0.25">
      <c r="A175" s="2">
        <v>174</v>
      </c>
      <c r="B175">
        <v>2</v>
      </c>
      <c r="C175">
        <v>3</v>
      </c>
      <c r="D175">
        <v>0</v>
      </c>
      <c r="E175">
        <v>5</v>
      </c>
      <c r="F175">
        <f t="shared" si="2"/>
        <v>0</v>
      </c>
    </row>
    <row r="176" spans="1:6" x14ac:dyDescent="0.25">
      <c r="A176" s="2">
        <v>175</v>
      </c>
      <c r="B176">
        <v>2</v>
      </c>
      <c r="C176">
        <v>3</v>
      </c>
      <c r="D176">
        <v>0</v>
      </c>
      <c r="E176">
        <v>6</v>
      </c>
      <c r="F176">
        <f t="shared" si="2"/>
        <v>0</v>
      </c>
    </row>
    <row r="177" spans="1:6" x14ac:dyDescent="0.25">
      <c r="A177" s="2">
        <v>176</v>
      </c>
      <c r="B177">
        <v>2</v>
      </c>
      <c r="C177">
        <v>3</v>
      </c>
      <c r="D177">
        <v>1</v>
      </c>
      <c r="E177">
        <v>0</v>
      </c>
      <c r="F177">
        <f t="shared" si="2"/>
        <v>1</v>
      </c>
    </row>
    <row r="178" spans="1:6" x14ac:dyDescent="0.25">
      <c r="A178" s="2">
        <v>177</v>
      </c>
      <c r="B178">
        <v>2</v>
      </c>
      <c r="C178">
        <v>3</v>
      </c>
      <c r="D178">
        <v>1</v>
      </c>
      <c r="E178">
        <v>1</v>
      </c>
      <c r="F178">
        <f t="shared" si="2"/>
        <v>0</v>
      </c>
    </row>
    <row r="179" spans="1:6" x14ac:dyDescent="0.25">
      <c r="A179" s="2">
        <v>178</v>
      </c>
      <c r="B179">
        <v>2</v>
      </c>
      <c r="C179">
        <v>3</v>
      </c>
      <c r="D179">
        <v>1</v>
      </c>
      <c r="E179">
        <v>2</v>
      </c>
      <c r="F179">
        <f t="shared" si="2"/>
        <v>0</v>
      </c>
    </row>
    <row r="180" spans="1:6" x14ac:dyDescent="0.25">
      <c r="A180" s="2">
        <v>179</v>
      </c>
      <c r="B180">
        <v>2</v>
      </c>
      <c r="C180">
        <v>3</v>
      </c>
      <c r="D180">
        <v>1</v>
      </c>
      <c r="E180">
        <v>3</v>
      </c>
      <c r="F180">
        <f t="shared" si="2"/>
        <v>0</v>
      </c>
    </row>
    <row r="181" spans="1:6" x14ac:dyDescent="0.25">
      <c r="A181" s="2">
        <v>180</v>
      </c>
      <c r="B181">
        <v>2</v>
      </c>
      <c r="C181">
        <v>3</v>
      </c>
      <c r="D181">
        <v>1</v>
      </c>
      <c r="E181">
        <v>4</v>
      </c>
      <c r="F181">
        <f t="shared" si="2"/>
        <v>0</v>
      </c>
    </row>
    <row r="182" spans="1:6" x14ac:dyDescent="0.25">
      <c r="A182" s="2">
        <v>181</v>
      </c>
      <c r="B182">
        <v>2</v>
      </c>
      <c r="C182">
        <v>3</v>
      </c>
      <c r="D182">
        <v>1</v>
      </c>
      <c r="E182">
        <v>5</v>
      </c>
      <c r="F182">
        <f t="shared" si="2"/>
        <v>0</v>
      </c>
    </row>
    <row r="183" spans="1:6" x14ac:dyDescent="0.25">
      <c r="A183" s="2">
        <v>182</v>
      </c>
      <c r="B183">
        <v>2</v>
      </c>
      <c r="C183">
        <v>3</v>
      </c>
      <c r="D183">
        <v>1</v>
      </c>
      <c r="E183">
        <v>6</v>
      </c>
      <c r="F183">
        <f t="shared" si="2"/>
        <v>0</v>
      </c>
    </row>
    <row r="184" spans="1:6" x14ac:dyDescent="0.25">
      <c r="A184" s="2">
        <v>183</v>
      </c>
      <c r="B184">
        <v>2</v>
      </c>
      <c r="C184">
        <v>3</v>
      </c>
      <c r="D184">
        <v>2</v>
      </c>
      <c r="E184">
        <v>0</v>
      </c>
      <c r="F184">
        <f t="shared" si="2"/>
        <v>1</v>
      </c>
    </row>
    <row r="185" spans="1:6" x14ac:dyDescent="0.25">
      <c r="A185" s="2">
        <v>184</v>
      </c>
      <c r="B185">
        <v>2</v>
      </c>
      <c r="C185">
        <v>3</v>
      </c>
      <c r="D185">
        <v>2</v>
      </c>
      <c r="E185">
        <v>1</v>
      </c>
      <c r="F185">
        <f t="shared" si="2"/>
        <v>0</v>
      </c>
    </row>
    <row r="186" spans="1:6" x14ac:dyDescent="0.25">
      <c r="A186" s="2">
        <v>185</v>
      </c>
      <c r="B186">
        <v>2</v>
      </c>
      <c r="C186">
        <v>3</v>
      </c>
      <c r="D186">
        <v>2</v>
      </c>
      <c r="E186">
        <v>2</v>
      </c>
      <c r="F186">
        <f t="shared" si="2"/>
        <v>0</v>
      </c>
    </row>
    <row r="187" spans="1:6" x14ac:dyDescent="0.25">
      <c r="A187" s="2">
        <v>186</v>
      </c>
      <c r="B187">
        <v>2</v>
      </c>
      <c r="C187">
        <v>3</v>
      </c>
      <c r="D187">
        <v>2</v>
      </c>
      <c r="E187">
        <v>3</v>
      </c>
      <c r="F187">
        <f t="shared" si="2"/>
        <v>0</v>
      </c>
    </row>
    <row r="188" spans="1:6" x14ac:dyDescent="0.25">
      <c r="A188" s="2">
        <v>187</v>
      </c>
      <c r="B188">
        <v>2</v>
      </c>
      <c r="C188">
        <v>3</v>
      </c>
      <c r="D188">
        <v>2</v>
      </c>
      <c r="E188">
        <v>4</v>
      </c>
      <c r="F188">
        <f t="shared" si="2"/>
        <v>0</v>
      </c>
    </row>
    <row r="189" spans="1:6" x14ac:dyDescent="0.25">
      <c r="A189" s="2">
        <v>188</v>
      </c>
      <c r="B189">
        <v>2</v>
      </c>
      <c r="C189">
        <v>3</v>
      </c>
      <c r="D189">
        <v>2</v>
      </c>
      <c r="E189">
        <v>5</v>
      </c>
      <c r="F189">
        <f t="shared" si="2"/>
        <v>0</v>
      </c>
    </row>
    <row r="190" spans="1:6" x14ac:dyDescent="0.25">
      <c r="A190" s="2">
        <v>189</v>
      </c>
      <c r="B190">
        <v>2</v>
      </c>
      <c r="C190">
        <v>3</v>
      </c>
      <c r="D190">
        <v>2</v>
      </c>
      <c r="E190">
        <v>6</v>
      </c>
      <c r="F190">
        <f t="shared" si="2"/>
        <v>0</v>
      </c>
    </row>
    <row r="191" spans="1:6" x14ac:dyDescent="0.25">
      <c r="A191" s="2">
        <v>190</v>
      </c>
      <c r="B191">
        <v>2</v>
      </c>
      <c r="C191">
        <v>4</v>
      </c>
      <c r="D191">
        <v>0</v>
      </c>
      <c r="E191">
        <v>0</v>
      </c>
      <c r="F191">
        <f t="shared" si="2"/>
        <v>1</v>
      </c>
    </row>
    <row r="192" spans="1:6" x14ac:dyDescent="0.25">
      <c r="A192" s="2">
        <v>191</v>
      </c>
      <c r="B192">
        <v>2</v>
      </c>
      <c r="C192">
        <v>4</v>
      </c>
      <c r="D192">
        <v>0</v>
      </c>
      <c r="E192">
        <v>1</v>
      </c>
      <c r="F192">
        <f t="shared" si="2"/>
        <v>0</v>
      </c>
    </row>
    <row r="193" spans="1:6" x14ac:dyDescent="0.25">
      <c r="A193" s="2">
        <v>192</v>
      </c>
      <c r="B193">
        <v>2</v>
      </c>
      <c r="C193">
        <v>4</v>
      </c>
      <c r="D193">
        <v>0</v>
      </c>
      <c r="E193">
        <v>2</v>
      </c>
      <c r="F193">
        <f t="shared" si="2"/>
        <v>0</v>
      </c>
    </row>
    <row r="194" spans="1:6" x14ac:dyDescent="0.25">
      <c r="A194" s="2">
        <v>193</v>
      </c>
      <c r="B194">
        <v>2</v>
      </c>
      <c r="C194">
        <v>4</v>
      </c>
      <c r="D194">
        <v>0</v>
      </c>
      <c r="E194">
        <v>3</v>
      </c>
      <c r="F194">
        <f t="shared" si="2"/>
        <v>0</v>
      </c>
    </row>
    <row r="195" spans="1:6" x14ac:dyDescent="0.25">
      <c r="A195" s="2">
        <v>194</v>
      </c>
      <c r="B195">
        <v>2</v>
      </c>
      <c r="C195">
        <v>4</v>
      </c>
      <c r="D195">
        <v>0</v>
      </c>
      <c r="E195">
        <v>4</v>
      </c>
      <c r="F195">
        <f t="shared" ref="F195:F258" si="3">IF(E195=0,1,0)</f>
        <v>0</v>
      </c>
    </row>
    <row r="196" spans="1:6" x14ac:dyDescent="0.25">
      <c r="A196" s="2">
        <v>195</v>
      </c>
      <c r="B196">
        <v>2</v>
      </c>
      <c r="C196">
        <v>4</v>
      </c>
      <c r="D196">
        <v>0</v>
      </c>
      <c r="E196">
        <v>5</v>
      </c>
      <c r="F196">
        <f t="shared" si="3"/>
        <v>0</v>
      </c>
    </row>
    <row r="197" spans="1:6" x14ac:dyDescent="0.25">
      <c r="A197" s="2">
        <v>196</v>
      </c>
      <c r="B197">
        <v>2</v>
      </c>
      <c r="C197">
        <v>4</v>
      </c>
      <c r="D197">
        <v>0</v>
      </c>
      <c r="E197">
        <v>6</v>
      </c>
      <c r="F197">
        <f t="shared" si="3"/>
        <v>0</v>
      </c>
    </row>
    <row r="198" spans="1:6" x14ac:dyDescent="0.25">
      <c r="A198" s="2">
        <v>197</v>
      </c>
      <c r="B198">
        <v>2</v>
      </c>
      <c r="C198">
        <v>4</v>
      </c>
      <c r="D198">
        <v>1</v>
      </c>
      <c r="E198">
        <v>0</v>
      </c>
      <c r="F198">
        <f t="shared" si="3"/>
        <v>1</v>
      </c>
    </row>
    <row r="199" spans="1:6" x14ac:dyDescent="0.25">
      <c r="A199" s="2">
        <v>198</v>
      </c>
      <c r="B199">
        <v>2</v>
      </c>
      <c r="C199">
        <v>4</v>
      </c>
      <c r="D199">
        <v>1</v>
      </c>
      <c r="E199">
        <v>1</v>
      </c>
      <c r="F199">
        <f t="shared" si="3"/>
        <v>0</v>
      </c>
    </row>
    <row r="200" spans="1:6" x14ac:dyDescent="0.25">
      <c r="A200" s="2">
        <v>199</v>
      </c>
      <c r="B200">
        <v>2</v>
      </c>
      <c r="C200">
        <v>4</v>
      </c>
      <c r="D200">
        <v>1</v>
      </c>
      <c r="E200">
        <v>2</v>
      </c>
      <c r="F200">
        <f t="shared" si="3"/>
        <v>0</v>
      </c>
    </row>
    <row r="201" spans="1:6" x14ac:dyDescent="0.25">
      <c r="A201" s="2">
        <v>200</v>
      </c>
      <c r="B201">
        <v>2</v>
      </c>
      <c r="C201">
        <v>4</v>
      </c>
      <c r="D201">
        <v>1</v>
      </c>
      <c r="E201">
        <v>3</v>
      </c>
      <c r="F201">
        <f t="shared" si="3"/>
        <v>0</v>
      </c>
    </row>
    <row r="202" spans="1:6" x14ac:dyDescent="0.25">
      <c r="A202" s="2">
        <v>201</v>
      </c>
      <c r="B202">
        <v>2</v>
      </c>
      <c r="C202">
        <v>4</v>
      </c>
      <c r="D202">
        <v>1</v>
      </c>
      <c r="E202">
        <v>4</v>
      </c>
      <c r="F202">
        <f t="shared" si="3"/>
        <v>0</v>
      </c>
    </row>
    <row r="203" spans="1:6" x14ac:dyDescent="0.25">
      <c r="A203" s="2">
        <v>202</v>
      </c>
      <c r="B203">
        <v>2</v>
      </c>
      <c r="C203">
        <v>4</v>
      </c>
      <c r="D203">
        <v>1</v>
      </c>
      <c r="E203">
        <v>5</v>
      </c>
      <c r="F203">
        <f t="shared" si="3"/>
        <v>0</v>
      </c>
    </row>
    <row r="204" spans="1:6" x14ac:dyDescent="0.25">
      <c r="A204" s="2">
        <v>203</v>
      </c>
      <c r="B204">
        <v>2</v>
      </c>
      <c r="C204">
        <v>4</v>
      </c>
      <c r="D204">
        <v>1</v>
      </c>
      <c r="E204">
        <v>6</v>
      </c>
      <c r="F204">
        <f t="shared" si="3"/>
        <v>0</v>
      </c>
    </row>
    <row r="205" spans="1:6" x14ac:dyDescent="0.25">
      <c r="A205" s="2">
        <v>204</v>
      </c>
      <c r="B205">
        <v>2</v>
      </c>
      <c r="C205">
        <v>4</v>
      </c>
      <c r="D205">
        <v>2</v>
      </c>
      <c r="E205">
        <v>0</v>
      </c>
      <c r="F205">
        <f t="shared" si="3"/>
        <v>1</v>
      </c>
    </row>
    <row r="206" spans="1:6" x14ac:dyDescent="0.25">
      <c r="A206" s="2">
        <v>205</v>
      </c>
      <c r="B206">
        <v>2</v>
      </c>
      <c r="C206">
        <v>4</v>
      </c>
      <c r="D206">
        <v>2</v>
      </c>
      <c r="E206">
        <v>1</v>
      </c>
      <c r="F206">
        <f t="shared" si="3"/>
        <v>0</v>
      </c>
    </row>
    <row r="207" spans="1:6" x14ac:dyDescent="0.25">
      <c r="A207" s="2">
        <v>206</v>
      </c>
      <c r="B207">
        <v>2</v>
      </c>
      <c r="C207">
        <v>4</v>
      </c>
      <c r="D207">
        <v>2</v>
      </c>
      <c r="E207">
        <v>2</v>
      </c>
      <c r="F207">
        <f t="shared" si="3"/>
        <v>0</v>
      </c>
    </row>
    <row r="208" spans="1:6" x14ac:dyDescent="0.25">
      <c r="A208" s="2">
        <v>207</v>
      </c>
      <c r="B208">
        <v>2</v>
      </c>
      <c r="C208">
        <v>4</v>
      </c>
      <c r="D208">
        <v>2</v>
      </c>
      <c r="E208">
        <v>3</v>
      </c>
      <c r="F208">
        <f t="shared" si="3"/>
        <v>0</v>
      </c>
    </row>
    <row r="209" spans="1:6" x14ac:dyDescent="0.25">
      <c r="A209" s="2">
        <v>208</v>
      </c>
      <c r="B209">
        <v>2</v>
      </c>
      <c r="C209">
        <v>4</v>
      </c>
      <c r="D209">
        <v>2</v>
      </c>
      <c r="E209">
        <v>4</v>
      </c>
      <c r="F209">
        <f t="shared" si="3"/>
        <v>0</v>
      </c>
    </row>
    <row r="210" spans="1:6" x14ac:dyDescent="0.25">
      <c r="A210" s="2">
        <v>209</v>
      </c>
      <c r="B210">
        <v>2</v>
      </c>
      <c r="C210">
        <v>4</v>
      </c>
      <c r="D210">
        <v>2</v>
      </c>
      <c r="E210">
        <v>5</v>
      </c>
      <c r="F210">
        <f t="shared" si="3"/>
        <v>0</v>
      </c>
    </row>
    <row r="211" spans="1:6" x14ac:dyDescent="0.25">
      <c r="A211" s="2">
        <v>210</v>
      </c>
      <c r="B211">
        <v>2</v>
      </c>
      <c r="C211">
        <v>4</v>
      </c>
      <c r="D211">
        <v>2</v>
      </c>
      <c r="E211">
        <v>6</v>
      </c>
      <c r="F211">
        <f t="shared" si="3"/>
        <v>0</v>
      </c>
    </row>
    <row r="212" spans="1:6" x14ac:dyDescent="0.25">
      <c r="A212" s="2">
        <v>211</v>
      </c>
      <c r="B212">
        <v>3</v>
      </c>
      <c r="C212">
        <v>0</v>
      </c>
      <c r="D212">
        <v>0</v>
      </c>
      <c r="E212">
        <v>0</v>
      </c>
      <c r="F212">
        <f t="shared" si="3"/>
        <v>1</v>
      </c>
    </row>
    <row r="213" spans="1:6" x14ac:dyDescent="0.25">
      <c r="A213" s="2">
        <v>212</v>
      </c>
      <c r="B213">
        <v>3</v>
      </c>
      <c r="C213">
        <v>0</v>
      </c>
      <c r="D213">
        <v>0</v>
      </c>
      <c r="E213">
        <v>1</v>
      </c>
      <c r="F213">
        <f t="shared" si="3"/>
        <v>0</v>
      </c>
    </row>
    <row r="214" spans="1:6" x14ac:dyDescent="0.25">
      <c r="A214" s="2">
        <v>213</v>
      </c>
      <c r="B214">
        <v>3</v>
      </c>
      <c r="C214">
        <v>0</v>
      </c>
      <c r="D214">
        <v>0</v>
      </c>
      <c r="E214">
        <v>2</v>
      </c>
      <c r="F214">
        <f t="shared" si="3"/>
        <v>0</v>
      </c>
    </row>
    <row r="215" spans="1:6" x14ac:dyDescent="0.25">
      <c r="A215" s="2">
        <v>214</v>
      </c>
      <c r="B215">
        <v>3</v>
      </c>
      <c r="C215">
        <v>0</v>
      </c>
      <c r="D215">
        <v>0</v>
      </c>
      <c r="E215">
        <v>3</v>
      </c>
      <c r="F215">
        <f t="shared" si="3"/>
        <v>0</v>
      </c>
    </row>
    <row r="216" spans="1:6" x14ac:dyDescent="0.25">
      <c r="A216" s="2">
        <v>215</v>
      </c>
      <c r="B216">
        <v>3</v>
      </c>
      <c r="C216">
        <v>0</v>
      </c>
      <c r="D216">
        <v>0</v>
      </c>
      <c r="E216">
        <v>4</v>
      </c>
      <c r="F216">
        <f t="shared" si="3"/>
        <v>0</v>
      </c>
    </row>
    <row r="217" spans="1:6" x14ac:dyDescent="0.25">
      <c r="A217" s="2">
        <v>216</v>
      </c>
      <c r="B217">
        <v>3</v>
      </c>
      <c r="C217">
        <v>0</v>
      </c>
      <c r="D217">
        <v>0</v>
      </c>
      <c r="E217">
        <v>5</v>
      </c>
      <c r="F217">
        <f t="shared" si="3"/>
        <v>0</v>
      </c>
    </row>
    <row r="218" spans="1:6" x14ac:dyDescent="0.25">
      <c r="A218" s="2">
        <v>217</v>
      </c>
      <c r="B218">
        <v>3</v>
      </c>
      <c r="C218">
        <v>0</v>
      </c>
      <c r="D218">
        <v>0</v>
      </c>
      <c r="E218">
        <v>6</v>
      </c>
      <c r="F218">
        <f t="shared" si="3"/>
        <v>0</v>
      </c>
    </row>
    <row r="219" spans="1:6" x14ac:dyDescent="0.25">
      <c r="A219" s="2">
        <v>218</v>
      </c>
      <c r="B219">
        <v>3</v>
      </c>
      <c r="C219">
        <v>0</v>
      </c>
      <c r="D219">
        <v>1</v>
      </c>
      <c r="E219">
        <v>0</v>
      </c>
      <c r="F219">
        <f t="shared" si="3"/>
        <v>1</v>
      </c>
    </row>
    <row r="220" spans="1:6" x14ac:dyDescent="0.25">
      <c r="A220" s="2">
        <v>219</v>
      </c>
      <c r="B220">
        <v>3</v>
      </c>
      <c r="C220">
        <v>0</v>
      </c>
      <c r="D220">
        <v>1</v>
      </c>
      <c r="E220">
        <v>1</v>
      </c>
      <c r="F220">
        <f t="shared" si="3"/>
        <v>0</v>
      </c>
    </row>
    <row r="221" spans="1:6" x14ac:dyDescent="0.25">
      <c r="A221" s="2">
        <v>220</v>
      </c>
      <c r="B221">
        <v>3</v>
      </c>
      <c r="C221">
        <v>0</v>
      </c>
      <c r="D221">
        <v>1</v>
      </c>
      <c r="E221">
        <v>2</v>
      </c>
      <c r="F221">
        <f t="shared" si="3"/>
        <v>0</v>
      </c>
    </row>
    <row r="222" spans="1:6" x14ac:dyDescent="0.25">
      <c r="A222" s="2">
        <v>221</v>
      </c>
      <c r="B222">
        <v>3</v>
      </c>
      <c r="C222">
        <v>0</v>
      </c>
      <c r="D222">
        <v>1</v>
      </c>
      <c r="E222">
        <v>3</v>
      </c>
      <c r="F222">
        <f t="shared" si="3"/>
        <v>0</v>
      </c>
    </row>
    <row r="223" spans="1:6" x14ac:dyDescent="0.25">
      <c r="A223" s="2">
        <v>222</v>
      </c>
      <c r="B223">
        <v>3</v>
      </c>
      <c r="C223">
        <v>0</v>
      </c>
      <c r="D223">
        <v>1</v>
      </c>
      <c r="E223">
        <v>4</v>
      </c>
      <c r="F223">
        <f t="shared" si="3"/>
        <v>0</v>
      </c>
    </row>
    <row r="224" spans="1:6" x14ac:dyDescent="0.25">
      <c r="A224" s="2">
        <v>223</v>
      </c>
      <c r="B224">
        <v>3</v>
      </c>
      <c r="C224">
        <v>0</v>
      </c>
      <c r="D224">
        <v>1</v>
      </c>
      <c r="E224">
        <v>5</v>
      </c>
      <c r="F224">
        <f t="shared" si="3"/>
        <v>0</v>
      </c>
    </row>
    <row r="225" spans="1:6" x14ac:dyDescent="0.25">
      <c r="A225" s="2">
        <v>224</v>
      </c>
      <c r="B225">
        <v>3</v>
      </c>
      <c r="C225">
        <v>0</v>
      </c>
      <c r="D225">
        <v>1</v>
      </c>
      <c r="E225">
        <v>6</v>
      </c>
      <c r="F225">
        <f t="shared" si="3"/>
        <v>0</v>
      </c>
    </row>
    <row r="226" spans="1:6" x14ac:dyDescent="0.25">
      <c r="A226" s="2">
        <v>225</v>
      </c>
      <c r="B226">
        <v>3</v>
      </c>
      <c r="C226">
        <v>0</v>
      </c>
      <c r="D226">
        <v>2</v>
      </c>
      <c r="E226">
        <v>0</v>
      </c>
      <c r="F226">
        <f t="shared" si="3"/>
        <v>1</v>
      </c>
    </row>
    <row r="227" spans="1:6" x14ac:dyDescent="0.25">
      <c r="A227" s="2">
        <v>226</v>
      </c>
      <c r="B227">
        <v>3</v>
      </c>
      <c r="C227">
        <v>0</v>
      </c>
      <c r="D227">
        <v>2</v>
      </c>
      <c r="E227">
        <v>1</v>
      </c>
      <c r="F227">
        <f t="shared" si="3"/>
        <v>0</v>
      </c>
    </row>
    <row r="228" spans="1:6" x14ac:dyDescent="0.25">
      <c r="A228" s="2">
        <v>227</v>
      </c>
      <c r="B228">
        <v>3</v>
      </c>
      <c r="C228">
        <v>0</v>
      </c>
      <c r="D228">
        <v>2</v>
      </c>
      <c r="E228">
        <v>2</v>
      </c>
      <c r="F228">
        <f t="shared" si="3"/>
        <v>0</v>
      </c>
    </row>
    <row r="229" spans="1:6" x14ac:dyDescent="0.25">
      <c r="A229" s="2">
        <v>228</v>
      </c>
      <c r="B229">
        <v>3</v>
      </c>
      <c r="C229">
        <v>0</v>
      </c>
      <c r="D229">
        <v>2</v>
      </c>
      <c r="E229">
        <v>3</v>
      </c>
      <c r="F229">
        <f t="shared" si="3"/>
        <v>0</v>
      </c>
    </row>
    <row r="230" spans="1:6" x14ac:dyDescent="0.25">
      <c r="A230" s="2">
        <v>229</v>
      </c>
      <c r="B230">
        <v>3</v>
      </c>
      <c r="C230">
        <v>0</v>
      </c>
      <c r="D230">
        <v>2</v>
      </c>
      <c r="E230">
        <v>4</v>
      </c>
      <c r="F230">
        <f t="shared" si="3"/>
        <v>0</v>
      </c>
    </row>
    <row r="231" spans="1:6" x14ac:dyDescent="0.25">
      <c r="A231" s="2">
        <v>230</v>
      </c>
      <c r="B231">
        <v>3</v>
      </c>
      <c r="C231">
        <v>0</v>
      </c>
      <c r="D231">
        <v>2</v>
      </c>
      <c r="E231">
        <v>5</v>
      </c>
      <c r="F231">
        <f t="shared" si="3"/>
        <v>0</v>
      </c>
    </row>
    <row r="232" spans="1:6" x14ac:dyDescent="0.25">
      <c r="A232" s="2">
        <v>231</v>
      </c>
      <c r="B232">
        <v>3</v>
      </c>
      <c r="C232">
        <v>0</v>
      </c>
      <c r="D232">
        <v>2</v>
      </c>
      <c r="E232">
        <v>6</v>
      </c>
      <c r="F232">
        <f t="shared" si="3"/>
        <v>0</v>
      </c>
    </row>
    <row r="233" spans="1:6" x14ac:dyDescent="0.25">
      <c r="A233" s="2">
        <v>232</v>
      </c>
      <c r="B233">
        <v>3</v>
      </c>
      <c r="C233">
        <v>1</v>
      </c>
      <c r="D233">
        <v>0</v>
      </c>
      <c r="E233">
        <v>0</v>
      </c>
      <c r="F233">
        <f t="shared" si="3"/>
        <v>1</v>
      </c>
    </row>
    <row r="234" spans="1:6" x14ac:dyDescent="0.25">
      <c r="A234" s="2">
        <v>233</v>
      </c>
      <c r="B234">
        <v>3</v>
      </c>
      <c r="C234">
        <v>1</v>
      </c>
      <c r="D234">
        <v>0</v>
      </c>
      <c r="E234">
        <v>1</v>
      </c>
      <c r="F234">
        <f t="shared" si="3"/>
        <v>0</v>
      </c>
    </row>
    <row r="235" spans="1:6" x14ac:dyDescent="0.25">
      <c r="A235" s="2">
        <v>234</v>
      </c>
      <c r="B235">
        <v>3</v>
      </c>
      <c r="C235">
        <v>1</v>
      </c>
      <c r="D235">
        <v>0</v>
      </c>
      <c r="E235">
        <v>2</v>
      </c>
      <c r="F235">
        <f t="shared" si="3"/>
        <v>0</v>
      </c>
    </row>
    <row r="236" spans="1:6" x14ac:dyDescent="0.25">
      <c r="A236" s="2">
        <v>235</v>
      </c>
      <c r="B236">
        <v>3</v>
      </c>
      <c r="C236">
        <v>1</v>
      </c>
      <c r="D236">
        <v>0</v>
      </c>
      <c r="E236">
        <v>3</v>
      </c>
      <c r="F236">
        <f t="shared" si="3"/>
        <v>0</v>
      </c>
    </row>
    <row r="237" spans="1:6" x14ac:dyDescent="0.25">
      <c r="A237" s="2">
        <v>236</v>
      </c>
      <c r="B237">
        <v>3</v>
      </c>
      <c r="C237">
        <v>1</v>
      </c>
      <c r="D237">
        <v>0</v>
      </c>
      <c r="E237">
        <v>4</v>
      </c>
      <c r="F237">
        <f t="shared" si="3"/>
        <v>0</v>
      </c>
    </row>
    <row r="238" spans="1:6" x14ac:dyDescent="0.25">
      <c r="A238" s="2">
        <v>237</v>
      </c>
      <c r="B238">
        <v>3</v>
      </c>
      <c r="C238">
        <v>1</v>
      </c>
      <c r="D238">
        <v>0</v>
      </c>
      <c r="E238">
        <v>5</v>
      </c>
      <c r="F238">
        <f t="shared" si="3"/>
        <v>0</v>
      </c>
    </row>
    <row r="239" spans="1:6" x14ac:dyDescent="0.25">
      <c r="A239" s="2">
        <v>238</v>
      </c>
      <c r="B239">
        <v>3</v>
      </c>
      <c r="C239">
        <v>1</v>
      </c>
      <c r="D239">
        <v>0</v>
      </c>
      <c r="E239">
        <v>6</v>
      </c>
      <c r="F239">
        <f t="shared" si="3"/>
        <v>0</v>
      </c>
    </row>
    <row r="240" spans="1:6" x14ac:dyDescent="0.25">
      <c r="A240" s="2">
        <v>239</v>
      </c>
      <c r="B240">
        <v>3</v>
      </c>
      <c r="C240">
        <v>1</v>
      </c>
      <c r="D240">
        <v>1</v>
      </c>
      <c r="E240">
        <v>0</v>
      </c>
      <c r="F240">
        <f t="shared" si="3"/>
        <v>1</v>
      </c>
    </row>
    <row r="241" spans="1:6" x14ac:dyDescent="0.25">
      <c r="A241" s="2">
        <v>240</v>
      </c>
      <c r="B241">
        <v>3</v>
      </c>
      <c r="C241">
        <v>1</v>
      </c>
      <c r="D241">
        <v>1</v>
      </c>
      <c r="E241">
        <v>1</v>
      </c>
      <c r="F241">
        <f t="shared" si="3"/>
        <v>0</v>
      </c>
    </row>
    <row r="242" spans="1:6" x14ac:dyDescent="0.25">
      <c r="A242" s="2">
        <v>241</v>
      </c>
      <c r="B242">
        <v>3</v>
      </c>
      <c r="C242">
        <v>1</v>
      </c>
      <c r="D242">
        <v>1</v>
      </c>
      <c r="E242">
        <v>2</v>
      </c>
      <c r="F242">
        <f t="shared" si="3"/>
        <v>0</v>
      </c>
    </row>
    <row r="243" spans="1:6" x14ac:dyDescent="0.25">
      <c r="A243" s="2">
        <v>242</v>
      </c>
      <c r="B243">
        <v>3</v>
      </c>
      <c r="C243">
        <v>1</v>
      </c>
      <c r="D243">
        <v>1</v>
      </c>
      <c r="E243">
        <v>3</v>
      </c>
      <c r="F243">
        <f t="shared" si="3"/>
        <v>0</v>
      </c>
    </row>
    <row r="244" spans="1:6" x14ac:dyDescent="0.25">
      <c r="A244" s="2">
        <v>243</v>
      </c>
      <c r="B244">
        <v>3</v>
      </c>
      <c r="C244">
        <v>1</v>
      </c>
      <c r="D244">
        <v>1</v>
      </c>
      <c r="E244">
        <v>4</v>
      </c>
      <c r="F244">
        <f t="shared" si="3"/>
        <v>0</v>
      </c>
    </row>
    <row r="245" spans="1:6" x14ac:dyDescent="0.25">
      <c r="A245" s="2">
        <v>244</v>
      </c>
      <c r="B245">
        <v>3</v>
      </c>
      <c r="C245">
        <v>1</v>
      </c>
      <c r="D245">
        <v>1</v>
      </c>
      <c r="E245">
        <v>5</v>
      </c>
      <c r="F245">
        <f t="shared" si="3"/>
        <v>0</v>
      </c>
    </row>
    <row r="246" spans="1:6" x14ac:dyDescent="0.25">
      <c r="A246" s="2">
        <v>245</v>
      </c>
      <c r="B246">
        <v>3</v>
      </c>
      <c r="C246">
        <v>1</v>
      </c>
      <c r="D246">
        <v>1</v>
      </c>
      <c r="E246">
        <v>6</v>
      </c>
      <c r="F246">
        <f t="shared" si="3"/>
        <v>0</v>
      </c>
    </row>
    <row r="247" spans="1:6" x14ac:dyDescent="0.25">
      <c r="A247" s="2">
        <v>246</v>
      </c>
      <c r="B247">
        <v>3</v>
      </c>
      <c r="C247">
        <v>1</v>
      </c>
      <c r="D247">
        <v>2</v>
      </c>
      <c r="E247">
        <v>0</v>
      </c>
      <c r="F247">
        <f t="shared" si="3"/>
        <v>1</v>
      </c>
    </row>
    <row r="248" spans="1:6" x14ac:dyDescent="0.25">
      <c r="A248" s="2">
        <v>247</v>
      </c>
      <c r="B248">
        <v>3</v>
      </c>
      <c r="C248">
        <v>1</v>
      </c>
      <c r="D248">
        <v>2</v>
      </c>
      <c r="E248">
        <v>1</v>
      </c>
      <c r="F248">
        <f t="shared" si="3"/>
        <v>0</v>
      </c>
    </row>
    <row r="249" spans="1:6" x14ac:dyDescent="0.25">
      <c r="A249" s="2">
        <v>248</v>
      </c>
      <c r="B249">
        <v>3</v>
      </c>
      <c r="C249">
        <v>1</v>
      </c>
      <c r="D249">
        <v>2</v>
      </c>
      <c r="E249">
        <v>2</v>
      </c>
      <c r="F249">
        <f t="shared" si="3"/>
        <v>0</v>
      </c>
    </row>
    <row r="250" spans="1:6" x14ac:dyDescent="0.25">
      <c r="A250" s="2">
        <v>249</v>
      </c>
      <c r="B250">
        <v>3</v>
      </c>
      <c r="C250">
        <v>1</v>
      </c>
      <c r="D250">
        <v>2</v>
      </c>
      <c r="E250">
        <v>3</v>
      </c>
      <c r="F250">
        <f t="shared" si="3"/>
        <v>0</v>
      </c>
    </row>
    <row r="251" spans="1:6" x14ac:dyDescent="0.25">
      <c r="A251" s="2">
        <v>250</v>
      </c>
      <c r="B251">
        <v>3</v>
      </c>
      <c r="C251">
        <v>1</v>
      </c>
      <c r="D251">
        <v>2</v>
      </c>
      <c r="E251">
        <v>4</v>
      </c>
      <c r="F251">
        <f t="shared" si="3"/>
        <v>0</v>
      </c>
    </row>
    <row r="252" spans="1:6" x14ac:dyDescent="0.25">
      <c r="A252" s="2">
        <v>251</v>
      </c>
      <c r="B252">
        <v>3</v>
      </c>
      <c r="C252">
        <v>1</v>
      </c>
      <c r="D252">
        <v>2</v>
      </c>
      <c r="E252">
        <v>5</v>
      </c>
      <c r="F252">
        <f t="shared" si="3"/>
        <v>0</v>
      </c>
    </row>
    <row r="253" spans="1:6" x14ac:dyDescent="0.25">
      <c r="A253" s="2">
        <v>252</v>
      </c>
      <c r="B253">
        <v>3</v>
      </c>
      <c r="C253">
        <v>1</v>
      </c>
      <c r="D253">
        <v>2</v>
      </c>
      <c r="E253">
        <v>6</v>
      </c>
      <c r="F253">
        <f t="shared" si="3"/>
        <v>0</v>
      </c>
    </row>
    <row r="254" spans="1:6" x14ac:dyDescent="0.25">
      <c r="A254" s="2">
        <v>253</v>
      </c>
      <c r="B254">
        <v>3</v>
      </c>
      <c r="C254">
        <v>2</v>
      </c>
      <c r="D254">
        <v>0</v>
      </c>
      <c r="E254">
        <v>0</v>
      </c>
      <c r="F254">
        <f t="shared" si="3"/>
        <v>1</v>
      </c>
    </row>
    <row r="255" spans="1:6" x14ac:dyDescent="0.25">
      <c r="A255" s="2">
        <v>254</v>
      </c>
      <c r="B255">
        <v>3</v>
      </c>
      <c r="C255">
        <v>2</v>
      </c>
      <c r="D255">
        <v>0</v>
      </c>
      <c r="E255">
        <v>1</v>
      </c>
      <c r="F255">
        <f t="shared" si="3"/>
        <v>0</v>
      </c>
    </row>
    <row r="256" spans="1:6" x14ac:dyDescent="0.25">
      <c r="A256" s="2">
        <v>255</v>
      </c>
      <c r="B256">
        <v>3</v>
      </c>
      <c r="C256">
        <v>2</v>
      </c>
      <c r="D256">
        <v>0</v>
      </c>
      <c r="E256">
        <v>2</v>
      </c>
      <c r="F256">
        <f t="shared" si="3"/>
        <v>0</v>
      </c>
    </row>
    <row r="257" spans="1:6" x14ac:dyDescent="0.25">
      <c r="A257" s="2">
        <v>256</v>
      </c>
      <c r="B257">
        <v>3</v>
      </c>
      <c r="C257">
        <v>2</v>
      </c>
      <c r="D257">
        <v>0</v>
      </c>
      <c r="E257">
        <v>3</v>
      </c>
      <c r="F257">
        <f t="shared" si="3"/>
        <v>0</v>
      </c>
    </row>
    <row r="258" spans="1:6" x14ac:dyDescent="0.25">
      <c r="A258" s="2">
        <v>257</v>
      </c>
      <c r="B258">
        <v>3</v>
      </c>
      <c r="C258">
        <v>2</v>
      </c>
      <c r="D258">
        <v>0</v>
      </c>
      <c r="E258">
        <v>4</v>
      </c>
      <c r="F258">
        <f t="shared" si="3"/>
        <v>0</v>
      </c>
    </row>
    <row r="259" spans="1:6" x14ac:dyDescent="0.25">
      <c r="A259" s="2">
        <v>258</v>
      </c>
      <c r="B259">
        <v>3</v>
      </c>
      <c r="C259">
        <v>2</v>
      </c>
      <c r="D259">
        <v>0</v>
      </c>
      <c r="E259">
        <v>5</v>
      </c>
      <c r="F259">
        <f t="shared" ref="F259:F322" si="4">IF(E259=0,1,0)</f>
        <v>0</v>
      </c>
    </row>
    <row r="260" spans="1:6" x14ac:dyDescent="0.25">
      <c r="A260" s="2">
        <v>259</v>
      </c>
      <c r="B260">
        <v>3</v>
      </c>
      <c r="C260">
        <v>2</v>
      </c>
      <c r="D260">
        <v>0</v>
      </c>
      <c r="E260">
        <v>6</v>
      </c>
      <c r="F260">
        <f t="shared" si="4"/>
        <v>0</v>
      </c>
    </row>
    <row r="261" spans="1:6" x14ac:dyDescent="0.25">
      <c r="A261" s="2">
        <v>260</v>
      </c>
      <c r="B261">
        <v>3</v>
      </c>
      <c r="C261">
        <v>2</v>
      </c>
      <c r="D261">
        <v>1</v>
      </c>
      <c r="E261">
        <v>0</v>
      </c>
      <c r="F261">
        <f t="shared" si="4"/>
        <v>1</v>
      </c>
    </row>
    <row r="262" spans="1:6" x14ac:dyDescent="0.25">
      <c r="A262" s="2">
        <v>261</v>
      </c>
      <c r="B262">
        <v>3</v>
      </c>
      <c r="C262">
        <v>2</v>
      </c>
      <c r="D262">
        <v>1</v>
      </c>
      <c r="E262">
        <v>1</v>
      </c>
      <c r="F262">
        <f t="shared" si="4"/>
        <v>0</v>
      </c>
    </row>
    <row r="263" spans="1:6" x14ac:dyDescent="0.25">
      <c r="A263" s="2">
        <v>262</v>
      </c>
      <c r="B263">
        <v>3</v>
      </c>
      <c r="C263">
        <v>2</v>
      </c>
      <c r="D263">
        <v>1</v>
      </c>
      <c r="E263">
        <v>2</v>
      </c>
      <c r="F263">
        <f t="shared" si="4"/>
        <v>0</v>
      </c>
    </row>
    <row r="264" spans="1:6" x14ac:dyDescent="0.25">
      <c r="A264" s="2">
        <v>263</v>
      </c>
      <c r="B264">
        <v>3</v>
      </c>
      <c r="C264">
        <v>2</v>
      </c>
      <c r="D264">
        <v>1</v>
      </c>
      <c r="E264">
        <v>3</v>
      </c>
      <c r="F264">
        <f t="shared" si="4"/>
        <v>0</v>
      </c>
    </row>
    <row r="265" spans="1:6" x14ac:dyDescent="0.25">
      <c r="A265" s="2">
        <v>264</v>
      </c>
      <c r="B265">
        <v>3</v>
      </c>
      <c r="C265">
        <v>2</v>
      </c>
      <c r="D265">
        <v>1</v>
      </c>
      <c r="E265">
        <v>4</v>
      </c>
      <c r="F265">
        <f t="shared" si="4"/>
        <v>0</v>
      </c>
    </row>
    <row r="266" spans="1:6" x14ac:dyDescent="0.25">
      <c r="A266" s="2">
        <v>265</v>
      </c>
      <c r="B266">
        <v>3</v>
      </c>
      <c r="C266">
        <v>2</v>
      </c>
      <c r="D266">
        <v>1</v>
      </c>
      <c r="E266">
        <v>5</v>
      </c>
      <c r="F266">
        <f t="shared" si="4"/>
        <v>0</v>
      </c>
    </row>
    <row r="267" spans="1:6" x14ac:dyDescent="0.25">
      <c r="A267" s="2">
        <v>266</v>
      </c>
      <c r="B267">
        <v>3</v>
      </c>
      <c r="C267">
        <v>2</v>
      </c>
      <c r="D267">
        <v>1</v>
      </c>
      <c r="E267">
        <v>6</v>
      </c>
      <c r="F267">
        <f t="shared" si="4"/>
        <v>0</v>
      </c>
    </row>
    <row r="268" spans="1:6" x14ac:dyDescent="0.25">
      <c r="A268" s="2">
        <v>267</v>
      </c>
      <c r="B268">
        <v>3</v>
      </c>
      <c r="C268">
        <v>2</v>
      </c>
      <c r="D268">
        <v>2</v>
      </c>
      <c r="E268">
        <v>0</v>
      </c>
      <c r="F268">
        <f t="shared" si="4"/>
        <v>1</v>
      </c>
    </row>
    <row r="269" spans="1:6" x14ac:dyDescent="0.25">
      <c r="A269" s="2">
        <v>268</v>
      </c>
      <c r="B269">
        <v>3</v>
      </c>
      <c r="C269">
        <v>2</v>
      </c>
      <c r="D269">
        <v>2</v>
      </c>
      <c r="E269">
        <v>1</v>
      </c>
      <c r="F269">
        <f t="shared" si="4"/>
        <v>0</v>
      </c>
    </row>
    <row r="270" spans="1:6" x14ac:dyDescent="0.25">
      <c r="A270" s="2">
        <v>269</v>
      </c>
      <c r="B270">
        <v>3</v>
      </c>
      <c r="C270">
        <v>2</v>
      </c>
      <c r="D270">
        <v>2</v>
      </c>
      <c r="E270">
        <v>2</v>
      </c>
      <c r="F270">
        <f t="shared" si="4"/>
        <v>0</v>
      </c>
    </row>
    <row r="271" spans="1:6" x14ac:dyDescent="0.25">
      <c r="A271" s="2">
        <v>270</v>
      </c>
      <c r="B271">
        <v>3</v>
      </c>
      <c r="C271">
        <v>2</v>
      </c>
      <c r="D271">
        <v>2</v>
      </c>
      <c r="E271">
        <v>3</v>
      </c>
      <c r="F271">
        <f t="shared" si="4"/>
        <v>0</v>
      </c>
    </row>
    <row r="272" spans="1:6" x14ac:dyDescent="0.25">
      <c r="A272" s="2">
        <v>271</v>
      </c>
      <c r="B272">
        <v>3</v>
      </c>
      <c r="C272">
        <v>2</v>
      </c>
      <c r="D272">
        <v>2</v>
      </c>
      <c r="E272">
        <v>4</v>
      </c>
      <c r="F272">
        <f t="shared" si="4"/>
        <v>0</v>
      </c>
    </row>
    <row r="273" spans="1:6" x14ac:dyDescent="0.25">
      <c r="A273" s="2">
        <v>272</v>
      </c>
      <c r="B273">
        <v>3</v>
      </c>
      <c r="C273">
        <v>2</v>
      </c>
      <c r="D273">
        <v>2</v>
      </c>
      <c r="E273">
        <v>5</v>
      </c>
      <c r="F273">
        <f t="shared" si="4"/>
        <v>0</v>
      </c>
    </row>
    <row r="274" spans="1:6" x14ac:dyDescent="0.25">
      <c r="A274" s="2">
        <v>273</v>
      </c>
      <c r="B274">
        <v>3</v>
      </c>
      <c r="C274">
        <v>2</v>
      </c>
      <c r="D274">
        <v>2</v>
      </c>
      <c r="E274">
        <v>6</v>
      </c>
      <c r="F274">
        <f t="shared" si="4"/>
        <v>0</v>
      </c>
    </row>
    <row r="275" spans="1:6" x14ac:dyDescent="0.25">
      <c r="A275" s="2">
        <v>274</v>
      </c>
      <c r="B275">
        <v>3</v>
      </c>
      <c r="C275">
        <v>3</v>
      </c>
      <c r="D275">
        <v>0</v>
      </c>
      <c r="E275">
        <v>0</v>
      </c>
      <c r="F275">
        <f t="shared" si="4"/>
        <v>1</v>
      </c>
    </row>
    <row r="276" spans="1:6" x14ac:dyDescent="0.25">
      <c r="A276" s="2">
        <v>275</v>
      </c>
      <c r="B276">
        <v>3</v>
      </c>
      <c r="C276">
        <v>3</v>
      </c>
      <c r="D276">
        <v>0</v>
      </c>
      <c r="E276">
        <v>1</v>
      </c>
      <c r="F276">
        <f t="shared" si="4"/>
        <v>0</v>
      </c>
    </row>
    <row r="277" spans="1:6" x14ac:dyDescent="0.25">
      <c r="A277" s="2">
        <v>276</v>
      </c>
      <c r="B277">
        <v>3</v>
      </c>
      <c r="C277">
        <v>3</v>
      </c>
      <c r="D277">
        <v>0</v>
      </c>
      <c r="E277">
        <v>2</v>
      </c>
      <c r="F277">
        <f t="shared" si="4"/>
        <v>0</v>
      </c>
    </row>
    <row r="278" spans="1:6" x14ac:dyDescent="0.25">
      <c r="A278" s="2">
        <v>277</v>
      </c>
      <c r="B278">
        <v>3</v>
      </c>
      <c r="C278">
        <v>3</v>
      </c>
      <c r="D278">
        <v>0</v>
      </c>
      <c r="E278">
        <v>3</v>
      </c>
      <c r="F278">
        <f t="shared" si="4"/>
        <v>0</v>
      </c>
    </row>
    <row r="279" spans="1:6" x14ac:dyDescent="0.25">
      <c r="A279" s="2">
        <v>278</v>
      </c>
      <c r="B279">
        <v>3</v>
      </c>
      <c r="C279">
        <v>3</v>
      </c>
      <c r="D279">
        <v>0</v>
      </c>
      <c r="E279">
        <v>4</v>
      </c>
      <c r="F279">
        <f t="shared" si="4"/>
        <v>0</v>
      </c>
    </row>
    <row r="280" spans="1:6" x14ac:dyDescent="0.25">
      <c r="A280" s="2">
        <v>279</v>
      </c>
      <c r="B280">
        <v>3</v>
      </c>
      <c r="C280">
        <v>3</v>
      </c>
      <c r="D280">
        <v>0</v>
      </c>
      <c r="E280">
        <v>5</v>
      </c>
      <c r="F280">
        <f t="shared" si="4"/>
        <v>0</v>
      </c>
    </row>
    <row r="281" spans="1:6" x14ac:dyDescent="0.25">
      <c r="A281" s="2">
        <v>280</v>
      </c>
      <c r="B281">
        <v>3</v>
      </c>
      <c r="C281">
        <v>3</v>
      </c>
      <c r="D281">
        <v>0</v>
      </c>
      <c r="E281">
        <v>6</v>
      </c>
      <c r="F281">
        <f t="shared" si="4"/>
        <v>0</v>
      </c>
    </row>
    <row r="282" spans="1:6" x14ac:dyDescent="0.25">
      <c r="A282" s="2">
        <v>281</v>
      </c>
      <c r="B282">
        <v>3</v>
      </c>
      <c r="C282">
        <v>3</v>
      </c>
      <c r="D282">
        <v>1</v>
      </c>
      <c r="E282">
        <v>0</v>
      </c>
      <c r="F282">
        <f t="shared" si="4"/>
        <v>1</v>
      </c>
    </row>
    <row r="283" spans="1:6" x14ac:dyDescent="0.25">
      <c r="A283" s="2">
        <v>282</v>
      </c>
      <c r="B283">
        <v>3</v>
      </c>
      <c r="C283">
        <v>3</v>
      </c>
      <c r="D283">
        <v>1</v>
      </c>
      <c r="E283">
        <v>1</v>
      </c>
      <c r="F283">
        <f t="shared" si="4"/>
        <v>0</v>
      </c>
    </row>
    <row r="284" spans="1:6" x14ac:dyDescent="0.25">
      <c r="A284" s="2">
        <v>283</v>
      </c>
      <c r="B284">
        <v>3</v>
      </c>
      <c r="C284">
        <v>3</v>
      </c>
      <c r="D284">
        <v>1</v>
      </c>
      <c r="E284">
        <v>2</v>
      </c>
      <c r="F284">
        <f t="shared" si="4"/>
        <v>0</v>
      </c>
    </row>
    <row r="285" spans="1:6" x14ac:dyDescent="0.25">
      <c r="A285" s="2">
        <v>284</v>
      </c>
      <c r="B285">
        <v>3</v>
      </c>
      <c r="C285">
        <v>3</v>
      </c>
      <c r="D285">
        <v>1</v>
      </c>
      <c r="E285">
        <v>3</v>
      </c>
      <c r="F285">
        <f t="shared" si="4"/>
        <v>0</v>
      </c>
    </row>
    <row r="286" spans="1:6" x14ac:dyDescent="0.25">
      <c r="A286" s="2">
        <v>285</v>
      </c>
      <c r="B286">
        <v>3</v>
      </c>
      <c r="C286">
        <v>3</v>
      </c>
      <c r="D286">
        <v>1</v>
      </c>
      <c r="E286">
        <v>4</v>
      </c>
      <c r="F286">
        <f t="shared" si="4"/>
        <v>0</v>
      </c>
    </row>
    <row r="287" spans="1:6" x14ac:dyDescent="0.25">
      <c r="A287" s="2">
        <v>286</v>
      </c>
      <c r="B287">
        <v>3</v>
      </c>
      <c r="C287">
        <v>3</v>
      </c>
      <c r="D287">
        <v>1</v>
      </c>
      <c r="E287">
        <v>5</v>
      </c>
      <c r="F287">
        <f t="shared" si="4"/>
        <v>0</v>
      </c>
    </row>
    <row r="288" spans="1:6" x14ac:dyDescent="0.25">
      <c r="A288" s="2">
        <v>287</v>
      </c>
      <c r="B288">
        <v>3</v>
      </c>
      <c r="C288">
        <v>3</v>
      </c>
      <c r="D288">
        <v>1</v>
      </c>
      <c r="E288">
        <v>6</v>
      </c>
      <c r="F288">
        <f t="shared" si="4"/>
        <v>0</v>
      </c>
    </row>
    <row r="289" spans="1:6" x14ac:dyDescent="0.25">
      <c r="A289" s="2">
        <v>288</v>
      </c>
      <c r="B289">
        <v>3</v>
      </c>
      <c r="C289">
        <v>3</v>
      </c>
      <c r="D289">
        <v>2</v>
      </c>
      <c r="E289">
        <v>0</v>
      </c>
      <c r="F289">
        <f t="shared" si="4"/>
        <v>1</v>
      </c>
    </row>
    <row r="290" spans="1:6" x14ac:dyDescent="0.25">
      <c r="A290" s="2">
        <v>289</v>
      </c>
      <c r="B290">
        <v>3</v>
      </c>
      <c r="C290">
        <v>3</v>
      </c>
      <c r="D290">
        <v>2</v>
      </c>
      <c r="E290">
        <v>1</v>
      </c>
      <c r="F290">
        <f t="shared" si="4"/>
        <v>0</v>
      </c>
    </row>
    <row r="291" spans="1:6" x14ac:dyDescent="0.25">
      <c r="A291" s="2">
        <v>290</v>
      </c>
      <c r="B291">
        <v>3</v>
      </c>
      <c r="C291">
        <v>3</v>
      </c>
      <c r="D291">
        <v>2</v>
      </c>
      <c r="E291">
        <v>2</v>
      </c>
      <c r="F291">
        <f t="shared" si="4"/>
        <v>0</v>
      </c>
    </row>
    <row r="292" spans="1:6" x14ac:dyDescent="0.25">
      <c r="A292" s="2">
        <v>291</v>
      </c>
      <c r="B292">
        <v>3</v>
      </c>
      <c r="C292">
        <v>3</v>
      </c>
      <c r="D292">
        <v>2</v>
      </c>
      <c r="E292">
        <v>3</v>
      </c>
      <c r="F292">
        <f t="shared" si="4"/>
        <v>0</v>
      </c>
    </row>
    <row r="293" spans="1:6" x14ac:dyDescent="0.25">
      <c r="A293" s="2">
        <v>292</v>
      </c>
      <c r="B293">
        <v>3</v>
      </c>
      <c r="C293">
        <v>3</v>
      </c>
      <c r="D293">
        <v>2</v>
      </c>
      <c r="E293">
        <v>4</v>
      </c>
      <c r="F293">
        <f t="shared" si="4"/>
        <v>0</v>
      </c>
    </row>
    <row r="294" spans="1:6" x14ac:dyDescent="0.25">
      <c r="A294" s="2">
        <v>293</v>
      </c>
      <c r="B294">
        <v>3</v>
      </c>
      <c r="C294">
        <v>3</v>
      </c>
      <c r="D294">
        <v>2</v>
      </c>
      <c r="E294">
        <v>5</v>
      </c>
      <c r="F294">
        <f t="shared" si="4"/>
        <v>0</v>
      </c>
    </row>
    <row r="295" spans="1:6" x14ac:dyDescent="0.25">
      <c r="A295" s="2">
        <v>294</v>
      </c>
      <c r="B295">
        <v>3</v>
      </c>
      <c r="C295">
        <v>3</v>
      </c>
      <c r="D295">
        <v>2</v>
      </c>
      <c r="E295">
        <v>6</v>
      </c>
      <c r="F295">
        <f t="shared" si="4"/>
        <v>0</v>
      </c>
    </row>
    <row r="296" spans="1:6" x14ac:dyDescent="0.25">
      <c r="A296" s="2">
        <v>295</v>
      </c>
      <c r="B296">
        <v>3</v>
      </c>
      <c r="C296">
        <v>4</v>
      </c>
      <c r="D296">
        <v>0</v>
      </c>
      <c r="E296">
        <v>0</v>
      </c>
      <c r="F296">
        <f t="shared" si="4"/>
        <v>1</v>
      </c>
    </row>
    <row r="297" spans="1:6" x14ac:dyDescent="0.25">
      <c r="A297" s="2">
        <v>296</v>
      </c>
      <c r="B297">
        <v>3</v>
      </c>
      <c r="C297">
        <v>4</v>
      </c>
      <c r="D297">
        <v>0</v>
      </c>
      <c r="E297">
        <v>1</v>
      </c>
      <c r="F297">
        <f t="shared" si="4"/>
        <v>0</v>
      </c>
    </row>
    <row r="298" spans="1:6" x14ac:dyDescent="0.25">
      <c r="A298" s="2">
        <v>297</v>
      </c>
      <c r="B298">
        <v>3</v>
      </c>
      <c r="C298">
        <v>4</v>
      </c>
      <c r="D298">
        <v>0</v>
      </c>
      <c r="E298">
        <v>2</v>
      </c>
      <c r="F298">
        <f t="shared" si="4"/>
        <v>0</v>
      </c>
    </row>
    <row r="299" spans="1:6" x14ac:dyDescent="0.25">
      <c r="A299" s="2">
        <v>298</v>
      </c>
      <c r="B299">
        <v>3</v>
      </c>
      <c r="C299">
        <v>4</v>
      </c>
      <c r="D299">
        <v>0</v>
      </c>
      <c r="E299">
        <v>3</v>
      </c>
      <c r="F299">
        <f t="shared" si="4"/>
        <v>0</v>
      </c>
    </row>
    <row r="300" spans="1:6" x14ac:dyDescent="0.25">
      <c r="A300" s="2">
        <v>299</v>
      </c>
      <c r="B300">
        <v>3</v>
      </c>
      <c r="C300">
        <v>4</v>
      </c>
      <c r="D300">
        <v>0</v>
      </c>
      <c r="E300">
        <v>4</v>
      </c>
      <c r="F300">
        <f t="shared" si="4"/>
        <v>0</v>
      </c>
    </row>
    <row r="301" spans="1:6" x14ac:dyDescent="0.25">
      <c r="A301" s="2">
        <v>300</v>
      </c>
      <c r="B301">
        <v>3</v>
      </c>
      <c r="C301">
        <v>4</v>
      </c>
      <c r="D301">
        <v>0</v>
      </c>
      <c r="E301">
        <v>5</v>
      </c>
      <c r="F301">
        <f t="shared" si="4"/>
        <v>0</v>
      </c>
    </row>
    <row r="302" spans="1:6" x14ac:dyDescent="0.25">
      <c r="A302" s="2">
        <v>301</v>
      </c>
      <c r="B302">
        <v>3</v>
      </c>
      <c r="C302">
        <v>4</v>
      </c>
      <c r="D302">
        <v>0</v>
      </c>
      <c r="E302">
        <v>6</v>
      </c>
      <c r="F302">
        <f t="shared" si="4"/>
        <v>0</v>
      </c>
    </row>
    <row r="303" spans="1:6" x14ac:dyDescent="0.25">
      <c r="A303" s="2">
        <v>302</v>
      </c>
      <c r="B303">
        <v>3</v>
      </c>
      <c r="C303">
        <v>4</v>
      </c>
      <c r="D303">
        <v>1</v>
      </c>
      <c r="E303">
        <v>0</v>
      </c>
      <c r="F303">
        <f t="shared" si="4"/>
        <v>1</v>
      </c>
    </row>
    <row r="304" spans="1:6" x14ac:dyDescent="0.25">
      <c r="A304" s="2">
        <v>303</v>
      </c>
      <c r="B304">
        <v>3</v>
      </c>
      <c r="C304">
        <v>4</v>
      </c>
      <c r="D304">
        <v>1</v>
      </c>
      <c r="E304">
        <v>1</v>
      </c>
      <c r="F304">
        <f t="shared" si="4"/>
        <v>0</v>
      </c>
    </row>
    <row r="305" spans="1:6" x14ac:dyDescent="0.25">
      <c r="A305" s="2">
        <v>304</v>
      </c>
      <c r="B305">
        <v>3</v>
      </c>
      <c r="C305">
        <v>4</v>
      </c>
      <c r="D305">
        <v>1</v>
      </c>
      <c r="E305">
        <v>2</v>
      </c>
      <c r="F305">
        <f t="shared" si="4"/>
        <v>0</v>
      </c>
    </row>
    <row r="306" spans="1:6" x14ac:dyDescent="0.25">
      <c r="A306" s="2">
        <v>305</v>
      </c>
      <c r="B306">
        <v>3</v>
      </c>
      <c r="C306">
        <v>4</v>
      </c>
      <c r="D306">
        <v>1</v>
      </c>
      <c r="E306">
        <v>3</v>
      </c>
      <c r="F306">
        <f t="shared" si="4"/>
        <v>0</v>
      </c>
    </row>
    <row r="307" spans="1:6" x14ac:dyDescent="0.25">
      <c r="A307" s="2">
        <v>306</v>
      </c>
      <c r="B307">
        <v>3</v>
      </c>
      <c r="C307">
        <v>4</v>
      </c>
      <c r="D307">
        <v>1</v>
      </c>
      <c r="E307">
        <v>4</v>
      </c>
      <c r="F307">
        <f t="shared" si="4"/>
        <v>0</v>
      </c>
    </row>
    <row r="308" spans="1:6" x14ac:dyDescent="0.25">
      <c r="A308" s="2">
        <v>307</v>
      </c>
      <c r="B308">
        <v>3</v>
      </c>
      <c r="C308">
        <v>4</v>
      </c>
      <c r="D308">
        <v>1</v>
      </c>
      <c r="E308">
        <v>5</v>
      </c>
      <c r="F308">
        <f t="shared" si="4"/>
        <v>0</v>
      </c>
    </row>
    <row r="309" spans="1:6" x14ac:dyDescent="0.25">
      <c r="A309" s="2">
        <v>308</v>
      </c>
      <c r="B309">
        <v>3</v>
      </c>
      <c r="C309">
        <v>4</v>
      </c>
      <c r="D309">
        <v>1</v>
      </c>
      <c r="E309">
        <v>6</v>
      </c>
      <c r="F309">
        <f t="shared" si="4"/>
        <v>0</v>
      </c>
    </row>
    <row r="310" spans="1:6" x14ac:dyDescent="0.25">
      <c r="A310" s="2">
        <v>309</v>
      </c>
      <c r="B310">
        <v>3</v>
      </c>
      <c r="C310">
        <v>4</v>
      </c>
      <c r="D310">
        <v>2</v>
      </c>
      <c r="E310">
        <v>0</v>
      </c>
      <c r="F310">
        <f t="shared" si="4"/>
        <v>1</v>
      </c>
    </row>
    <row r="311" spans="1:6" x14ac:dyDescent="0.25">
      <c r="A311" s="2">
        <v>310</v>
      </c>
      <c r="B311">
        <v>3</v>
      </c>
      <c r="C311">
        <v>4</v>
      </c>
      <c r="D311">
        <v>2</v>
      </c>
      <c r="E311">
        <v>1</v>
      </c>
      <c r="F311">
        <f t="shared" si="4"/>
        <v>0</v>
      </c>
    </row>
    <row r="312" spans="1:6" x14ac:dyDescent="0.25">
      <c r="A312" s="2">
        <v>311</v>
      </c>
      <c r="B312">
        <v>3</v>
      </c>
      <c r="C312">
        <v>4</v>
      </c>
      <c r="D312">
        <v>2</v>
      </c>
      <c r="E312">
        <v>2</v>
      </c>
      <c r="F312">
        <f t="shared" si="4"/>
        <v>0</v>
      </c>
    </row>
    <row r="313" spans="1:6" x14ac:dyDescent="0.25">
      <c r="A313" s="2">
        <v>312</v>
      </c>
      <c r="B313">
        <v>3</v>
      </c>
      <c r="C313">
        <v>4</v>
      </c>
      <c r="D313">
        <v>2</v>
      </c>
      <c r="E313">
        <v>3</v>
      </c>
      <c r="F313">
        <f t="shared" si="4"/>
        <v>0</v>
      </c>
    </row>
    <row r="314" spans="1:6" x14ac:dyDescent="0.25">
      <c r="A314" s="2">
        <v>313</v>
      </c>
      <c r="B314">
        <v>3</v>
      </c>
      <c r="C314">
        <v>4</v>
      </c>
      <c r="D314">
        <v>2</v>
      </c>
      <c r="E314">
        <v>4</v>
      </c>
      <c r="F314">
        <f t="shared" si="4"/>
        <v>0</v>
      </c>
    </row>
    <row r="315" spans="1:6" x14ac:dyDescent="0.25">
      <c r="A315" s="2">
        <v>314</v>
      </c>
      <c r="B315">
        <v>3</v>
      </c>
      <c r="C315">
        <v>4</v>
      </c>
      <c r="D315">
        <v>2</v>
      </c>
      <c r="E315">
        <v>5</v>
      </c>
      <c r="F315">
        <f t="shared" si="4"/>
        <v>0</v>
      </c>
    </row>
    <row r="316" spans="1:6" x14ac:dyDescent="0.25">
      <c r="A316" s="2">
        <v>315</v>
      </c>
      <c r="B316">
        <v>3</v>
      </c>
      <c r="C316">
        <v>4</v>
      </c>
      <c r="D316">
        <v>2</v>
      </c>
      <c r="E316">
        <v>6</v>
      </c>
      <c r="F316">
        <f t="shared" si="4"/>
        <v>0</v>
      </c>
    </row>
    <row r="317" spans="1:6" x14ac:dyDescent="0.25">
      <c r="A317" s="2">
        <v>316</v>
      </c>
      <c r="B317">
        <v>4</v>
      </c>
      <c r="C317">
        <v>0</v>
      </c>
      <c r="D317">
        <v>0</v>
      </c>
      <c r="E317">
        <v>0</v>
      </c>
      <c r="F317">
        <f t="shared" si="4"/>
        <v>1</v>
      </c>
    </row>
    <row r="318" spans="1:6" x14ac:dyDescent="0.25">
      <c r="A318" s="2">
        <v>317</v>
      </c>
      <c r="B318">
        <v>4</v>
      </c>
      <c r="C318">
        <v>0</v>
      </c>
      <c r="D318">
        <v>0</v>
      </c>
      <c r="E318">
        <v>1</v>
      </c>
      <c r="F318">
        <f t="shared" si="4"/>
        <v>0</v>
      </c>
    </row>
    <row r="319" spans="1:6" x14ac:dyDescent="0.25">
      <c r="A319" s="2">
        <v>318</v>
      </c>
      <c r="B319">
        <v>4</v>
      </c>
      <c r="C319">
        <v>0</v>
      </c>
      <c r="D319">
        <v>0</v>
      </c>
      <c r="E319">
        <v>2</v>
      </c>
      <c r="F319">
        <f t="shared" si="4"/>
        <v>0</v>
      </c>
    </row>
    <row r="320" spans="1:6" x14ac:dyDescent="0.25">
      <c r="A320" s="2">
        <v>319</v>
      </c>
      <c r="B320">
        <v>4</v>
      </c>
      <c r="C320">
        <v>0</v>
      </c>
      <c r="D320">
        <v>0</v>
      </c>
      <c r="E320">
        <v>3</v>
      </c>
      <c r="F320">
        <f t="shared" si="4"/>
        <v>0</v>
      </c>
    </row>
    <row r="321" spans="1:6" x14ac:dyDescent="0.25">
      <c r="A321" s="2">
        <v>320</v>
      </c>
      <c r="B321">
        <v>4</v>
      </c>
      <c r="C321">
        <v>0</v>
      </c>
      <c r="D321">
        <v>0</v>
      </c>
      <c r="E321">
        <v>4</v>
      </c>
      <c r="F321">
        <f t="shared" si="4"/>
        <v>0</v>
      </c>
    </row>
    <row r="322" spans="1:6" x14ac:dyDescent="0.25">
      <c r="A322" s="2">
        <v>321</v>
      </c>
      <c r="B322">
        <v>4</v>
      </c>
      <c r="C322">
        <v>0</v>
      </c>
      <c r="D322">
        <v>0</v>
      </c>
      <c r="E322">
        <v>5</v>
      </c>
      <c r="F322">
        <f t="shared" si="4"/>
        <v>0</v>
      </c>
    </row>
    <row r="323" spans="1:6" x14ac:dyDescent="0.25">
      <c r="A323" s="2">
        <v>322</v>
      </c>
      <c r="B323">
        <v>4</v>
      </c>
      <c r="C323">
        <v>0</v>
      </c>
      <c r="D323">
        <v>0</v>
      </c>
      <c r="E323">
        <v>6</v>
      </c>
      <c r="F323">
        <f t="shared" ref="F323:F386" si="5">IF(E323=0,1,0)</f>
        <v>0</v>
      </c>
    </row>
    <row r="324" spans="1:6" x14ac:dyDescent="0.25">
      <c r="A324" s="2">
        <v>323</v>
      </c>
      <c r="B324">
        <v>4</v>
      </c>
      <c r="C324">
        <v>0</v>
      </c>
      <c r="D324">
        <v>1</v>
      </c>
      <c r="E324">
        <v>0</v>
      </c>
      <c r="F324">
        <f t="shared" si="5"/>
        <v>1</v>
      </c>
    </row>
    <row r="325" spans="1:6" x14ac:dyDescent="0.25">
      <c r="A325" s="2">
        <v>324</v>
      </c>
      <c r="B325">
        <v>4</v>
      </c>
      <c r="C325">
        <v>0</v>
      </c>
      <c r="D325">
        <v>1</v>
      </c>
      <c r="E325">
        <v>1</v>
      </c>
      <c r="F325">
        <f t="shared" si="5"/>
        <v>0</v>
      </c>
    </row>
    <row r="326" spans="1:6" x14ac:dyDescent="0.25">
      <c r="A326" s="2">
        <v>325</v>
      </c>
      <c r="B326">
        <v>4</v>
      </c>
      <c r="C326">
        <v>0</v>
      </c>
      <c r="D326">
        <v>1</v>
      </c>
      <c r="E326">
        <v>2</v>
      </c>
      <c r="F326">
        <f t="shared" si="5"/>
        <v>0</v>
      </c>
    </row>
    <row r="327" spans="1:6" x14ac:dyDescent="0.25">
      <c r="A327" s="2">
        <v>326</v>
      </c>
      <c r="B327">
        <v>4</v>
      </c>
      <c r="C327">
        <v>0</v>
      </c>
      <c r="D327">
        <v>1</v>
      </c>
      <c r="E327">
        <v>3</v>
      </c>
      <c r="F327">
        <f t="shared" si="5"/>
        <v>0</v>
      </c>
    </row>
    <row r="328" spans="1:6" x14ac:dyDescent="0.25">
      <c r="A328" s="2">
        <v>327</v>
      </c>
      <c r="B328">
        <v>4</v>
      </c>
      <c r="C328">
        <v>0</v>
      </c>
      <c r="D328">
        <v>1</v>
      </c>
      <c r="E328">
        <v>4</v>
      </c>
      <c r="F328">
        <f t="shared" si="5"/>
        <v>0</v>
      </c>
    </row>
    <row r="329" spans="1:6" x14ac:dyDescent="0.25">
      <c r="A329" s="2">
        <v>328</v>
      </c>
      <c r="B329">
        <v>4</v>
      </c>
      <c r="C329">
        <v>0</v>
      </c>
      <c r="D329">
        <v>1</v>
      </c>
      <c r="E329">
        <v>5</v>
      </c>
      <c r="F329">
        <f t="shared" si="5"/>
        <v>0</v>
      </c>
    </row>
    <row r="330" spans="1:6" x14ac:dyDescent="0.25">
      <c r="A330" s="2">
        <v>329</v>
      </c>
      <c r="B330">
        <v>4</v>
      </c>
      <c r="C330">
        <v>0</v>
      </c>
      <c r="D330">
        <v>1</v>
      </c>
      <c r="E330">
        <v>6</v>
      </c>
      <c r="F330">
        <f t="shared" si="5"/>
        <v>0</v>
      </c>
    </row>
    <row r="331" spans="1:6" x14ac:dyDescent="0.25">
      <c r="A331" s="2">
        <v>330</v>
      </c>
      <c r="B331">
        <v>4</v>
      </c>
      <c r="C331">
        <v>0</v>
      </c>
      <c r="D331">
        <v>2</v>
      </c>
      <c r="E331">
        <v>0</v>
      </c>
      <c r="F331">
        <f t="shared" si="5"/>
        <v>1</v>
      </c>
    </row>
    <row r="332" spans="1:6" x14ac:dyDescent="0.25">
      <c r="A332" s="2">
        <v>331</v>
      </c>
      <c r="B332">
        <v>4</v>
      </c>
      <c r="C332">
        <v>0</v>
      </c>
      <c r="D332">
        <v>2</v>
      </c>
      <c r="E332">
        <v>1</v>
      </c>
      <c r="F332">
        <f t="shared" si="5"/>
        <v>0</v>
      </c>
    </row>
    <row r="333" spans="1:6" x14ac:dyDescent="0.25">
      <c r="A333" s="2">
        <v>332</v>
      </c>
      <c r="B333">
        <v>4</v>
      </c>
      <c r="C333">
        <v>0</v>
      </c>
      <c r="D333">
        <v>2</v>
      </c>
      <c r="E333">
        <v>2</v>
      </c>
      <c r="F333">
        <f t="shared" si="5"/>
        <v>0</v>
      </c>
    </row>
    <row r="334" spans="1:6" x14ac:dyDescent="0.25">
      <c r="A334" s="2">
        <v>333</v>
      </c>
      <c r="B334">
        <v>4</v>
      </c>
      <c r="C334">
        <v>0</v>
      </c>
      <c r="D334">
        <v>2</v>
      </c>
      <c r="E334">
        <v>3</v>
      </c>
      <c r="F334">
        <f t="shared" si="5"/>
        <v>0</v>
      </c>
    </row>
    <row r="335" spans="1:6" x14ac:dyDescent="0.25">
      <c r="A335" s="2">
        <v>334</v>
      </c>
      <c r="B335">
        <v>4</v>
      </c>
      <c r="C335">
        <v>0</v>
      </c>
      <c r="D335">
        <v>2</v>
      </c>
      <c r="E335">
        <v>4</v>
      </c>
      <c r="F335">
        <f t="shared" si="5"/>
        <v>0</v>
      </c>
    </row>
    <row r="336" spans="1:6" x14ac:dyDescent="0.25">
      <c r="A336" s="2">
        <v>335</v>
      </c>
      <c r="B336">
        <v>4</v>
      </c>
      <c r="C336">
        <v>0</v>
      </c>
      <c r="D336">
        <v>2</v>
      </c>
      <c r="E336">
        <v>5</v>
      </c>
      <c r="F336">
        <f t="shared" si="5"/>
        <v>0</v>
      </c>
    </row>
    <row r="337" spans="1:6" x14ac:dyDescent="0.25">
      <c r="A337" s="2">
        <v>336</v>
      </c>
      <c r="B337">
        <v>4</v>
      </c>
      <c r="C337">
        <v>0</v>
      </c>
      <c r="D337">
        <v>2</v>
      </c>
      <c r="E337">
        <v>6</v>
      </c>
      <c r="F337">
        <f t="shared" si="5"/>
        <v>0</v>
      </c>
    </row>
    <row r="338" spans="1:6" x14ac:dyDescent="0.25">
      <c r="A338" s="2">
        <v>337</v>
      </c>
      <c r="B338">
        <v>4</v>
      </c>
      <c r="C338">
        <v>1</v>
      </c>
      <c r="D338">
        <v>0</v>
      </c>
      <c r="E338">
        <v>0</v>
      </c>
      <c r="F338">
        <f t="shared" si="5"/>
        <v>1</v>
      </c>
    </row>
    <row r="339" spans="1:6" x14ac:dyDescent="0.25">
      <c r="A339" s="2">
        <v>338</v>
      </c>
      <c r="B339">
        <v>4</v>
      </c>
      <c r="C339">
        <v>1</v>
      </c>
      <c r="D339">
        <v>0</v>
      </c>
      <c r="E339">
        <v>1</v>
      </c>
      <c r="F339">
        <f t="shared" si="5"/>
        <v>0</v>
      </c>
    </row>
    <row r="340" spans="1:6" x14ac:dyDescent="0.25">
      <c r="A340" s="2">
        <v>339</v>
      </c>
      <c r="B340">
        <v>4</v>
      </c>
      <c r="C340">
        <v>1</v>
      </c>
      <c r="D340">
        <v>0</v>
      </c>
      <c r="E340">
        <v>2</v>
      </c>
      <c r="F340">
        <f t="shared" si="5"/>
        <v>0</v>
      </c>
    </row>
    <row r="341" spans="1:6" x14ac:dyDescent="0.25">
      <c r="A341" s="2">
        <v>340</v>
      </c>
      <c r="B341">
        <v>4</v>
      </c>
      <c r="C341">
        <v>1</v>
      </c>
      <c r="D341">
        <v>0</v>
      </c>
      <c r="E341">
        <v>3</v>
      </c>
      <c r="F341">
        <f t="shared" si="5"/>
        <v>0</v>
      </c>
    </row>
    <row r="342" spans="1:6" x14ac:dyDescent="0.25">
      <c r="A342" s="2">
        <v>341</v>
      </c>
      <c r="B342">
        <v>4</v>
      </c>
      <c r="C342">
        <v>1</v>
      </c>
      <c r="D342">
        <v>0</v>
      </c>
      <c r="E342">
        <v>4</v>
      </c>
      <c r="F342">
        <f t="shared" si="5"/>
        <v>0</v>
      </c>
    </row>
    <row r="343" spans="1:6" x14ac:dyDescent="0.25">
      <c r="A343" s="2">
        <v>342</v>
      </c>
      <c r="B343">
        <v>4</v>
      </c>
      <c r="C343">
        <v>1</v>
      </c>
      <c r="D343">
        <v>0</v>
      </c>
      <c r="E343">
        <v>5</v>
      </c>
      <c r="F343">
        <f t="shared" si="5"/>
        <v>0</v>
      </c>
    </row>
    <row r="344" spans="1:6" x14ac:dyDescent="0.25">
      <c r="A344" s="2">
        <v>343</v>
      </c>
      <c r="B344">
        <v>4</v>
      </c>
      <c r="C344">
        <v>1</v>
      </c>
      <c r="D344">
        <v>0</v>
      </c>
      <c r="E344">
        <v>6</v>
      </c>
      <c r="F344">
        <f t="shared" si="5"/>
        <v>0</v>
      </c>
    </row>
    <row r="345" spans="1:6" x14ac:dyDescent="0.25">
      <c r="A345" s="2">
        <v>344</v>
      </c>
      <c r="B345">
        <v>4</v>
      </c>
      <c r="C345">
        <v>1</v>
      </c>
      <c r="D345">
        <v>1</v>
      </c>
      <c r="E345">
        <v>0</v>
      </c>
      <c r="F345">
        <f t="shared" si="5"/>
        <v>1</v>
      </c>
    </row>
    <row r="346" spans="1:6" x14ac:dyDescent="0.25">
      <c r="A346" s="2">
        <v>345</v>
      </c>
      <c r="B346">
        <v>4</v>
      </c>
      <c r="C346">
        <v>1</v>
      </c>
      <c r="D346">
        <v>1</v>
      </c>
      <c r="E346">
        <v>1</v>
      </c>
      <c r="F346">
        <f t="shared" si="5"/>
        <v>0</v>
      </c>
    </row>
    <row r="347" spans="1:6" x14ac:dyDescent="0.25">
      <c r="A347" s="2">
        <v>346</v>
      </c>
      <c r="B347">
        <v>4</v>
      </c>
      <c r="C347">
        <v>1</v>
      </c>
      <c r="D347">
        <v>1</v>
      </c>
      <c r="E347">
        <v>2</v>
      </c>
      <c r="F347">
        <f t="shared" si="5"/>
        <v>0</v>
      </c>
    </row>
    <row r="348" spans="1:6" x14ac:dyDescent="0.25">
      <c r="A348" s="2">
        <v>347</v>
      </c>
      <c r="B348">
        <v>4</v>
      </c>
      <c r="C348">
        <v>1</v>
      </c>
      <c r="D348">
        <v>1</v>
      </c>
      <c r="E348">
        <v>3</v>
      </c>
      <c r="F348">
        <f t="shared" si="5"/>
        <v>0</v>
      </c>
    </row>
    <row r="349" spans="1:6" x14ac:dyDescent="0.25">
      <c r="A349" s="2">
        <v>348</v>
      </c>
      <c r="B349">
        <v>4</v>
      </c>
      <c r="C349">
        <v>1</v>
      </c>
      <c r="D349">
        <v>1</v>
      </c>
      <c r="E349">
        <v>4</v>
      </c>
      <c r="F349">
        <f t="shared" si="5"/>
        <v>0</v>
      </c>
    </row>
    <row r="350" spans="1:6" x14ac:dyDescent="0.25">
      <c r="A350" s="2">
        <v>349</v>
      </c>
      <c r="B350">
        <v>4</v>
      </c>
      <c r="C350">
        <v>1</v>
      </c>
      <c r="D350">
        <v>1</v>
      </c>
      <c r="E350">
        <v>5</v>
      </c>
      <c r="F350">
        <f t="shared" si="5"/>
        <v>0</v>
      </c>
    </row>
    <row r="351" spans="1:6" x14ac:dyDescent="0.25">
      <c r="A351" s="2">
        <v>350</v>
      </c>
      <c r="B351">
        <v>4</v>
      </c>
      <c r="C351">
        <v>1</v>
      </c>
      <c r="D351">
        <v>1</v>
      </c>
      <c r="E351">
        <v>6</v>
      </c>
      <c r="F351">
        <f t="shared" si="5"/>
        <v>0</v>
      </c>
    </row>
    <row r="352" spans="1:6" x14ac:dyDescent="0.25">
      <c r="A352" s="2">
        <v>351</v>
      </c>
      <c r="B352">
        <v>4</v>
      </c>
      <c r="C352">
        <v>1</v>
      </c>
      <c r="D352">
        <v>2</v>
      </c>
      <c r="E352">
        <v>0</v>
      </c>
      <c r="F352">
        <f t="shared" si="5"/>
        <v>1</v>
      </c>
    </row>
    <row r="353" spans="1:6" x14ac:dyDescent="0.25">
      <c r="A353" s="2">
        <v>352</v>
      </c>
      <c r="B353">
        <v>4</v>
      </c>
      <c r="C353">
        <v>1</v>
      </c>
      <c r="D353">
        <v>2</v>
      </c>
      <c r="E353">
        <v>1</v>
      </c>
      <c r="F353">
        <f t="shared" si="5"/>
        <v>0</v>
      </c>
    </row>
    <row r="354" spans="1:6" x14ac:dyDescent="0.25">
      <c r="A354" s="2">
        <v>353</v>
      </c>
      <c r="B354">
        <v>4</v>
      </c>
      <c r="C354">
        <v>1</v>
      </c>
      <c r="D354">
        <v>2</v>
      </c>
      <c r="E354">
        <v>2</v>
      </c>
      <c r="F354">
        <f t="shared" si="5"/>
        <v>0</v>
      </c>
    </row>
    <row r="355" spans="1:6" x14ac:dyDescent="0.25">
      <c r="A355" s="2">
        <v>354</v>
      </c>
      <c r="B355">
        <v>4</v>
      </c>
      <c r="C355">
        <v>1</v>
      </c>
      <c r="D355">
        <v>2</v>
      </c>
      <c r="E355">
        <v>3</v>
      </c>
      <c r="F355">
        <f t="shared" si="5"/>
        <v>0</v>
      </c>
    </row>
    <row r="356" spans="1:6" x14ac:dyDescent="0.25">
      <c r="A356" s="2">
        <v>355</v>
      </c>
      <c r="B356">
        <v>4</v>
      </c>
      <c r="C356">
        <v>1</v>
      </c>
      <c r="D356">
        <v>2</v>
      </c>
      <c r="E356">
        <v>4</v>
      </c>
      <c r="F356">
        <f t="shared" si="5"/>
        <v>0</v>
      </c>
    </row>
    <row r="357" spans="1:6" x14ac:dyDescent="0.25">
      <c r="A357" s="2">
        <v>356</v>
      </c>
      <c r="B357">
        <v>4</v>
      </c>
      <c r="C357">
        <v>1</v>
      </c>
      <c r="D357">
        <v>2</v>
      </c>
      <c r="E357">
        <v>5</v>
      </c>
      <c r="F357">
        <f t="shared" si="5"/>
        <v>0</v>
      </c>
    </row>
    <row r="358" spans="1:6" x14ac:dyDescent="0.25">
      <c r="A358" s="2">
        <v>357</v>
      </c>
      <c r="B358">
        <v>4</v>
      </c>
      <c r="C358">
        <v>1</v>
      </c>
      <c r="D358">
        <v>2</v>
      </c>
      <c r="E358">
        <v>6</v>
      </c>
      <c r="F358">
        <f t="shared" si="5"/>
        <v>0</v>
      </c>
    </row>
    <row r="359" spans="1:6" x14ac:dyDescent="0.25">
      <c r="A359" s="2">
        <v>358</v>
      </c>
      <c r="B359">
        <v>4</v>
      </c>
      <c r="C359">
        <v>2</v>
      </c>
      <c r="D359">
        <v>0</v>
      </c>
      <c r="E359">
        <v>0</v>
      </c>
      <c r="F359">
        <f t="shared" si="5"/>
        <v>1</v>
      </c>
    </row>
    <row r="360" spans="1:6" x14ac:dyDescent="0.25">
      <c r="A360" s="2">
        <v>359</v>
      </c>
      <c r="B360">
        <v>4</v>
      </c>
      <c r="C360">
        <v>2</v>
      </c>
      <c r="D360">
        <v>0</v>
      </c>
      <c r="E360">
        <v>1</v>
      </c>
      <c r="F360">
        <f t="shared" si="5"/>
        <v>0</v>
      </c>
    </row>
    <row r="361" spans="1:6" x14ac:dyDescent="0.25">
      <c r="A361" s="2">
        <v>360</v>
      </c>
      <c r="B361">
        <v>4</v>
      </c>
      <c r="C361">
        <v>2</v>
      </c>
      <c r="D361">
        <v>0</v>
      </c>
      <c r="E361">
        <v>2</v>
      </c>
      <c r="F361">
        <f t="shared" si="5"/>
        <v>0</v>
      </c>
    </row>
    <row r="362" spans="1:6" x14ac:dyDescent="0.25">
      <c r="A362" s="2">
        <v>361</v>
      </c>
      <c r="B362">
        <v>4</v>
      </c>
      <c r="C362">
        <v>2</v>
      </c>
      <c r="D362">
        <v>0</v>
      </c>
      <c r="E362">
        <v>3</v>
      </c>
      <c r="F362">
        <f t="shared" si="5"/>
        <v>0</v>
      </c>
    </row>
    <row r="363" spans="1:6" x14ac:dyDescent="0.25">
      <c r="A363" s="2">
        <v>362</v>
      </c>
      <c r="B363">
        <v>4</v>
      </c>
      <c r="C363">
        <v>2</v>
      </c>
      <c r="D363">
        <v>0</v>
      </c>
      <c r="E363">
        <v>4</v>
      </c>
      <c r="F363">
        <f t="shared" si="5"/>
        <v>0</v>
      </c>
    </row>
    <row r="364" spans="1:6" x14ac:dyDescent="0.25">
      <c r="A364" s="2">
        <v>363</v>
      </c>
      <c r="B364">
        <v>4</v>
      </c>
      <c r="C364">
        <v>2</v>
      </c>
      <c r="D364">
        <v>0</v>
      </c>
      <c r="E364">
        <v>5</v>
      </c>
      <c r="F364">
        <f t="shared" si="5"/>
        <v>0</v>
      </c>
    </row>
    <row r="365" spans="1:6" x14ac:dyDescent="0.25">
      <c r="A365" s="2">
        <v>364</v>
      </c>
      <c r="B365">
        <v>4</v>
      </c>
      <c r="C365">
        <v>2</v>
      </c>
      <c r="D365">
        <v>0</v>
      </c>
      <c r="E365">
        <v>6</v>
      </c>
      <c r="F365">
        <f t="shared" si="5"/>
        <v>0</v>
      </c>
    </row>
    <row r="366" spans="1:6" x14ac:dyDescent="0.25">
      <c r="A366" s="2">
        <v>365</v>
      </c>
      <c r="B366">
        <v>4</v>
      </c>
      <c r="C366">
        <v>2</v>
      </c>
      <c r="D366">
        <v>1</v>
      </c>
      <c r="E366">
        <v>0</v>
      </c>
      <c r="F366">
        <f t="shared" si="5"/>
        <v>1</v>
      </c>
    </row>
    <row r="367" spans="1:6" x14ac:dyDescent="0.25">
      <c r="A367" s="2">
        <v>366</v>
      </c>
      <c r="B367">
        <v>4</v>
      </c>
      <c r="C367">
        <v>2</v>
      </c>
      <c r="D367">
        <v>1</v>
      </c>
      <c r="E367">
        <v>1</v>
      </c>
      <c r="F367">
        <f t="shared" si="5"/>
        <v>0</v>
      </c>
    </row>
    <row r="368" spans="1:6" x14ac:dyDescent="0.25">
      <c r="A368" s="2">
        <v>367</v>
      </c>
      <c r="B368">
        <v>4</v>
      </c>
      <c r="C368">
        <v>2</v>
      </c>
      <c r="D368">
        <v>1</v>
      </c>
      <c r="E368">
        <v>2</v>
      </c>
      <c r="F368">
        <f t="shared" si="5"/>
        <v>0</v>
      </c>
    </row>
    <row r="369" spans="1:6" x14ac:dyDescent="0.25">
      <c r="A369" s="2">
        <v>368</v>
      </c>
      <c r="B369">
        <v>4</v>
      </c>
      <c r="C369">
        <v>2</v>
      </c>
      <c r="D369">
        <v>1</v>
      </c>
      <c r="E369">
        <v>3</v>
      </c>
      <c r="F369">
        <f t="shared" si="5"/>
        <v>0</v>
      </c>
    </row>
    <row r="370" spans="1:6" x14ac:dyDescent="0.25">
      <c r="A370" s="2">
        <v>369</v>
      </c>
      <c r="B370">
        <v>4</v>
      </c>
      <c r="C370">
        <v>2</v>
      </c>
      <c r="D370">
        <v>1</v>
      </c>
      <c r="E370">
        <v>4</v>
      </c>
      <c r="F370">
        <f t="shared" si="5"/>
        <v>0</v>
      </c>
    </row>
    <row r="371" spans="1:6" x14ac:dyDescent="0.25">
      <c r="A371" s="2">
        <v>370</v>
      </c>
      <c r="B371">
        <v>4</v>
      </c>
      <c r="C371">
        <v>2</v>
      </c>
      <c r="D371">
        <v>1</v>
      </c>
      <c r="E371">
        <v>5</v>
      </c>
      <c r="F371">
        <f t="shared" si="5"/>
        <v>0</v>
      </c>
    </row>
    <row r="372" spans="1:6" x14ac:dyDescent="0.25">
      <c r="A372" s="2">
        <v>371</v>
      </c>
      <c r="B372">
        <v>4</v>
      </c>
      <c r="C372">
        <v>2</v>
      </c>
      <c r="D372">
        <v>1</v>
      </c>
      <c r="E372">
        <v>6</v>
      </c>
      <c r="F372">
        <f t="shared" si="5"/>
        <v>0</v>
      </c>
    </row>
    <row r="373" spans="1:6" x14ac:dyDescent="0.25">
      <c r="A373" s="2">
        <v>372</v>
      </c>
      <c r="B373">
        <v>4</v>
      </c>
      <c r="C373">
        <v>2</v>
      </c>
      <c r="D373">
        <v>2</v>
      </c>
      <c r="E373">
        <v>0</v>
      </c>
      <c r="F373">
        <f t="shared" si="5"/>
        <v>1</v>
      </c>
    </row>
    <row r="374" spans="1:6" x14ac:dyDescent="0.25">
      <c r="A374" s="2">
        <v>373</v>
      </c>
      <c r="B374">
        <v>4</v>
      </c>
      <c r="C374">
        <v>2</v>
      </c>
      <c r="D374">
        <v>2</v>
      </c>
      <c r="E374">
        <v>1</v>
      </c>
      <c r="F374">
        <f t="shared" si="5"/>
        <v>0</v>
      </c>
    </row>
    <row r="375" spans="1:6" x14ac:dyDescent="0.25">
      <c r="A375" s="2">
        <v>374</v>
      </c>
      <c r="B375">
        <v>4</v>
      </c>
      <c r="C375">
        <v>2</v>
      </c>
      <c r="D375">
        <v>2</v>
      </c>
      <c r="E375">
        <v>2</v>
      </c>
      <c r="F375">
        <f t="shared" si="5"/>
        <v>0</v>
      </c>
    </row>
    <row r="376" spans="1:6" x14ac:dyDescent="0.25">
      <c r="A376" s="2">
        <v>375</v>
      </c>
      <c r="B376">
        <v>4</v>
      </c>
      <c r="C376">
        <v>2</v>
      </c>
      <c r="D376">
        <v>2</v>
      </c>
      <c r="E376">
        <v>3</v>
      </c>
      <c r="F376">
        <f t="shared" si="5"/>
        <v>0</v>
      </c>
    </row>
    <row r="377" spans="1:6" x14ac:dyDescent="0.25">
      <c r="A377" s="2">
        <v>376</v>
      </c>
      <c r="B377">
        <v>4</v>
      </c>
      <c r="C377">
        <v>2</v>
      </c>
      <c r="D377">
        <v>2</v>
      </c>
      <c r="E377">
        <v>4</v>
      </c>
      <c r="F377">
        <f t="shared" si="5"/>
        <v>0</v>
      </c>
    </row>
    <row r="378" spans="1:6" x14ac:dyDescent="0.25">
      <c r="A378" s="2">
        <v>377</v>
      </c>
      <c r="B378">
        <v>4</v>
      </c>
      <c r="C378">
        <v>2</v>
      </c>
      <c r="D378">
        <v>2</v>
      </c>
      <c r="E378">
        <v>5</v>
      </c>
      <c r="F378">
        <f t="shared" si="5"/>
        <v>0</v>
      </c>
    </row>
    <row r="379" spans="1:6" x14ac:dyDescent="0.25">
      <c r="A379" s="2">
        <v>378</v>
      </c>
      <c r="B379">
        <v>4</v>
      </c>
      <c r="C379">
        <v>2</v>
      </c>
      <c r="D379">
        <v>2</v>
      </c>
      <c r="E379">
        <v>6</v>
      </c>
      <c r="F379">
        <f t="shared" si="5"/>
        <v>0</v>
      </c>
    </row>
    <row r="380" spans="1:6" x14ac:dyDescent="0.25">
      <c r="A380" s="2">
        <v>379</v>
      </c>
      <c r="B380">
        <v>4</v>
      </c>
      <c r="C380">
        <v>3</v>
      </c>
      <c r="D380">
        <v>0</v>
      </c>
      <c r="E380">
        <v>0</v>
      </c>
      <c r="F380">
        <f t="shared" si="5"/>
        <v>1</v>
      </c>
    </row>
    <row r="381" spans="1:6" x14ac:dyDescent="0.25">
      <c r="A381" s="2">
        <v>380</v>
      </c>
      <c r="B381">
        <v>4</v>
      </c>
      <c r="C381">
        <v>3</v>
      </c>
      <c r="D381">
        <v>0</v>
      </c>
      <c r="E381">
        <v>1</v>
      </c>
      <c r="F381">
        <f t="shared" si="5"/>
        <v>0</v>
      </c>
    </row>
    <row r="382" spans="1:6" x14ac:dyDescent="0.25">
      <c r="A382" s="2">
        <v>381</v>
      </c>
      <c r="B382">
        <v>4</v>
      </c>
      <c r="C382">
        <v>3</v>
      </c>
      <c r="D382">
        <v>0</v>
      </c>
      <c r="E382">
        <v>2</v>
      </c>
      <c r="F382">
        <f t="shared" si="5"/>
        <v>0</v>
      </c>
    </row>
    <row r="383" spans="1:6" x14ac:dyDescent="0.25">
      <c r="A383" s="2">
        <v>382</v>
      </c>
      <c r="B383">
        <v>4</v>
      </c>
      <c r="C383">
        <v>3</v>
      </c>
      <c r="D383">
        <v>0</v>
      </c>
      <c r="E383">
        <v>3</v>
      </c>
      <c r="F383">
        <f t="shared" si="5"/>
        <v>0</v>
      </c>
    </row>
    <row r="384" spans="1:6" x14ac:dyDescent="0.25">
      <c r="A384" s="2">
        <v>383</v>
      </c>
      <c r="B384">
        <v>4</v>
      </c>
      <c r="C384">
        <v>3</v>
      </c>
      <c r="D384">
        <v>0</v>
      </c>
      <c r="E384">
        <v>4</v>
      </c>
      <c r="F384">
        <f t="shared" si="5"/>
        <v>0</v>
      </c>
    </row>
    <row r="385" spans="1:6" x14ac:dyDescent="0.25">
      <c r="A385" s="2">
        <v>384</v>
      </c>
      <c r="B385">
        <v>4</v>
      </c>
      <c r="C385">
        <v>3</v>
      </c>
      <c r="D385">
        <v>0</v>
      </c>
      <c r="E385">
        <v>5</v>
      </c>
      <c r="F385">
        <f t="shared" si="5"/>
        <v>0</v>
      </c>
    </row>
    <row r="386" spans="1:6" x14ac:dyDescent="0.25">
      <c r="A386" s="2">
        <v>385</v>
      </c>
      <c r="B386">
        <v>4</v>
      </c>
      <c r="C386">
        <v>3</v>
      </c>
      <c r="D386">
        <v>0</v>
      </c>
      <c r="E386">
        <v>6</v>
      </c>
      <c r="F386">
        <f t="shared" si="5"/>
        <v>0</v>
      </c>
    </row>
    <row r="387" spans="1:6" x14ac:dyDescent="0.25">
      <c r="A387" s="2">
        <v>386</v>
      </c>
      <c r="B387">
        <v>4</v>
      </c>
      <c r="C387">
        <v>3</v>
      </c>
      <c r="D387">
        <v>1</v>
      </c>
      <c r="E387">
        <v>0</v>
      </c>
      <c r="F387">
        <f t="shared" ref="F387:F421" si="6">IF(E387=0,1,0)</f>
        <v>1</v>
      </c>
    </row>
    <row r="388" spans="1:6" x14ac:dyDescent="0.25">
      <c r="A388" s="2">
        <v>387</v>
      </c>
      <c r="B388">
        <v>4</v>
      </c>
      <c r="C388">
        <v>3</v>
      </c>
      <c r="D388">
        <v>1</v>
      </c>
      <c r="E388">
        <v>1</v>
      </c>
      <c r="F388">
        <f t="shared" si="6"/>
        <v>0</v>
      </c>
    </row>
    <row r="389" spans="1:6" x14ac:dyDescent="0.25">
      <c r="A389" s="2">
        <v>388</v>
      </c>
      <c r="B389">
        <v>4</v>
      </c>
      <c r="C389">
        <v>3</v>
      </c>
      <c r="D389">
        <v>1</v>
      </c>
      <c r="E389">
        <v>2</v>
      </c>
      <c r="F389">
        <f t="shared" si="6"/>
        <v>0</v>
      </c>
    </row>
    <row r="390" spans="1:6" x14ac:dyDescent="0.25">
      <c r="A390" s="2">
        <v>389</v>
      </c>
      <c r="B390">
        <v>4</v>
      </c>
      <c r="C390">
        <v>3</v>
      </c>
      <c r="D390">
        <v>1</v>
      </c>
      <c r="E390">
        <v>3</v>
      </c>
      <c r="F390">
        <f t="shared" si="6"/>
        <v>0</v>
      </c>
    </row>
    <row r="391" spans="1:6" x14ac:dyDescent="0.25">
      <c r="A391" s="2">
        <v>390</v>
      </c>
      <c r="B391">
        <v>4</v>
      </c>
      <c r="C391">
        <v>3</v>
      </c>
      <c r="D391">
        <v>1</v>
      </c>
      <c r="E391">
        <v>4</v>
      </c>
      <c r="F391">
        <f t="shared" si="6"/>
        <v>0</v>
      </c>
    </row>
    <row r="392" spans="1:6" x14ac:dyDescent="0.25">
      <c r="A392" s="2">
        <v>391</v>
      </c>
      <c r="B392">
        <v>4</v>
      </c>
      <c r="C392">
        <v>3</v>
      </c>
      <c r="D392">
        <v>1</v>
      </c>
      <c r="E392">
        <v>5</v>
      </c>
      <c r="F392">
        <f t="shared" si="6"/>
        <v>0</v>
      </c>
    </row>
    <row r="393" spans="1:6" x14ac:dyDescent="0.25">
      <c r="A393" s="2">
        <v>392</v>
      </c>
      <c r="B393">
        <v>4</v>
      </c>
      <c r="C393">
        <v>3</v>
      </c>
      <c r="D393">
        <v>1</v>
      </c>
      <c r="E393">
        <v>6</v>
      </c>
      <c r="F393">
        <f t="shared" si="6"/>
        <v>0</v>
      </c>
    </row>
    <row r="394" spans="1:6" x14ac:dyDescent="0.25">
      <c r="A394" s="2">
        <v>393</v>
      </c>
      <c r="B394">
        <v>4</v>
      </c>
      <c r="C394">
        <v>3</v>
      </c>
      <c r="D394">
        <v>2</v>
      </c>
      <c r="E394">
        <v>0</v>
      </c>
      <c r="F394">
        <f t="shared" si="6"/>
        <v>1</v>
      </c>
    </row>
    <row r="395" spans="1:6" x14ac:dyDescent="0.25">
      <c r="A395" s="2">
        <v>394</v>
      </c>
      <c r="B395">
        <v>4</v>
      </c>
      <c r="C395">
        <v>3</v>
      </c>
      <c r="D395">
        <v>2</v>
      </c>
      <c r="E395">
        <v>1</v>
      </c>
      <c r="F395">
        <f t="shared" si="6"/>
        <v>0</v>
      </c>
    </row>
    <row r="396" spans="1:6" x14ac:dyDescent="0.25">
      <c r="A396" s="2">
        <v>395</v>
      </c>
      <c r="B396">
        <v>4</v>
      </c>
      <c r="C396">
        <v>3</v>
      </c>
      <c r="D396">
        <v>2</v>
      </c>
      <c r="E396">
        <v>2</v>
      </c>
      <c r="F396">
        <f t="shared" si="6"/>
        <v>0</v>
      </c>
    </row>
    <row r="397" spans="1:6" x14ac:dyDescent="0.25">
      <c r="A397" s="2">
        <v>396</v>
      </c>
      <c r="B397">
        <v>4</v>
      </c>
      <c r="C397">
        <v>3</v>
      </c>
      <c r="D397">
        <v>2</v>
      </c>
      <c r="E397">
        <v>3</v>
      </c>
      <c r="F397">
        <f t="shared" si="6"/>
        <v>0</v>
      </c>
    </row>
    <row r="398" spans="1:6" x14ac:dyDescent="0.25">
      <c r="A398" s="2">
        <v>397</v>
      </c>
      <c r="B398">
        <v>4</v>
      </c>
      <c r="C398">
        <v>3</v>
      </c>
      <c r="D398">
        <v>2</v>
      </c>
      <c r="E398">
        <v>4</v>
      </c>
      <c r="F398">
        <f t="shared" si="6"/>
        <v>0</v>
      </c>
    </row>
    <row r="399" spans="1:6" x14ac:dyDescent="0.25">
      <c r="A399" s="2">
        <v>398</v>
      </c>
      <c r="B399">
        <v>4</v>
      </c>
      <c r="C399">
        <v>3</v>
      </c>
      <c r="D399">
        <v>2</v>
      </c>
      <c r="E399">
        <v>5</v>
      </c>
      <c r="F399">
        <f t="shared" si="6"/>
        <v>0</v>
      </c>
    </row>
    <row r="400" spans="1:6" x14ac:dyDescent="0.25">
      <c r="A400" s="2">
        <v>399</v>
      </c>
      <c r="B400">
        <v>4</v>
      </c>
      <c r="C400">
        <v>3</v>
      </c>
      <c r="D400">
        <v>2</v>
      </c>
      <c r="E400">
        <v>6</v>
      </c>
      <c r="F400">
        <f t="shared" si="6"/>
        <v>0</v>
      </c>
    </row>
    <row r="401" spans="1:6" x14ac:dyDescent="0.25">
      <c r="A401" s="2">
        <v>400</v>
      </c>
      <c r="B401">
        <v>4</v>
      </c>
      <c r="C401">
        <v>4</v>
      </c>
      <c r="D401">
        <v>0</v>
      </c>
      <c r="E401">
        <v>0</v>
      </c>
      <c r="F401">
        <f t="shared" si="6"/>
        <v>1</v>
      </c>
    </row>
    <row r="402" spans="1:6" x14ac:dyDescent="0.25">
      <c r="A402" s="2">
        <v>401</v>
      </c>
      <c r="B402">
        <v>4</v>
      </c>
      <c r="C402">
        <v>4</v>
      </c>
      <c r="D402">
        <v>0</v>
      </c>
      <c r="E402">
        <v>1</v>
      </c>
      <c r="F402">
        <f t="shared" si="6"/>
        <v>0</v>
      </c>
    </row>
    <row r="403" spans="1:6" x14ac:dyDescent="0.25">
      <c r="A403" s="2">
        <v>402</v>
      </c>
      <c r="B403">
        <v>4</v>
      </c>
      <c r="C403">
        <v>4</v>
      </c>
      <c r="D403">
        <v>0</v>
      </c>
      <c r="E403">
        <v>2</v>
      </c>
      <c r="F403">
        <f t="shared" si="6"/>
        <v>0</v>
      </c>
    </row>
    <row r="404" spans="1:6" x14ac:dyDescent="0.25">
      <c r="A404" s="2">
        <v>403</v>
      </c>
      <c r="B404">
        <v>4</v>
      </c>
      <c r="C404">
        <v>4</v>
      </c>
      <c r="D404">
        <v>0</v>
      </c>
      <c r="E404">
        <v>3</v>
      </c>
      <c r="F404">
        <f t="shared" si="6"/>
        <v>0</v>
      </c>
    </row>
    <row r="405" spans="1:6" x14ac:dyDescent="0.25">
      <c r="A405" s="2">
        <v>404</v>
      </c>
      <c r="B405">
        <v>4</v>
      </c>
      <c r="C405">
        <v>4</v>
      </c>
      <c r="D405">
        <v>0</v>
      </c>
      <c r="E405">
        <v>4</v>
      </c>
      <c r="F405">
        <f t="shared" si="6"/>
        <v>0</v>
      </c>
    </row>
    <row r="406" spans="1:6" x14ac:dyDescent="0.25">
      <c r="A406" s="2">
        <v>405</v>
      </c>
      <c r="B406">
        <v>4</v>
      </c>
      <c r="C406">
        <v>4</v>
      </c>
      <c r="D406">
        <v>0</v>
      </c>
      <c r="E406">
        <v>5</v>
      </c>
      <c r="F406">
        <f t="shared" si="6"/>
        <v>0</v>
      </c>
    </row>
    <row r="407" spans="1:6" x14ac:dyDescent="0.25">
      <c r="A407" s="2">
        <v>406</v>
      </c>
      <c r="B407">
        <v>4</v>
      </c>
      <c r="C407">
        <v>4</v>
      </c>
      <c r="D407">
        <v>0</v>
      </c>
      <c r="E407">
        <v>6</v>
      </c>
      <c r="F407">
        <f t="shared" si="6"/>
        <v>0</v>
      </c>
    </row>
    <row r="408" spans="1:6" x14ac:dyDescent="0.25">
      <c r="A408" s="2">
        <v>407</v>
      </c>
      <c r="B408">
        <v>4</v>
      </c>
      <c r="C408">
        <v>4</v>
      </c>
      <c r="D408">
        <v>1</v>
      </c>
      <c r="E408">
        <v>0</v>
      </c>
      <c r="F408">
        <f t="shared" si="6"/>
        <v>1</v>
      </c>
    </row>
    <row r="409" spans="1:6" x14ac:dyDescent="0.25">
      <c r="A409" s="2">
        <v>408</v>
      </c>
      <c r="B409">
        <v>4</v>
      </c>
      <c r="C409">
        <v>4</v>
      </c>
      <c r="D409">
        <v>1</v>
      </c>
      <c r="E409">
        <v>1</v>
      </c>
      <c r="F409">
        <f t="shared" si="6"/>
        <v>0</v>
      </c>
    </row>
    <row r="410" spans="1:6" x14ac:dyDescent="0.25">
      <c r="A410" s="2">
        <v>409</v>
      </c>
      <c r="B410">
        <v>4</v>
      </c>
      <c r="C410">
        <v>4</v>
      </c>
      <c r="D410">
        <v>1</v>
      </c>
      <c r="E410">
        <v>2</v>
      </c>
      <c r="F410">
        <f t="shared" si="6"/>
        <v>0</v>
      </c>
    </row>
    <row r="411" spans="1:6" x14ac:dyDescent="0.25">
      <c r="A411" s="2">
        <v>410</v>
      </c>
      <c r="B411">
        <v>4</v>
      </c>
      <c r="C411">
        <v>4</v>
      </c>
      <c r="D411">
        <v>1</v>
      </c>
      <c r="E411">
        <v>3</v>
      </c>
      <c r="F411">
        <f t="shared" si="6"/>
        <v>0</v>
      </c>
    </row>
    <row r="412" spans="1:6" x14ac:dyDescent="0.25">
      <c r="A412" s="2">
        <v>411</v>
      </c>
      <c r="B412">
        <v>4</v>
      </c>
      <c r="C412">
        <v>4</v>
      </c>
      <c r="D412">
        <v>1</v>
      </c>
      <c r="E412">
        <v>4</v>
      </c>
      <c r="F412">
        <f t="shared" si="6"/>
        <v>0</v>
      </c>
    </row>
    <row r="413" spans="1:6" x14ac:dyDescent="0.25">
      <c r="A413" s="2">
        <v>412</v>
      </c>
      <c r="B413">
        <v>4</v>
      </c>
      <c r="C413">
        <v>4</v>
      </c>
      <c r="D413">
        <v>1</v>
      </c>
      <c r="E413">
        <v>5</v>
      </c>
      <c r="F413">
        <f t="shared" si="6"/>
        <v>0</v>
      </c>
    </row>
    <row r="414" spans="1:6" x14ac:dyDescent="0.25">
      <c r="A414" s="2">
        <v>413</v>
      </c>
      <c r="B414">
        <v>4</v>
      </c>
      <c r="C414">
        <v>4</v>
      </c>
      <c r="D414">
        <v>1</v>
      </c>
      <c r="E414">
        <v>6</v>
      </c>
      <c r="F414">
        <f t="shared" si="6"/>
        <v>0</v>
      </c>
    </row>
    <row r="415" spans="1:6" x14ac:dyDescent="0.25">
      <c r="A415" s="2">
        <v>414</v>
      </c>
      <c r="B415">
        <v>4</v>
      </c>
      <c r="C415">
        <v>4</v>
      </c>
      <c r="D415">
        <v>2</v>
      </c>
      <c r="E415">
        <v>0</v>
      </c>
      <c r="F415">
        <f t="shared" si="6"/>
        <v>1</v>
      </c>
    </row>
    <row r="416" spans="1:6" x14ac:dyDescent="0.25">
      <c r="A416" s="2">
        <v>415</v>
      </c>
      <c r="B416">
        <v>4</v>
      </c>
      <c r="C416">
        <v>4</v>
      </c>
      <c r="D416">
        <v>2</v>
      </c>
      <c r="E416">
        <v>1</v>
      </c>
      <c r="F416">
        <f t="shared" si="6"/>
        <v>0</v>
      </c>
    </row>
    <row r="417" spans="1:6" x14ac:dyDescent="0.25">
      <c r="A417" s="2">
        <v>416</v>
      </c>
      <c r="B417">
        <v>4</v>
      </c>
      <c r="C417">
        <v>4</v>
      </c>
      <c r="D417">
        <v>2</v>
      </c>
      <c r="E417">
        <v>2</v>
      </c>
      <c r="F417">
        <f t="shared" si="6"/>
        <v>0</v>
      </c>
    </row>
    <row r="418" spans="1:6" x14ac:dyDescent="0.25">
      <c r="A418" s="2">
        <v>417</v>
      </c>
      <c r="B418">
        <v>4</v>
      </c>
      <c r="C418">
        <v>4</v>
      </c>
      <c r="D418">
        <v>2</v>
      </c>
      <c r="E418">
        <v>3</v>
      </c>
      <c r="F418">
        <f t="shared" si="6"/>
        <v>0</v>
      </c>
    </row>
    <row r="419" spans="1:6" x14ac:dyDescent="0.25">
      <c r="A419" s="2">
        <v>418</v>
      </c>
      <c r="B419">
        <v>4</v>
      </c>
      <c r="C419">
        <v>4</v>
      </c>
      <c r="D419">
        <v>2</v>
      </c>
      <c r="E419">
        <v>4</v>
      </c>
      <c r="F419">
        <f t="shared" si="6"/>
        <v>0</v>
      </c>
    </row>
    <row r="420" spans="1:6" x14ac:dyDescent="0.25">
      <c r="A420" s="2">
        <v>419</v>
      </c>
      <c r="B420">
        <v>4</v>
      </c>
      <c r="C420">
        <v>4</v>
      </c>
      <c r="D420">
        <v>2</v>
      </c>
      <c r="E420">
        <v>5</v>
      </c>
      <c r="F420">
        <f t="shared" si="6"/>
        <v>0</v>
      </c>
    </row>
    <row r="421" spans="1:6" x14ac:dyDescent="0.25">
      <c r="A421" s="2">
        <v>420</v>
      </c>
      <c r="B421">
        <v>4</v>
      </c>
      <c r="C421">
        <v>4</v>
      </c>
      <c r="D421">
        <v>2</v>
      </c>
      <c r="E421">
        <v>6</v>
      </c>
      <c r="F421">
        <f t="shared" si="6"/>
        <v>0</v>
      </c>
    </row>
    <row r="422" spans="1:6" x14ac:dyDescent="0.25">
      <c r="F422">
        <f>SUM(F2:F421)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7"/>
  <sheetViews>
    <sheetView workbookViewId="0">
      <selection activeCell="A2" sqref="A2:PE5"/>
    </sheetView>
  </sheetViews>
  <sheetFormatPr defaultRowHeight="15" x14ac:dyDescent="0.25"/>
  <sheetData>
    <row r="1" spans="1:422" s="2" customFormat="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</row>
    <row r="2" spans="1:422" x14ac:dyDescent="0.25">
      <c r="A2" s="3" t="str">
        <f t="array" ref="A2:PE5">TRANSPOSE(RawInput!B1:E421)</f>
        <v>TG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  <c r="EA2">
        <v>2</v>
      </c>
      <c r="EB2">
        <v>2</v>
      </c>
      <c r="EC2">
        <v>2</v>
      </c>
      <c r="ED2">
        <v>2</v>
      </c>
      <c r="EE2">
        <v>2</v>
      </c>
      <c r="EF2">
        <v>2</v>
      </c>
      <c r="EG2">
        <v>2</v>
      </c>
      <c r="EH2">
        <v>2</v>
      </c>
      <c r="EI2">
        <v>2</v>
      </c>
      <c r="EJ2">
        <v>2</v>
      </c>
      <c r="EK2">
        <v>2</v>
      </c>
      <c r="EL2">
        <v>2</v>
      </c>
      <c r="EM2">
        <v>2</v>
      </c>
      <c r="EN2">
        <v>2</v>
      </c>
      <c r="EO2">
        <v>2</v>
      </c>
      <c r="EP2">
        <v>2</v>
      </c>
      <c r="EQ2">
        <v>2</v>
      </c>
      <c r="ER2">
        <v>2</v>
      </c>
      <c r="ES2">
        <v>2</v>
      </c>
      <c r="ET2">
        <v>2</v>
      </c>
      <c r="EU2">
        <v>2</v>
      </c>
      <c r="EV2">
        <v>2</v>
      </c>
      <c r="EW2">
        <v>2</v>
      </c>
      <c r="EX2">
        <v>2</v>
      </c>
      <c r="EY2">
        <v>2</v>
      </c>
      <c r="EZ2">
        <v>2</v>
      </c>
      <c r="FA2">
        <v>2</v>
      </c>
      <c r="FB2">
        <v>2</v>
      </c>
      <c r="FC2">
        <v>2</v>
      </c>
      <c r="FD2">
        <v>2</v>
      </c>
      <c r="FE2">
        <v>2</v>
      </c>
      <c r="FF2">
        <v>2</v>
      </c>
      <c r="FG2">
        <v>2</v>
      </c>
      <c r="FH2">
        <v>2</v>
      </c>
      <c r="FI2">
        <v>2</v>
      </c>
      <c r="FJ2">
        <v>2</v>
      </c>
      <c r="FK2">
        <v>2</v>
      </c>
      <c r="FL2">
        <v>2</v>
      </c>
      <c r="FM2">
        <v>2</v>
      </c>
      <c r="FN2">
        <v>2</v>
      </c>
      <c r="FO2">
        <v>2</v>
      </c>
      <c r="FP2">
        <v>2</v>
      </c>
      <c r="FQ2">
        <v>2</v>
      </c>
      <c r="FR2">
        <v>2</v>
      </c>
      <c r="FS2">
        <v>2</v>
      </c>
      <c r="FT2">
        <v>2</v>
      </c>
      <c r="FU2">
        <v>2</v>
      </c>
      <c r="FV2">
        <v>2</v>
      </c>
      <c r="FW2">
        <v>2</v>
      </c>
      <c r="FX2">
        <v>2</v>
      </c>
      <c r="FY2">
        <v>2</v>
      </c>
      <c r="FZ2">
        <v>2</v>
      </c>
      <c r="GA2">
        <v>2</v>
      </c>
      <c r="GB2">
        <v>2</v>
      </c>
      <c r="GC2">
        <v>2</v>
      </c>
      <c r="GD2">
        <v>2</v>
      </c>
      <c r="GE2">
        <v>2</v>
      </c>
      <c r="GF2">
        <v>2</v>
      </c>
      <c r="GG2">
        <v>2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N2">
        <v>2</v>
      </c>
      <c r="GO2">
        <v>2</v>
      </c>
      <c r="GP2">
        <v>2</v>
      </c>
      <c r="GQ2">
        <v>2</v>
      </c>
      <c r="GR2">
        <v>2</v>
      </c>
      <c r="GS2">
        <v>2</v>
      </c>
      <c r="GT2">
        <v>2</v>
      </c>
      <c r="GU2">
        <v>2</v>
      </c>
      <c r="GV2">
        <v>2</v>
      </c>
      <c r="GW2">
        <v>2</v>
      </c>
      <c r="GX2">
        <v>2</v>
      </c>
      <c r="GY2">
        <v>2</v>
      </c>
      <c r="GZ2">
        <v>2</v>
      </c>
      <c r="HA2">
        <v>2</v>
      </c>
      <c r="HB2">
        <v>2</v>
      </c>
      <c r="HC2">
        <v>2</v>
      </c>
      <c r="HD2">
        <v>3</v>
      </c>
      <c r="HE2">
        <v>3</v>
      </c>
      <c r="HF2">
        <v>3</v>
      </c>
      <c r="HG2">
        <v>3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3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3</v>
      </c>
      <c r="HW2">
        <v>3</v>
      </c>
      <c r="HX2">
        <v>3</v>
      </c>
      <c r="HY2">
        <v>3</v>
      </c>
      <c r="HZ2">
        <v>3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3</v>
      </c>
      <c r="IH2">
        <v>3</v>
      </c>
      <c r="II2">
        <v>3</v>
      </c>
      <c r="IJ2">
        <v>3</v>
      </c>
      <c r="IK2">
        <v>3</v>
      </c>
      <c r="IL2">
        <v>3</v>
      </c>
      <c r="IM2">
        <v>3</v>
      </c>
      <c r="IN2">
        <v>3</v>
      </c>
      <c r="IO2">
        <v>3</v>
      </c>
      <c r="IP2">
        <v>3</v>
      </c>
      <c r="IQ2">
        <v>3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3</v>
      </c>
      <c r="JD2">
        <v>3</v>
      </c>
      <c r="JE2">
        <v>3</v>
      </c>
      <c r="JF2">
        <v>3</v>
      </c>
      <c r="JG2">
        <v>3</v>
      </c>
      <c r="JH2">
        <v>3</v>
      </c>
      <c r="JI2">
        <v>3</v>
      </c>
      <c r="JJ2">
        <v>3</v>
      </c>
      <c r="JK2">
        <v>3</v>
      </c>
      <c r="JL2">
        <v>3</v>
      </c>
      <c r="JM2">
        <v>3</v>
      </c>
      <c r="JN2">
        <v>3</v>
      </c>
      <c r="JO2">
        <v>3</v>
      </c>
      <c r="JP2">
        <v>3</v>
      </c>
      <c r="JQ2">
        <v>3</v>
      </c>
      <c r="JR2">
        <v>3</v>
      </c>
      <c r="JS2">
        <v>3</v>
      </c>
      <c r="JT2">
        <v>3</v>
      </c>
      <c r="JU2">
        <v>3</v>
      </c>
      <c r="JV2">
        <v>3</v>
      </c>
      <c r="JW2">
        <v>3</v>
      </c>
      <c r="JX2">
        <v>3</v>
      </c>
      <c r="JY2">
        <v>3</v>
      </c>
      <c r="JZ2">
        <v>3</v>
      </c>
      <c r="KA2">
        <v>3</v>
      </c>
      <c r="KB2">
        <v>3</v>
      </c>
      <c r="KC2">
        <v>3</v>
      </c>
      <c r="KD2">
        <v>3</v>
      </c>
      <c r="KE2">
        <v>3</v>
      </c>
      <c r="KF2">
        <v>3</v>
      </c>
      <c r="KG2">
        <v>3</v>
      </c>
      <c r="KH2">
        <v>3</v>
      </c>
      <c r="KI2">
        <v>3</v>
      </c>
      <c r="KJ2">
        <v>3</v>
      </c>
      <c r="KK2">
        <v>3</v>
      </c>
      <c r="KL2">
        <v>3</v>
      </c>
      <c r="KM2">
        <v>3</v>
      </c>
      <c r="KN2">
        <v>3</v>
      </c>
      <c r="KO2">
        <v>3</v>
      </c>
      <c r="KP2">
        <v>3</v>
      </c>
      <c r="KQ2">
        <v>3</v>
      </c>
      <c r="KR2">
        <v>3</v>
      </c>
      <c r="KS2">
        <v>3</v>
      </c>
      <c r="KT2">
        <v>3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3</v>
      </c>
      <c r="LB2">
        <v>3</v>
      </c>
      <c r="LC2">
        <v>3</v>
      </c>
      <c r="LD2">
        <v>3</v>
      </c>
      <c r="LE2">
        <v>4</v>
      </c>
      <c r="LF2">
        <v>4</v>
      </c>
      <c r="LG2">
        <v>4</v>
      </c>
      <c r="LH2">
        <v>4</v>
      </c>
      <c r="LI2">
        <v>4</v>
      </c>
      <c r="LJ2">
        <v>4</v>
      </c>
      <c r="LK2">
        <v>4</v>
      </c>
      <c r="LL2">
        <v>4</v>
      </c>
      <c r="LM2">
        <v>4</v>
      </c>
      <c r="LN2">
        <v>4</v>
      </c>
      <c r="LO2">
        <v>4</v>
      </c>
      <c r="LP2">
        <v>4</v>
      </c>
      <c r="LQ2">
        <v>4</v>
      </c>
      <c r="LR2">
        <v>4</v>
      </c>
      <c r="LS2">
        <v>4</v>
      </c>
      <c r="LT2">
        <v>4</v>
      </c>
      <c r="LU2">
        <v>4</v>
      </c>
      <c r="LV2">
        <v>4</v>
      </c>
      <c r="LW2">
        <v>4</v>
      </c>
      <c r="LX2">
        <v>4</v>
      </c>
      <c r="LY2">
        <v>4</v>
      </c>
      <c r="LZ2">
        <v>4</v>
      </c>
      <c r="MA2">
        <v>4</v>
      </c>
      <c r="MB2">
        <v>4</v>
      </c>
      <c r="MC2">
        <v>4</v>
      </c>
      <c r="MD2">
        <v>4</v>
      </c>
      <c r="ME2">
        <v>4</v>
      </c>
      <c r="MF2">
        <v>4</v>
      </c>
      <c r="MG2">
        <v>4</v>
      </c>
      <c r="MH2">
        <v>4</v>
      </c>
      <c r="MI2">
        <v>4</v>
      </c>
      <c r="MJ2">
        <v>4</v>
      </c>
      <c r="MK2">
        <v>4</v>
      </c>
      <c r="ML2">
        <v>4</v>
      </c>
      <c r="MM2">
        <v>4</v>
      </c>
      <c r="MN2">
        <v>4</v>
      </c>
      <c r="MO2">
        <v>4</v>
      </c>
      <c r="MP2">
        <v>4</v>
      </c>
      <c r="MQ2">
        <v>4</v>
      </c>
      <c r="MR2">
        <v>4</v>
      </c>
      <c r="MS2">
        <v>4</v>
      </c>
      <c r="MT2">
        <v>4</v>
      </c>
      <c r="MU2">
        <v>4</v>
      </c>
      <c r="MV2">
        <v>4</v>
      </c>
      <c r="MW2">
        <v>4</v>
      </c>
      <c r="MX2">
        <v>4</v>
      </c>
      <c r="MY2">
        <v>4</v>
      </c>
      <c r="MZ2">
        <v>4</v>
      </c>
      <c r="NA2">
        <v>4</v>
      </c>
      <c r="NB2">
        <v>4</v>
      </c>
      <c r="NC2">
        <v>4</v>
      </c>
      <c r="ND2">
        <v>4</v>
      </c>
      <c r="NE2">
        <v>4</v>
      </c>
      <c r="NF2">
        <v>4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4</v>
      </c>
      <c r="NW2">
        <v>4</v>
      </c>
      <c r="NX2">
        <v>4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4</v>
      </c>
      <c r="OP2">
        <v>4</v>
      </c>
      <c r="OQ2">
        <v>4</v>
      </c>
      <c r="OR2">
        <v>4</v>
      </c>
      <c r="OS2">
        <v>4</v>
      </c>
      <c r="OT2">
        <v>4</v>
      </c>
      <c r="OU2">
        <v>4</v>
      </c>
      <c r="OV2">
        <v>4</v>
      </c>
      <c r="OW2">
        <v>4</v>
      </c>
      <c r="OX2">
        <v>4</v>
      </c>
      <c r="OY2">
        <v>4</v>
      </c>
      <c r="OZ2">
        <v>4</v>
      </c>
      <c r="PA2">
        <v>4</v>
      </c>
      <c r="PB2">
        <v>4</v>
      </c>
      <c r="PC2">
        <v>4</v>
      </c>
      <c r="PD2">
        <v>4</v>
      </c>
      <c r="PE2">
        <v>4</v>
      </c>
    </row>
    <row r="3" spans="1:422" x14ac:dyDescent="0.25">
      <c r="A3" s="3" t="str">
        <v>Co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4</v>
      </c>
      <c r="DA3">
        <v>4</v>
      </c>
      <c r="DB3">
        <v>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2</v>
      </c>
      <c r="ET3">
        <v>2</v>
      </c>
      <c r="EU3">
        <v>2</v>
      </c>
      <c r="EV3">
        <v>2</v>
      </c>
      <c r="EW3">
        <v>2</v>
      </c>
      <c r="EX3">
        <v>2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2</v>
      </c>
      <c r="FF3">
        <v>2</v>
      </c>
      <c r="FG3">
        <v>2</v>
      </c>
      <c r="FH3">
        <v>2</v>
      </c>
      <c r="FI3">
        <v>2</v>
      </c>
      <c r="FJ3">
        <v>2</v>
      </c>
      <c r="FK3">
        <v>2</v>
      </c>
      <c r="FL3">
        <v>2</v>
      </c>
      <c r="FM3">
        <v>2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3</v>
      </c>
      <c r="GA3">
        <v>3</v>
      </c>
      <c r="GB3">
        <v>3</v>
      </c>
      <c r="GC3">
        <v>3</v>
      </c>
      <c r="GD3">
        <v>3</v>
      </c>
      <c r="GE3">
        <v>3</v>
      </c>
      <c r="GF3">
        <v>3</v>
      </c>
      <c r="GG3">
        <v>3</v>
      </c>
      <c r="GH3">
        <v>3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4</v>
      </c>
      <c r="GR3">
        <v>4</v>
      </c>
      <c r="GS3">
        <v>4</v>
      </c>
      <c r="GT3">
        <v>4</v>
      </c>
      <c r="GU3">
        <v>4</v>
      </c>
      <c r="GV3">
        <v>4</v>
      </c>
      <c r="GW3">
        <v>4</v>
      </c>
      <c r="GX3">
        <v>4</v>
      </c>
      <c r="GY3">
        <v>4</v>
      </c>
      <c r="GZ3">
        <v>4</v>
      </c>
      <c r="HA3">
        <v>4</v>
      </c>
      <c r="HB3">
        <v>4</v>
      </c>
      <c r="HC3">
        <v>4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2</v>
      </c>
      <c r="IU3">
        <v>2</v>
      </c>
      <c r="IV3">
        <v>2</v>
      </c>
      <c r="IW3">
        <v>2</v>
      </c>
      <c r="IX3">
        <v>2</v>
      </c>
      <c r="IY3">
        <v>2</v>
      </c>
      <c r="IZ3">
        <v>2</v>
      </c>
      <c r="JA3">
        <v>2</v>
      </c>
      <c r="JB3">
        <v>2</v>
      </c>
      <c r="JC3">
        <v>2</v>
      </c>
      <c r="JD3">
        <v>2</v>
      </c>
      <c r="JE3">
        <v>2</v>
      </c>
      <c r="JF3">
        <v>2</v>
      </c>
      <c r="JG3">
        <v>2</v>
      </c>
      <c r="JH3">
        <v>2</v>
      </c>
      <c r="JI3">
        <v>2</v>
      </c>
      <c r="JJ3">
        <v>2</v>
      </c>
      <c r="JK3">
        <v>2</v>
      </c>
      <c r="JL3">
        <v>2</v>
      </c>
      <c r="JM3">
        <v>2</v>
      </c>
      <c r="JN3">
        <v>2</v>
      </c>
      <c r="JO3">
        <v>3</v>
      </c>
      <c r="JP3">
        <v>3</v>
      </c>
      <c r="JQ3">
        <v>3</v>
      </c>
      <c r="JR3">
        <v>3</v>
      </c>
      <c r="JS3">
        <v>3</v>
      </c>
      <c r="JT3">
        <v>3</v>
      </c>
      <c r="JU3">
        <v>3</v>
      </c>
      <c r="JV3">
        <v>3</v>
      </c>
      <c r="JW3">
        <v>3</v>
      </c>
      <c r="JX3">
        <v>3</v>
      </c>
      <c r="JY3">
        <v>3</v>
      </c>
      <c r="JZ3">
        <v>3</v>
      </c>
      <c r="KA3">
        <v>3</v>
      </c>
      <c r="KB3">
        <v>3</v>
      </c>
      <c r="KC3">
        <v>3</v>
      </c>
      <c r="KD3">
        <v>3</v>
      </c>
      <c r="KE3">
        <v>3</v>
      </c>
      <c r="KF3">
        <v>3</v>
      </c>
      <c r="KG3">
        <v>3</v>
      </c>
      <c r="KH3">
        <v>3</v>
      </c>
      <c r="KI3">
        <v>3</v>
      </c>
      <c r="KJ3">
        <v>4</v>
      </c>
      <c r="KK3">
        <v>4</v>
      </c>
      <c r="KL3">
        <v>4</v>
      </c>
      <c r="KM3">
        <v>4</v>
      </c>
      <c r="KN3">
        <v>4</v>
      </c>
      <c r="KO3">
        <v>4</v>
      </c>
      <c r="KP3">
        <v>4</v>
      </c>
      <c r="KQ3">
        <v>4</v>
      </c>
      <c r="KR3">
        <v>4</v>
      </c>
      <c r="KS3">
        <v>4</v>
      </c>
      <c r="KT3">
        <v>4</v>
      </c>
      <c r="KU3">
        <v>4</v>
      </c>
      <c r="KV3">
        <v>4</v>
      </c>
      <c r="KW3">
        <v>4</v>
      </c>
      <c r="KX3">
        <v>4</v>
      </c>
      <c r="KY3">
        <v>4</v>
      </c>
      <c r="KZ3">
        <v>4</v>
      </c>
      <c r="LA3">
        <v>4</v>
      </c>
      <c r="LB3">
        <v>4</v>
      </c>
      <c r="LC3">
        <v>4</v>
      </c>
      <c r="LD3">
        <v>4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2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2</v>
      </c>
      <c r="NC3">
        <v>2</v>
      </c>
      <c r="ND3">
        <v>2</v>
      </c>
      <c r="NE3">
        <v>2</v>
      </c>
      <c r="NF3">
        <v>2</v>
      </c>
      <c r="NG3">
        <v>2</v>
      </c>
      <c r="NH3">
        <v>2</v>
      </c>
      <c r="NI3">
        <v>2</v>
      </c>
      <c r="NJ3">
        <v>2</v>
      </c>
      <c r="NK3">
        <v>2</v>
      </c>
      <c r="NL3">
        <v>2</v>
      </c>
      <c r="NM3">
        <v>2</v>
      </c>
      <c r="NN3">
        <v>2</v>
      </c>
      <c r="NO3">
        <v>2</v>
      </c>
      <c r="NP3">
        <v>3</v>
      </c>
      <c r="NQ3">
        <v>3</v>
      </c>
      <c r="NR3">
        <v>3</v>
      </c>
      <c r="NS3">
        <v>3</v>
      </c>
      <c r="NT3">
        <v>3</v>
      </c>
      <c r="NU3">
        <v>3</v>
      </c>
      <c r="NV3">
        <v>3</v>
      </c>
      <c r="NW3">
        <v>3</v>
      </c>
      <c r="NX3">
        <v>3</v>
      </c>
      <c r="NY3">
        <v>3</v>
      </c>
      <c r="NZ3">
        <v>3</v>
      </c>
      <c r="OA3">
        <v>3</v>
      </c>
      <c r="OB3">
        <v>3</v>
      </c>
      <c r="OC3">
        <v>3</v>
      </c>
      <c r="OD3">
        <v>3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4</v>
      </c>
      <c r="OX3">
        <v>4</v>
      </c>
      <c r="OY3">
        <v>4</v>
      </c>
      <c r="OZ3">
        <v>4</v>
      </c>
      <c r="PA3">
        <v>4</v>
      </c>
      <c r="PB3">
        <v>4</v>
      </c>
      <c r="PC3">
        <v>4</v>
      </c>
      <c r="PD3">
        <v>4</v>
      </c>
      <c r="PE3">
        <v>4</v>
      </c>
    </row>
    <row r="4" spans="1:422" x14ac:dyDescent="0.25">
      <c r="A4" s="3" t="str">
        <v>Tv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2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2</v>
      </c>
      <c r="JI4">
        <v>2</v>
      </c>
      <c r="JJ4">
        <v>2</v>
      </c>
      <c r="JK4">
        <v>2</v>
      </c>
      <c r="JL4">
        <v>2</v>
      </c>
      <c r="JM4">
        <v>2</v>
      </c>
      <c r="JN4">
        <v>2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2</v>
      </c>
      <c r="KD4">
        <v>2</v>
      </c>
      <c r="KE4">
        <v>2</v>
      </c>
      <c r="KF4">
        <v>2</v>
      </c>
      <c r="KG4">
        <v>2</v>
      </c>
      <c r="KH4">
        <v>2</v>
      </c>
      <c r="KI4">
        <v>2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2</v>
      </c>
      <c r="KY4">
        <v>2</v>
      </c>
      <c r="KZ4">
        <v>2</v>
      </c>
      <c r="LA4">
        <v>2</v>
      </c>
      <c r="LB4">
        <v>2</v>
      </c>
      <c r="LC4">
        <v>2</v>
      </c>
      <c r="LD4">
        <v>2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2</v>
      </c>
      <c r="LT4">
        <v>2</v>
      </c>
      <c r="LU4">
        <v>2</v>
      </c>
      <c r="LV4">
        <v>2</v>
      </c>
      <c r="LW4">
        <v>2</v>
      </c>
      <c r="LX4">
        <v>2</v>
      </c>
      <c r="LY4">
        <v>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2</v>
      </c>
      <c r="MO4">
        <v>2</v>
      </c>
      <c r="MP4">
        <v>2</v>
      </c>
      <c r="MQ4">
        <v>2</v>
      </c>
      <c r="MR4">
        <v>2</v>
      </c>
      <c r="MS4">
        <v>2</v>
      </c>
      <c r="MT4">
        <v>2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2</v>
      </c>
      <c r="NJ4">
        <v>2</v>
      </c>
      <c r="NK4">
        <v>2</v>
      </c>
      <c r="NL4">
        <v>2</v>
      </c>
      <c r="NM4">
        <v>2</v>
      </c>
      <c r="NN4">
        <v>2</v>
      </c>
      <c r="NO4">
        <v>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2</v>
      </c>
      <c r="OE4">
        <v>2</v>
      </c>
      <c r="OF4">
        <v>2</v>
      </c>
      <c r="OG4">
        <v>2</v>
      </c>
      <c r="OH4">
        <v>2</v>
      </c>
      <c r="OI4">
        <v>2</v>
      </c>
      <c r="OJ4">
        <v>2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2</v>
      </c>
      <c r="OZ4">
        <v>2</v>
      </c>
      <c r="PA4">
        <v>2</v>
      </c>
      <c r="PB4">
        <v>2</v>
      </c>
      <c r="PC4">
        <v>2</v>
      </c>
      <c r="PD4">
        <v>2</v>
      </c>
      <c r="PE4">
        <v>2</v>
      </c>
    </row>
    <row r="5" spans="1:422" x14ac:dyDescent="0.25">
      <c r="A5" s="3" t="str">
        <v>GE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0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0</v>
      </c>
      <c r="Q5">
        <v>1</v>
      </c>
      <c r="R5">
        <v>2</v>
      </c>
      <c r="S5">
        <v>3</v>
      </c>
      <c r="T5">
        <v>4</v>
      </c>
      <c r="U5">
        <v>5</v>
      </c>
      <c r="V5">
        <v>6</v>
      </c>
      <c r="W5">
        <v>0</v>
      </c>
      <c r="X5">
        <v>1</v>
      </c>
      <c r="Y5">
        <v>2</v>
      </c>
      <c r="Z5">
        <v>3</v>
      </c>
      <c r="AA5">
        <v>4</v>
      </c>
      <c r="AB5">
        <v>5</v>
      </c>
      <c r="AC5">
        <v>6</v>
      </c>
      <c r="AD5">
        <v>0</v>
      </c>
      <c r="AE5">
        <v>1</v>
      </c>
      <c r="AF5">
        <v>2</v>
      </c>
      <c r="AG5">
        <v>3</v>
      </c>
      <c r="AH5">
        <v>4</v>
      </c>
      <c r="AI5">
        <v>5</v>
      </c>
      <c r="AJ5">
        <v>6</v>
      </c>
      <c r="AK5">
        <v>0</v>
      </c>
      <c r="AL5">
        <v>1</v>
      </c>
      <c r="AM5">
        <v>2</v>
      </c>
      <c r="AN5">
        <v>3</v>
      </c>
      <c r="AO5">
        <v>4</v>
      </c>
      <c r="AP5">
        <v>5</v>
      </c>
      <c r="AQ5">
        <v>6</v>
      </c>
      <c r="AR5">
        <v>0</v>
      </c>
      <c r="AS5">
        <v>1</v>
      </c>
      <c r="AT5">
        <v>2</v>
      </c>
      <c r="AU5">
        <v>3</v>
      </c>
      <c r="AV5">
        <v>4</v>
      </c>
      <c r="AW5">
        <v>5</v>
      </c>
      <c r="AX5">
        <v>6</v>
      </c>
      <c r="AY5">
        <v>0</v>
      </c>
      <c r="AZ5">
        <v>1</v>
      </c>
      <c r="BA5">
        <v>2</v>
      </c>
      <c r="BB5">
        <v>3</v>
      </c>
      <c r="BC5">
        <v>4</v>
      </c>
      <c r="BD5">
        <v>5</v>
      </c>
      <c r="BE5">
        <v>6</v>
      </c>
      <c r="BF5">
        <v>0</v>
      </c>
      <c r="BG5">
        <v>1</v>
      </c>
      <c r="BH5">
        <v>2</v>
      </c>
      <c r="BI5">
        <v>3</v>
      </c>
      <c r="BJ5">
        <v>4</v>
      </c>
      <c r="BK5">
        <v>5</v>
      </c>
      <c r="BL5">
        <v>6</v>
      </c>
      <c r="BM5">
        <v>0</v>
      </c>
      <c r="BN5">
        <v>1</v>
      </c>
      <c r="BO5">
        <v>2</v>
      </c>
      <c r="BP5">
        <v>3</v>
      </c>
      <c r="BQ5">
        <v>4</v>
      </c>
      <c r="BR5">
        <v>5</v>
      </c>
      <c r="BS5">
        <v>6</v>
      </c>
      <c r="BT5">
        <v>0</v>
      </c>
      <c r="BU5">
        <v>1</v>
      </c>
      <c r="BV5">
        <v>2</v>
      </c>
      <c r="BW5">
        <v>3</v>
      </c>
      <c r="BX5">
        <v>4</v>
      </c>
      <c r="BY5">
        <v>5</v>
      </c>
      <c r="BZ5">
        <v>6</v>
      </c>
      <c r="CA5">
        <v>0</v>
      </c>
      <c r="CB5">
        <v>1</v>
      </c>
      <c r="CC5">
        <v>2</v>
      </c>
      <c r="CD5">
        <v>3</v>
      </c>
      <c r="CE5">
        <v>4</v>
      </c>
      <c r="CF5">
        <v>5</v>
      </c>
      <c r="CG5">
        <v>6</v>
      </c>
      <c r="CH5">
        <v>0</v>
      </c>
      <c r="CI5">
        <v>1</v>
      </c>
      <c r="CJ5">
        <v>2</v>
      </c>
      <c r="CK5">
        <v>3</v>
      </c>
      <c r="CL5">
        <v>4</v>
      </c>
      <c r="CM5">
        <v>5</v>
      </c>
      <c r="CN5">
        <v>6</v>
      </c>
      <c r="CO5">
        <v>0</v>
      </c>
      <c r="CP5">
        <v>1</v>
      </c>
      <c r="CQ5">
        <v>2</v>
      </c>
      <c r="CR5">
        <v>3</v>
      </c>
      <c r="CS5">
        <v>4</v>
      </c>
      <c r="CT5">
        <v>5</v>
      </c>
      <c r="CU5">
        <v>6</v>
      </c>
      <c r="CV5">
        <v>0</v>
      </c>
      <c r="CW5">
        <v>1</v>
      </c>
      <c r="CX5">
        <v>2</v>
      </c>
      <c r="CY5">
        <v>3</v>
      </c>
      <c r="CZ5">
        <v>4</v>
      </c>
      <c r="DA5">
        <v>5</v>
      </c>
      <c r="DB5">
        <v>6</v>
      </c>
      <c r="DC5">
        <v>0</v>
      </c>
      <c r="DD5">
        <v>1</v>
      </c>
      <c r="DE5">
        <v>2</v>
      </c>
      <c r="DF5">
        <v>3</v>
      </c>
      <c r="DG5">
        <v>4</v>
      </c>
      <c r="DH5">
        <v>5</v>
      </c>
      <c r="DI5">
        <v>6</v>
      </c>
      <c r="DJ5">
        <v>0</v>
      </c>
      <c r="DK5">
        <v>1</v>
      </c>
      <c r="DL5">
        <v>2</v>
      </c>
      <c r="DM5">
        <v>3</v>
      </c>
      <c r="DN5">
        <v>4</v>
      </c>
      <c r="DO5">
        <v>5</v>
      </c>
      <c r="DP5">
        <v>6</v>
      </c>
      <c r="DQ5">
        <v>0</v>
      </c>
      <c r="DR5">
        <v>1</v>
      </c>
      <c r="DS5">
        <v>2</v>
      </c>
      <c r="DT5">
        <v>3</v>
      </c>
      <c r="DU5">
        <v>4</v>
      </c>
      <c r="DV5">
        <v>5</v>
      </c>
      <c r="DW5">
        <v>6</v>
      </c>
      <c r="DX5">
        <v>0</v>
      </c>
      <c r="DY5">
        <v>1</v>
      </c>
      <c r="DZ5">
        <v>2</v>
      </c>
      <c r="EA5">
        <v>3</v>
      </c>
      <c r="EB5">
        <v>4</v>
      </c>
      <c r="EC5">
        <v>5</v>
      </c>
      <c r="ED5">
        <v>6</v>
      </c>
      <c r="EE5">
        <v>0</v>
      </c>
      <c r="EF5">
        <v>1</v>
      </c>
      <c r="EG5">
        <v>2</v>
      </c>
      <c r="EH5">
        <v>3</v>
      </c>
      <c r="EI5">
        <v>4</v>
      </c>
      <c r="EJ5">
        <v>5</v>
      </c>
      <c r="EK5">
        <v>6</v>
      </c>
      <c r="EL5">
        <v>0</v>
      </c>
      <c r="EM5">
        <v>1</v>
      </c>
      <c r="EN5">
        <v>2</v>
      </c>
      <c r="EO5">
        <v>3</v>
      </c>
      <c r="EP5">
        <v>4</v>
      </c>
      <c r="EQ5">
        <v>5</v>
      </c>
      <c r="ER5">
        <v>6</v>
      </c>
      <c r="ES5">
        <v>0</v>
      </c>
      <c r="ET5">
        <v>1</v>
      </c>
      <c r="EU5">
        <v>2</v>
      </c>
      <c r="EV5">
        <v>3</v>
      </c>
      <c r="EW5">
        <v>4</v>
      </c>
      <c r="EX5">
        <v>5</v>
      </c>
      <c r="EY5">
        <v>6</v>
      </c>
      <c r="EZ5">
        <v>0</v>
      </c>
      <c r="FA5">
        <v>1</v>
      </c>
      <c r="FB5">
        <v>2</v>
      </c>
      <c r="FC5">
        <v>3</v>
      </c>
      <c r="FD5">
        <v>4</v>
      </c>
      <c r="FE5">
        <v>5</v>
      </c>
      <c r="FF5">
        <v>6</v>
      </c>
      <c r="FG5">
        <v>0</v>
      </c>
      <c r="FH5">
        <v>1</v>
      </c>
      <c r="FI5">
        <v>2</v>
      </c>
      <c r="FJ5">
        <v>3</v>
      </c>
      <c r="FK5">
        <v>4</v>
      </c>
      <c r="FL5">
        <v>5</v>
      </c>
      <c r="FM5">
        <v>6</v>
      </c>
      <c r="FN5">
        <v>0</v>
      </c>
      <c r="FO5">
        <v>1</v>
      </c>
      <c r="FP5">
        <v>2</v>
      </c>
      <c r="FQ5">
        <v>3</v>
      </c>
      <c r="FR5">
        <v>4</v>
      </c>
      <c r="FS5">
        <v>5</v>
      </c>
      <c r="FT5">
        <v>6</v>
      </c>
      <c r="FU5">
        <v>0</v>
      </c>
      <c r="FV5">
        <v>1</v>
      </c>
      <c r="FW5">
        <v>2</v>
      </c>
      <c r="FX5">
        <v>3</v>
      </c>
      <c r="FY5">
        <v>4</v>
      </c>
      <c r="FZ5">
        <v>5</v>
      </c>
      <c r="GA5">
        <v>6</v>
      </c>
      <c r="GB5">
        <v>0</v>
      </c>
      <c r="GC5">
        <v>1</v>
      </c>
      <c r="GD5">
        <v>2</v>
      </c>
      <c r="GE5">
        <v>3</v>
      </c>
      <c r="GF5">
        <v>4</v>
      </c>
      <c r="GG5">
        <v>5</v>
      </c>
      <c r="GH5">
        <v>6</v>
      </c>
      <c r="GI5">
        <v>0</v>
      </c>
      <c r="GJ5">
        <v>1</v>
      </c>
      <c r="GK5">
        <v>2</v>
      </c>
      <c r="GL5">
        <v>3</v>
      </c>
      <c r="GM5">
        <v>4</v>
      </c>
      <c r="GN5">
        <v>5</v>
      </c>
      <c r="GO5">
        <v>6</v>
      </c>
      <c r="GP5">
        <v>0</v>
      </c>
      <c r="GQ5">
        <v>1</v>
      </c>
      <c r="GR5">
        <v>2</v>
      </c>
      <c r="GS5">
        <v>3</v>
      </c>
      <c r="GT5">
        <v>4</v>
      </c>
      <c r="GU5">
        <v>5</v>
      </c>
      <c r="GV5">
        <v>6</v>
      </c>
      <c r="GW5">
        <v>0</v>
      </c>
      <c r="GX5">
        <v>1</v>
      </c>
      <c r="GY5">
        <v>2</v>
      </c>
      <c r="GZ5">
        <v>3</v>
      </c>
      <c r="HA5">
        <v>4</v>
      </c>
      <c r="HB5">
        <v>5</v>
      </c>
      <c r="HC5">
        <v>6</v>
      </c>
      <c r="HD5">
        <v>0</v>
      </c>
      <c r="HE5">
        <v>1</v>
      </c>
      <c r="HF5">
        <v>2</v>
      </c>
      <c r="HG5">
        <v>3</v>
      </c>
      <c r="HH5">
        <v>4</v>
      </c>
      <c r="HI5">
        <v>5</v>
      </c>
      <c r="HJ5">
        <v>6</v>
      </c>
      <c r="HK5">
        <v>0</v>
      </c>
      <c r="HL5">
        <v>1</v>
      </c>
      <c r="HM5">
        <v>2</v>
      </c>
      <c r="HN5">
        <v>3</v>
      </c>
      <c r="HO5">
        <v>4</v>
      </c>
      <c r="HP5">
        <v>5</v>
      </c>
      <c r="HQ5">
        <v>6</v>
      </c>
      <c r="HR5">
        <v>0</v>
      </c>
      <c r="HS5">
        <v>1</v>
      </c>
      <c r="HT5">
        <v>2</v>
      </c>
      <c r="HU5">
        <v>3</v>
      </c>
      <c r="HV5">
        <v>4</v>
      </c>
      <c r="HW5">
        <v>5</v>
      </c>
      <c r="HX5">
        <v>6</v>
      </c>
      <c r="HY5">
        <v>0</v>
      </c>
      <c r="HZ5">
        <v>1</v>
      </c>
      <c r="IA5">
        <v>2</v>
      </c>
      <c r="IB5">
        <v>3</v>
      </c>
      <c r="IC5">
        <v>4</v>
      </c>
      <c r="ID5">
        <v>5</v>
      </c>
      <c r="IE5">
        <v>6</v>
      </c>
      <c r="IF5">
        <v>0</v>
      </c>
      <c r="IG5">
        <v>1</v>
      </c>
      <c r="IH5">
        <v>2</v>
      </c>
      <c r="II5">
        <v>3</v>
      </c>
      <c r="IJ5">
        <v>4</v>
      </c>
      <c r="IK5">
        <v>5</v>
      </c>
      <c r="IL5">
        <v>6</v>
      </c>
      <c r="IM5">
        <v>0</v>
      </c>
      <c r="IN5">
        <v>1</v>
      </c>
      <c r="IO5">
        <v>2</v>
      </c>
      <c r="IP5">
        <v>3</v>
      </c>
      <c r="IQ5">
        <v>4</v>
      </c>
      <c r="IR5">
        <v>5</v>
      </c>
      <c r="IS5">
        <v>6</v>
      </c>
      <c r="IT5">
        <v>0</v>
      </c>
      <c r="IU5">
        <v>1</v>
      </c>
      <c r="IV5">
        <v>2</v>
      </c>
      <c r="IW5">
        <v>3</v>
      </c>
      <c r="IX5">
        <v>4</v>
      </c>
      <c r="IY5">
        <v>5</v>
      </c>
      <c r="IZ5">
        <v>6</v>
      </c>
      <c r="JA5">
        <v>0</v>
      </c>
      <c r="JB5">
        <v>1</v>
      </c>
      <c r="JC5">
        <v>2</v>
      </c>
      <c r="JD5">
        <v>3</v>
      </c>
      <c r="JE5">
        <v>4</v>
      </c>
      <c r="JF5">
        <v>5</v>
      </c>
      <c r="JG5">
        <v>6</v>
      </c>
      <c r="JH5">
        <v>0</v>
      </c>
      <c r="JI5">
        <v>1</v>
      </c>
      <c r="JJ5">
        <v>2</v>
      </c>
      <c r="JK5">
        <v>3</v>
      </c>
      <c r="JL5">
        <v>4</v>
      </c>
      <c r="JM5">
        <v>5</v>
      </c>
      <c r="JN5">
        <v>6</v>
      </c>
      <c r="JO5">
        <v>0</v>
      </c>
      <c r="JP5">
        <v>1</v>
      </c>
      <c r="JQ5">
        <v>2</v>
      </c>
      <c r="JR5">
        <v>3</v>
      </c>
      <c r="JS5">
        <v>4</v>
      </c>
      <c r="JT5">
        <v>5</v>
      </c>
      <c r="JU5">
        <v>6</v>
      </c>
      <c r="JV5">
        <v>0</v>
      </c>
      <c r="JW5">
        <v>1</v>
      </c>
      <c r="JX5">
        <v>2</v>
      </c>
      <c r="JY5">
        <v>3</v>
      </c>
      <c r="JZ5">
        <v>4</v>
      </c>
      <c r="KA5">
        <v>5</v>
      </c>
      <c r="KB5">
        <v>6</v>
      </c>
      <c r="KC5">
        <v>0</v>
      </c>
      <c r="KD5">
        <v>1</v>
      </c>
      <c r="KE5">
        <v>2</v>
      </c>
      <c r="KF5">
        <v>3</v>
      </c>
      <c r="KG5">
        <v>4</v>
      </c>
      <c r="KH5">
        <v>5</v>
      </c>
      <c r="KI5">
        <v>6</v>
      </c>
      <c r="KJ5">
        <v>0</v>
      </c>
      <c r="KK5">
        <v>1</v>
      </c>
      <c r="KL5">
        <v>2</v>
      </c>
      <c r="KM5">
        <v>3</v>
      </c>
      <c r="KN5">
        <v>4</v>
      </c>
      <c r="KO5">
        <v>5</v>
      </c>
      <c r="KP5">
        <v>6</v>
      </c>
      <c r="KQ5">
        <v>0</v>
      </c>
      <c r="KR5">
        <v>1</v>
      </c>
      <c r="KS5">
        <v>2</v>
      </c>
      <c r="KT5">
        <v>3</v>
      </c>
      <c r="KU5">
        <v>4</v>
      </c>
      <c r="KV5">
        <v>5</v>
      </c>
      <c r="KW5">
        <v>6</v>
      </c>
      <c r="KX5">
        <v>0</v>
      </c>
      <c r="KY5">
        <v>1</v>
      </c>
      <c r="KZ5">
        <v>2</v>
      </c>
      <c r="LA5">
        <v>3</v>
      </c>
      <c r="LB5">
        <v>4</v>
      </c>
      <c r="LC5">
        <v>5</v>
      </c>
      <c r="LD5">
        <v>6</v>
      </c>
      <c r="LE5">
        <v>0</v>
      </c>
      <c r="LF5">
        <v>1</v>
      </c>
      <c r="LG5">
        <v>2</v>
      </c>
      <c r="LH5">
        <v>3</v>
      </c>
      <c r="LI5">
        <v>4</v>
      </c>
      <c r="LJ5">
        <v>5</v>
      </c>
      <c r="LK5">
        <v>6</v>
      </c>
      <c r="LL5">
        <v>0</v>
      </c>
      <c r="LM5">
        <v>1</v>
      </c>
      <c r="LN5">
        <v>2</v>
      </c>
      <c r="LO5">
        <v>3</v>
      </c>
      <c r="LP5">
        <v>4</v>
      </c>
      <c r="LQ5">
        <v>5</v>
      </c>
      <c r="LR5">
        <v>6</v>
      </c>
      <c r="LS5">
        <v>0</v>
      </c>
      <c r="LT5">
        <v>1</v>
      </c>
      <c r="LU5">
        <v>2</v>
      </c>
      <c r="LV5">
        <v>3</v>
      </c>
      <c r="LW5">
        <v>4</v>
      </c>
      <c r="LX5">
        <v>5</v>
      </c>
      <c r="LY5">
        <v>6</v>
      </c>
      <c r="LZ5">
        <v>0</v>
      </c>
      <c r="MA5">
        <v>1</v>
      </c>
      <c r="MB5">
        <v>2</v>
      </c>
      <c r="MC5">
        <v>3</v>
      </c>
      <c r="MD5">
        <v>4</v>
      </c>
      <c r="ME5">
        <v>5</v>
      </c>
      <c r="MF5">
        <v>6</v>
      </c>
      <c r="MG5">
        <v>0</v>
      </c>
      <c r="MH5">
        <v>1</v>
      </c>
      <c r="MI5">
        <v>2</v>
      </c>
      <c r="MJ5">
        <v>3</v>
      </c>
      <c r="MK5">
        <v>4</v>
      </c>
      <c r="ML5">
        <v>5</v>
      </c>
      <c r="MM5">
        <v>6</v>
      </c>
      <c r="MN5">
        <v>0</v>
      </c>
      <c r="MO5">
        <v>1</v>
      </c>
      <c r="MP5">
        <v>2</v>
      </c>
      <c r="MQ5">
        <v>3</v>
      </c>
      <c r="MR5">
        <v>4</v>
      </c>
      <c r="MS5">
        <v>5</v>
      </c>
      <c r="MT5">
        <v>6</v>
      </c>
      <c r="MU5">
        <v>0</v>
      </c>
      <c r="MV5">
        <v>1</v>
      </c>
      <c r="MW5">
        <v>2</v>
      </c>
      <c r="MX5">
        <v>3</v>
      </c>
      <c r="MY5">
        <v>4</v>
      </c>
      <c r="MZ5">
        <v>5</v>
      </c>
      <c r="NA5">
        <v>6</v>
      </c>
      <c r="NB5">
        <v>0</v>
      </c>
      <c r="NC5">
        <v>1</v>
      </c>
      <c r="ND5">
        <v>2</v>
      </c>
      <c r="NE5">
        <v>3</v>
      </c>
      <c r="NF5">
        <v>4</v>
      </c>
      <c r="NG5">
        <v>5</v>
      </c>
      <c r="NH5">
        <v>6</v>
      </c>
      <c r="NI5">
        <v>0</v>
      </c>
      <c r="NJ5">
        <v>1</v>
      </c>
      <c r="NK5">
        <v>2</v>
      </c>
      <c r="NL5">
        <v>3</v>
      </c>
      <c r="NM5">
        <v>4</v>
      </c>
      <c r="NN5">
        <v>5</v>
      </c>
      <c r="NO5">
        <v>6</v>
      </c>
      <c r="NP5">
        <v>0</v>
      </c>
      <c r="NQ5">
        <v>1</v>
      </c>
      <c r="NR5">
        <v>2</v>
      </c>
      <c r="NS5">
        <v>3</v>
      </c>
      <c r="NT5">
        <v>4</v>
      </c>
      <c r="NU5">
        <v>5</v>
      </c>
      <c r="NV5">
        <v>6</v>
      </c>
      <c r="NW5">
        <v>0</v>
      </c>
      <c r="NX5">
        <v>1</v>
      </c>
      <c r="NY5">
        <v>2</v>
      </c>
      <c r="NZ5">
        <v>3</v>
      </c>
      <c r="OA5">
        <v>4</v>
      </c>
      <c r="OB5">
        <v>5</v>
      </c>
      <c r="OC5">
        <v>6</v>
      </c>
      <c r="OD5">
        <v>0</v>
      </c>
      <c r="OE5">
        <v>1</v>
      </c>
      <c r="OF5">
        <v>2</v>
      </c>
      <c r="OG5">
        <v>3</v>
      </c>
      <c r="OH5">
        <v>4</v>
      </c>
      <c r="OI5">
        <v>5</v>
      </c>
      <c r="OJ5">
        <v>6</v>
      </c>
      <c r="OK5">
        <v>0</v>
      </c>
      <c r="OL5">
        <v>1</v>
      </c>
      <c r="OM5">
        <v>2</v>
      </c>
      <c r="ON5">
        <v>3</v>
      </c>
      <c r="OO5">
        <v>4</v>
      </c>
      <c r="OP5">
        <v>5</v>
      </c>
      <c r="OQ5">
        <v>6</v>
      </c>
      <c r="OR5">
        <v>0</v>
      </c>
      <c r="OS5">
        <v>1</v>
      </c>
      <c r="OT5">
        <v>2</v>
      </c>
      <c r="OU5">
        <v>3</v>
      </c>
      <c r="OV5">
        <v>4</v>
      </c>
      <c r="OW5">
        <v>5</v>
      </c>
      <c r="OX5">
        <v>6</v>
      </c>
      <c r="OY5">
        <v>0</v>
      </c>
      <c r="OZ5">
        <v>1</v>
      </c>
      <c r="PA5">
        <v>2</v>
      </c>
      <c r="PB5">
        <v>3</v>
      </c>
      <c r="PC5">
        <v>4</v>
      </c>
      <c r="PD5">
        <v>5</v>
      </c>
      <c r="PE5">
        <v>6</v>
      </c>
    </row>
    <row r="7" spans="1:422" x14ac:dyDescent="0.25">
      <c r="B7">
        <f t="shared" ref="B7:BM7" si="0">IF(AND(B5=0,B3=0,B2=1),1,0)</f>
        <v>1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>IF(AND(I5=0,I3=0,I2=1),1,0)</f>
        <v>1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1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  <c r="BN7">
        <f t="shared" ref="BN7:DY7" si="1">IF(AND(BN5=0,BN3=0,BN2=1),1,0)</f>
        <v>0</v>
      </c>
      <c r="BO7">
        <f t="shared" si="1"/>
        <v>0</v>
      </c>
      <c r="BP7">
        <f t="shared" si="1"/>
        <v>0</v>
      </c>
      <c r="BQ7">
        <f t="shared" si="1"/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0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0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0</v>
      </c>
      <c r="CJ7">
        <f t="shared" si="1"/>
        <v>0</v>
      </c>
      <c r="CK7">
        <f t="shared" si="1"/>
        <v>0</v>
      </c>
      <c r="CL7">
        <f t="shared" si="1"/>
        <v>0</v>
      </c>
      <c r="CM7">
        <f t="shared" si="1"/>
        <v>0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0</v>
      </c>
      <c r="CU7">
        <f t="shared" si="1"/>
        <v>0</v>
      </c>
      <c r="CV7">
        <f t="shared" si="1"/>
        <v>0</v>
      </c>
      <c r="CW7">
        <f t="shared" si="1"/>
        <v>0</v>
      </c>
      <c r="CX7">
        <f t="shared" si="1"/>
        <v>0</v>
      </c>
      <c r="CY7">
        <f t="shared" si="1"/>
        <v>0</v>
      </c>
      <c r="CZ7">
        <f t="shared" si="1"/>
        <v>0</v>
      </c>
      <c r="DA7">
        <f t="shared" si="1"/>
        <v>0</v>
      </c>
      <c r="DB7">
        <f t="shared" si="1"/>
        <v>0</v>
      </c>
      <c r="DC7">
        <f t="shared" si="1"/>
        <v>0</v>
      </c>
      <c r="DD7">
        <f t="shared" si="1"/>
        <v>0</v>
      </c>
      <c r="DE7">
        <f t="shared" si="1"/>
        <v>0</v>
      </c>
      <c r="DF7">
        <f t="shared" si="1"/>
        <v>0</v>
      </c>
      <c r="DG7">
        <f t="shared" si="1"/>
        <v>0</v>
      </c>
      <c r="DH7">
        <f t="shared" si="1"/>
        <v>0</v>
      </c>
      <c r="DI7">
        <f t="shared" si="1"/>
        <v>0</v>
      </c>
      <c r="DJ7">
        <f t="shared" si="1"/>
        <v>0</v>
      </c>
      <c r="DK7">
        <f t="shared" si="1"/>
        <v>0</v>
      </c>
      <c r="DL7">
        <f t="shared" si="1"/>
        <v>0</v>
      </c>
      <c r="DM7">
        <f t="shared" si="1"/>
        <v>0</v>
      </c>
      <c r="DN7">
        <f t="shared" si="1"/>
        <v>0</v>
      </c>
      <c r="DO7">
        <f t="shared" si="1"/>
        <v>0</v>
      </c>
      <c r="DP7">
        <f t="shared" si="1"/>
        <v>0</v>
      </c>
      <c r="DQ7">
        <f t="shared" si="1"/>
        <v>0</v>
      </c>
      <c r="DR7">
        <f t="shared" si="1"/>
        <v>0</v>
      </c>
      <c r="DS7">
        <f t="shared" si="1"/>
        <v>0</v>
      </c>
      <c r="DT7">
        <f t="shared" si="1"/>
        <v>0</v>
      </c>
      <c r="DU7">
        <f t="shared" si="1"/>
        <v>0</v>
      </c>
      <c r="DV7">
        <f t="shared" si="1"/>
        <v>0</v>
      </c>
      <c r="DW7">
        <f t="shared" si="1"/>
        <v>0</v>
      </c>
      <c r="DX7">
        <f t="shared" si="1"/>
        <v>0</v>
      </c>
      <c r="DY7">
        <f t="shared" si="1"/>
        <v>0</v>
      </c>
      <c r="DZ7">
        <f t="shared" ref="DZ7:GK7" si="2">IF(AND(DZ5=0,DZ3=0,DZ2=1),1,0)</f>
        <v>0</v>
      </c>
      <c r="EA7">
        <f t="shared" si="2"/>
        <v>0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</v>
      </c>
      <c r="EP7">
        <f t="shared" si="2"/>
        <v>0</v>
      </c>
      <c r="EQ7">
        <f t="shared" si="2"/>
        <v>0</v>
      </c>
      <c r="ER7">
        <f t="shared" si="2"/>
        <v>0</v>
      </c>
      <c r="ES7">
        <f t="shared" si="2"/>
        <v>0</v>
      </c>
      <c r="ET7">
        <f t="shared" si="2"/>
        <v>0</v>
      </c>
      <c r="EU7">
        <f t="shared" si="2"/>
        <v>0</v>
      </c>
      <c r="EV7">
        <f t="shared" si="2"/>
        <v>0</v>
      </c>
      <c r="EW7">
        <f t="shared" si="2"/>
        <v>0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0</v>
      </c>
      <c r="FB7">
        <f t="shared" si="2"/>
        <v>0</v>
      </c>
      <c r="FC7">
        <f t="shared" si="2"/>
        <v>0</v>
      </c>
      <c r="FD7">
        <f t="shared" si="2"/>
        <v>0</v>
      </c>
      <c r="FE7">
        <f t="shared" si="2"/>
        <v>0</v>
      </c>
      <c r="FF7">
        <f t="shared" si="2"/>
        <v>0</v>
      </c>
      <c r="FG7">
        <f t="shared" si="2"/>
        <v>0</v>
      </c>
      <c r="FH7">
        <f t="shared" si="2"/>
        <v>0</v>
      </c>
      <c r="FI7">
        <f t="shared" si="2"/>
        <v>0</v>
      </c>
      <c r="FJ7">
        <f t="shared" si="2"/>
        <v>0</v>
      </c>
      <c r="FK7">
        <f t="shared" si="2"/>
        <v>0</v>
      </c>
      <c r="FL7">
        <f t="shared" si="2"/>
        <v>0</v>
      </c>
      <c r="FM7">
        <f t="shared" si="2"/>
        <v>0</v>
      </c>
      <c r="FN7">
        <f t="shared" si="2"/>
        <v>0</v>
      </c>
      <c r="FO7">
        <f t="shared" si="2"/>
        <v>0</v>
      </c>
      <c r="FP7">
        <f t="shared" si="2"/>
        <v>0</v>
      </c>
      <c r="FQ7">
        <f t="shared" si="2"/>
        <v>0</v>
      </c>
      <c r="FR7">
        <f t="shared" si="2"/>
        <v>0</v>
      </c>
      <c r="FS7">
        <f t="shared" si="2"/>
        <v>0</v>
      </c>
      <c r="FT7">
        <f t="shared" si="2"/>
        <v>0</v>
      </c>
      <c r="FU7">
        <f t="shared" si="2"/>
        <v>0</v>
      </c>
      <c r="FV7">
        <f t="shared" si="2"/>
        <v>0</v>
      </c>
      <c r="FW7">
        <f t="shared" si="2"/>
        <v>0</v>
      </c>
      <c r="FX7">
        <f t="shared" si="2"/>
        <v>0</v>
      </c>
      <c r="FY7">
        <f t="shared" si="2"/>
        <v>0</v>
      </c>
      <c r="FZ7">
        <f t="shared" si="2"/>
        <v>0</v>
      </c>
      <c r="GA7">
        <f t="shared" si="2"/>
        <v>0</v>
      </c>
      <c r="GB7">
        <f t="shared" si="2"/>
        <v>0</v>
      </c>
      <c r="GC7">
        <f t="shared" si="2"/>
        <v>0</v>
      </c>
      <c r="GD7">
        <f t="shared" si="2"/>
        <v>0</v>
      </c>
      <c r="GE7">
        <f t="shared" si="2"/>
        <v>0</v>
      </c>
      <c r="GF7">
        <f t="shared" si="2"/>
        <v>0</v>
      </c>
      <c r="GG7">
        <f t="shared" si="2"/>
        <v>0</v>
      </c>
      <c r="GH7">
        <f t="shared" si="2"/>
        <v>0</v>
      </c>
      <c r="GI7">
        <f t="shared" si="2"/>
        <v>0</v>
      </c>
      <c r="GJ7">
        <f t="shared" si="2"/>
        <v>0</v>
      </c>
      <c r="GK7">
        <f t="shared" si="2"/>
        <v>0</v>
      </c>
      <c r="GL7">
        <f t="shared" ref="GL7:IW7" si="3">IF(AND(GL5=0,GL3=0,GL2=1),1,0)</f>
        <v>0</v>
      </c>
      <c r="GM7">
        <f t="shared" si="3"/>
        <v>0</v>
      </c>
      <c r="GN7">
        <f t="shared" si="3"/>
        <v>0</v>
      </c>
      <c r="GO7">
        <f t="shared" si="3"/>
        <v>0</v>
      </c>
      <c r="GP7">
        <f t="shared" si="3"/>
        <v>0</v>
      </c>
      <c r="GQ7">
        <f t="shared" si="3"/>
        <v>0</v>
      </c>
      <c r="GR7">
        <f t="shared" si="3"/>
        <v>0</v>
      </c>
      <c r="GS7">
        <f t="shared" si="3"/>
        <v>0</v>
      </c>
      <c r="GT7">
        <f t="shared" si="3"/>
        <v>0</v>
      </c>
      <c r="GU7">
        <f t="shared" si="3"/>
        <v>0</v>
      </c>
      <c r="GV7">
        <f t="shared" si="3"/>
        <v>0</v>
      </c>
      <c r="GW7">
        <f t="shared" si="3"/>
        <v>0</v>
      </c>
      <c r="GX7">
        <f t="shared" si="3"/>
        <v>0</v>
      </c>
      <c r="GY7">
        <f t="shared" si="3"/>
        <v>0</v>
      </c>
      <c r="GZ7">
        <f t="shared" si="3"/>
        <v>0</v>
      </c>
      <c r="HA7">
        <f t="shared" si="3"/>
        <v>0</v>
      </c>
      <c r="HB7">
        <f t="shared" si="3"/>
        <v>0</v>
      </c>
      <c r="HC7">
        <f t="shared" si="3"/>
        <v>0</v>
      </c>
      <c r="HD7">
        <f t="shared" si="3"/>
        <v>0</v>
      </c>
      <c r="HE7">
        <f t="shared" si="3"/>
        <v>0</v>
      </c>
      <c r="HF7">
        <f t="shared" si="3"/>
        <v>0</v>
      </c>
      <c r="HG7">
        <f t="shared" si="3"/>
        <v>0</v>
      </c>
      <c r="HH7">
        <f t="shared" si="3"/>
        <v>0</v>
      </c>
      <c r="HI7">
        <f t="shared" si="3"/>
        <v>0</v>
      </c>
      <c r="HJ7">
        <f t="shared" si="3"/>
        <v>0</v>
      </c>
      <c r="HK7">
        <f t="shared" si="3"/>
        <v>0</v>
      </c>
      <c r="HL7">
        <f t="shared" si="3"/>
        <v>0</v>
      </c>
      <c r="HM7">
        <f t="shared" si="3"/>
        <v>0</v>
      </c>
      <c r="HN7">
        <f t="shared" si="3"/>
        <v>0</v>
      </c>
      <c r="HO7">
        <f t="shared" si="3"/>
        <v>0</v>
      </c>
      <c r="HP7">
        <f t="shared" si="3"/>
        <v>0</v>
      </c>
      <c r="HQ7">
        <f t="shared" si="3"/>
        <v>0</v>
      </c>
      <c r="HR7">
        <f t="shared" si="3"/>
        <v>0</v>
      </c>
      <c r="HS7">
        <f t="shared" si="3"/>
        <v>0</v>
      </c>
      <c r="HT7">
        <f t="shared" si="3"/>
        <v>0</v>
      </c>
      <c r="HU7">
        <f t="shared" si="3"/>
        <v>0</v>
      </c>
      <c r="HV7">
        <f t="shared" si="3"/>
        <v>0</v>
      </c>
      <c r="HW7">
        <f t="shared" si="3"/>
        <v>0</v>
      </c>
      <c r="HX7">
        <f t="shared" si="3"/>
        <v>0</v>
      </c>
      <c r="HY7">
        <f t="shared" si="3"/>
        <v>0</v>
      </c>
      <c r="HZ7">
        <f t="shared" si="3"/>
        <v>0</v>
      </c>
      <c r="IA7">
        <f t="shared" si="3"/>
        <v>0</v>
      </c>
      <c r="IB7">
        <f t="shared" si="3"/>
        <v>0</v>
      </c>
      <c r="IC7">
        <f t="shared" si="3"/>
        <v>0</v>
      </c>
      <c r="ID7">
        <f t="shared" si="3"/>
        <v>0</v>
      </c>
      <c r="IE7">
        <f t="shared" si="3"/>
        <v>0</v>
      </c>
      <c r="IF7">
        <f t="shared" si="3"/>
        <v>0</v>
      </c>
      <c r="IG7">
        <f t="shared" si="3"/>
        <v>0</v>
      </c>
      <c r="IH7">
        <f t="shared" si="3"/>
        <v>0</v>
      </c>
      <c r="II7">
        <f t="shared" si="3"/>
        <v>0</v>
      </c>
      <c r="IJ7">
        <f t="shared" si="3"/>
        <v>0</v>
      </c>
      <c r="IK7">
        <f t="shared" si="3"/>
        <v>0</v>
      </c>
      <c r="IL7">
        <f t="shared" si="3"/>
        <v>0</v>
      </c>
      <c r="IM7">
        <f t="shared" si="3"/>
        <v>0</v>
      </c>
      <c r="IN7">
        <f t="shared" si="3"/>
        <v>0</v>
      </c>
      <c r="IO7">
        <f t="shared" si="3"/>
        <v>0</v>
      </c>
      <c r="IP7">
        <f t="shared" si="3"/>
        <v>0</v>
      </c>
      <c r="IQ7">
        <f t="shared" si="3"/>
        <v>0</v>
      </c>
      <c r="IR7">
        <f t="shared" si="3"/>
        <v>0</v>
      </c>
      <c r="IS7">
        <f t="shared" si="3"/>
        <v>0</v>
      </c>
      <c r="IT7">
        <f t="shared" si="3"/>
        <v>0</v>
      </c>
      <c r="IU7">
        <f t="shared" si="3"/>
        <v>0</v>
      </c>
      <c r="IV7">
        <f t="shared" si="3"/>
        <v>0</v>
      </c>
      <c r="IW7">
        <f t="shared" si="3"/>
        <v>0</v>
      </c>
      <c r="IX7">
        <f t="shared" ref="IX7:LI7" si="4">IF(AND(IX5=0,IX3=0,IX2=1),1,0)</f>
        <v>0</v>
      </c>
      <c r="IY7">
        <f t="shared" si="4"/>
        <v>0</v>
      </c>
      <c r="IZ7">
        <f t="shared" si="4"/>
        <v>0</v>
      </c>
      <c r="JA7">
        <f t="shared" si="4"/>
        <v>0</v>
      </c>
      <c r="JB7">
        <f t="shared" si="4"/>
        <v>0</v>
      </c>
      <c r="JC7">
        <f t="shared" si="4"/>
        <v>0</v>
      </c>
      <c r="JD7">
        <f t="shared" si="4"/>
        <v>0</v>
      </c>
      <c r="JE7">
        <f t="shared" si="4"/>
        <v>0</v>
      </c>
      <c r="JF7">
        <f t="shared" si="4"/>
        <v>0</v>
      </c>
      <c r="JG7">
        <f t="shared" si="4"/>
        <v>0</v>
      </c>
      <c r="JH7">
        <f t="shared" si="4"/>
        <v>0</v>
      </c>
      <c r="JI7">
        <f t="shared" si="4"/>
        <v>0</v>
      </c>
      <c r="JJ7">
        <f t="shared" si="4"/>
        <v>0</v>
      </c>
      <c r="JK7">
        <f t="shared" si="4"/>
        <v>0</v>
      </c>
      <c r="JL7">
        <f t="shared" si="4"/>
        <v>0</v>
      </c>
      <c r="JM7">
        <f t="shared" si="4"/>
        <v>0</v>
      </c>
      <c r="JN7">
        <f t="shared" si="4"/>
        <v>0</v>
      </c>
      <c r="JO7">
        <f t="shared" si="4"/>
        <v>0</v>
      </c>
      <c r="JP7">
        <f t="shared" si="4"/>
        <v>0</v>
      </c>
      <c r="JQ7">
        <f t="shared" si="4"/>
        <v>0</v>
      </c>
      <c r="JR7">
        <f t="shared" si="4"/>
        <v>0</v>
      </c>
      <c r="JS7">
        <f t="shared" si="4"/>
        <v>0</v>
      </c>
      <c r="JT7">
        <f t="shared" si="4"/>
        <v>0</v>
      </c>
      <c r="JU7">
        <f t="shared" si="4"/>
        <v>0</v>
      </c>
      <c r="JV7">
        <f t="shared" si="4"/>
        <v>0</v>
      </c>
      <c r="JW7">
        <f t="shared" si="4"/>
        <v>0</v>
      </c>
      <c r="JX7">
        <f t="shared" si="4"/>
        <v>0</v>
      </c>
      <c r="JY7">
        <f t="shared" si="4"/>
        <v>0</v>
      </c>
      <c r="JZ7">
        <f t="shared" si="4"/>
        <v>0</v>
      </c>
      <c r="KA7">
        <f t="shared" si="4"/>
        <v>0</v>
      </c>
      <c r="KB7">
        <f t="shared" si="4"/>
        <v>0</v>
      </c>
      <c r="KC7">
        <f t="shared" si="4"/>
        <v>0</v>
      </c>
      <c r="KD7">
        <f t="shared" si="4"/>
        <v>0</v>
      </c>
      <c r="KE7">
        <f t="shared" si="4"/>
        <v>0</v>
      </c>
      <c r="KF7">
        <f t="shared" si="4"/>
        <v>0</v>
      </c>
      <c r="KG7">
        <f t="shared" si="4"/>
        <v>0</v>
      </c>
      <c r="KH7">
        <f t="shared" si="4"/>
        <v>0</v>
      </c>
      <c r="KI7">
        <f t="shared" si="4"/>
        <v>0</v>
      </c>
      <c r="KJ7">
        <f t="shared" si="4"/>
        <v>0</v>
      </c>
      <c r="KK7">
        <f t="shared" si="4"/>
        <v>0</v>
      </c>
      <c r="KL7">
        <f t="shared" si="4"/>
        <v>0</v>
      </c>
      <c r="KM7">
        <f t="shared" si="4"/>
        <v>0</v>
      </c>
      <c r="KN7">
        <f t="shared" si="4"/>
        <v>0</v>
      </c>
      <c r="KO7">
        <f t="shared" si="4"/>
        <v>0</v>
      </c>
      <c r="KP7">
        <f t="shared" si="4"/>
        <v>0</v>
      </c>
      <c r="KQ7">
        <f t="shared" si="4"/>
        <v>0</v>
      </c>
      <c r="KR7">
        <f t="shared" si="4"/>
        <v>0</v>
      </c>
      <c r="KS7">
        <f t="shared" si="4"/>
        <v>0</v>
      </c>
      <c r="KT7">
        <f t="shared" si="4"/>
        <v>0</v>
      </c>
      <c r="KU7">
        <f t="shared" si="4"/>
        <v>0</v>
      </c>
      <c r="KV7">
        <f t="shared" si="4"/>
        <v>0</v>
      </c>
      <c r="KW7">
        <f t="shared" si="4"/>
        <v>0</v>
      </c>
      <c r="KX7">
        <f t="shared" si="4"/>
        <v>0</v>
      </c>
      <c r="KY7">
        <f t="shared" si="4"/>
        <v>0</v>
      </c>
      <c r="KZ7">
        <f t="shared" si="4"/>
        <v>0</v>
      </c>
      <c r="LA7">
        <f t="shared" si="4"/>
        <v>0</v>
      </c>
      <c r="LB7">
        <f t="shared" si="4"/>
        <v>0</v>
      </c>
      <c r="LC7">
        <f t="shared" si="4"/>
        <v>0</v>
      </c>
      <c r="LD7">
        <f t="shared" si="4"/>
        <v>0</v>
      </c>
      <c r="LE7">
        <f t="shared" si="4"/>
        <v>0</v>
      </c>
      <c r="LF7">
        <f t="shared" si="4"/>
        <v>0</v>
      </c>
      <c r="LG7">
        <f t="shared" si="4"/>
        <v>0</v>
      </c>
      <c r="LH7">
        <f t="shared" si="4"/>
        <v>0</v>
      </c>
      <c r="LI7">
        <f t="shared" si="4"/>
        <v>0</v>
      </c>
      <c r="LJ7">
        <f t="shared" ref="LJ7:NU7" si="5">IF(AND(LJ5=0,LJ3=0,LJ2=1),1,0)</f>
        <v>0</v>
      </c>
      <c r="LK7">
        <f t="shared" si="5"/>
        <v>0</v>
      </c>
      <c r="LL7">
        <f t="shared" si="5"/>
        <v>0</v>
      </c>
      <c r="LM7">
        <f t="shared" si="5"/>
        <v>0</v>
      </c>
      <c r="LN7">
        <f t="shared" si="5"/>
        <v>0</v>
      </c>
      <c r="LO7">
        <f t="shared" si="5"/>
        <v>0</v>
      </c>
      <c r="LP7">
        <f t="shared" si="5"/>
        <v>0</v>
      </c>
      <c r="LQ7">
        <f t="shared" si="5"/>
        <v>0</v>
      </c>
      <c r="LR7">
        <f t="shared" si="5"/>
        <v>0</v>
      </c>
      <c r="LS7">
        <f t="shared" si="5"/>
        <v>0</v>
      </c>
      <c r="LT7">
        <f t="shared" si="5"/>
        <v>0</v>
      </c>
      <c r="LU7">
        <f t="shared" si="5"/>
        <v>0</v>
      </c>
      <c r="LV7">
        <f t="shared" si="5"/>
        <v>0</v>
      </c>
      <c r="LW7">
        <f t="shared" si="5"/>
        <v>0</v>
      </c>
      <c r="LX7">
        <f t="shared" si="5"/>
        <v>0</v>
      </c>
      <c r="LY7">
        <f t="shared" si="5"/>
        <v>0</v>
      </c>
      <c r="LZ7">
        <f t="shared" si="5"/>
        <v>0</v>
      </c>
      <c r="MA7">
        <f t="shared" si="5"/>
        <v>0</v>
      </c>
      <c r="MB7">
        <f t="shared" si="5"/>
        <v>0</v>
      </c>
      <c r="MC7">
        <f t="shared" si="5"/>
        <v>0</v>
      </c>
      <c r="MD7">
        <f t="shared" si="5"/>
        <v>0</v>
      </c>
      <c r="ME7">
        <f t="shared" si="5"/>
        <v>0</v>
      </c>
      <c r="MF7">
        <f t="shared" si="5"/>
        <v>0</v>
      </c>
      <c r="MG7">
        <f t="shared" si="5"/>
        <v>0</v>
      </c>
      <c r="MH7">
        <f t="shared" si="5"/>
        <v>0</v>
      </c>
      <c r="MI7">
        <f t="shared" si="5"/>
        <v>0</v>
      </c>
      <c r="MJ7">
        <f t="shared" si="5"/>
        <v>0</v>
      </c>
      <c r="MK7">
        <f t="shared" si="5"/>
        <v>0</v>
      </c>
      <c r="ML7">
        <f t="shared" si="5"/>
        <v>0</v>
      </c>
      <c r="MM7">
        <f t="shared" si="5"/>
        <v>0</v>
      </c>
      <c r="MN7">
        <f t="shared" si="5"/>
        <v>0</v>
      </c>
      <c r="MO7">
        <f t="shared" si="5"/>
        <v>0</v>
      </c>
      <c r="MP7">
        <f t="shared" si="5"/>
        <v>0</v>
      </c>
      <c r="MQ7">
        <f t="shared" si="5"/>
        <v>0</v>
      </c>
      <c r="MR7">
        <f t="shared" si="5"/>
        <v>0</v>
      </c>
      <c r="MS7">
        <f t="shared" si="5"/>
        <v>0</v>
      </c>
      <c r="MT7">
        <f t="shared" si="5"/>
        <v>0</v>
      </c>
      <c r="MU7">
        <f t="shared" si="5"/>
        <v>0</v>
      </c>
      <c r="MV7">
        <f t="shared" si="5"/>
        <v>0</v>
      </c>
      <c r="MW7">
        <f t="shared" si="5"/>
        <v>0</v>
      </c>
      <c r="MX7">
        <f t="shared" si="5"/>
        <v>0</v>
      </c>
      <c r="MY7">
        <f t="shared" si="5"/>
        <v>0</v>
      </c>
      <c r="MZ7">
        <f t="shared" si="5"/>
        <v>0</v>
      </c>
      <c r="NA7">
        <f t="shared" si="5"/>
        <v>0</v>
      </c>
      <c r="NB7">
        <f t="shared" si="5"/>
        <v>0</v>
      </c>
      <c r="NC7">
        <f t="shared" si="5"/>
        <v>0</v>
      </c>
      <c r="ND7">
        <f t="shared" si="5"/>
        <v>0</v>
      </c>
      <c r="NE7">
        <f t="shared" si="5"/>
        <v>0</v>
      </c>
      <c r="NF7">
        <f t="shared" si="5"/>
        <v>0</v>
      </c>
      <c r="NG7">
        <f t="shared" si="5"/>
        <v>0</v>
      </c>
      <c r="NH7">
        <f t="shared" si="5"/>
        <v>0</v>
      </c>
      <c r="NI7">
        <f t="shared" si="5"/>
        <v>0</v>
      </c>
      <c r="NJ7">
        <f t="shared" si="5"/>
        <v>0</v>
      </c>
      <c r="NK7">
        <f t="shared" si="5"/>
        <v>0</v>
      </c>
      <c r="NL7">
        <f t="shared" si="5"/>
        <v>0</v>
      </c>
      <c r="NM7">
        <f t="shared" si="5"/>
        <v>0</v>
      </c>
      <c r="NN7">
        <f t="shared" si="5"/>
        <v>0</v>
      </c>
      <c r="NO7">
        <f t="shared" si="5"/>
        <v>0</v>
      </c>
      <c r="NP7">
        <f t="shared" si="5"/>
        <v>0</v>
      </c>
      <c r="NQ7">
        <f t="shared" si="5"/>
        <v>0</v>
      </c>
      <c r="NR7">
        <f t="shared" si="5"/>
        <v>0</v>
      </c>
      <c r="NS7">
        <f t="shared" si="5"/>
        <v>0</v>
      </c>
      <c r="NT7">
        <f t="shared" si="5"/>
        <v>0</v>
      </c>
      <c r="NU7">
        <f t="shared" si="5"/>
        <v>0</v>
      </c>
      <c r="NV7">
        <f t="shared" ref="NV7:PE7" si="6">IF(AND(NV5=0,NV3=0,NV2=1),1,0)</f>
        <v>0</v>
      </c>
      <c r="NW7">
        <f t="shared" si="6"/>
        <v>0</v>
      </c>
      <c r="NX7">
        <f t="shared" si="6"/>
        <v>0</v>
      </c>
      <c r="NY7">
        <f t="shared" si="6"/>
        <v>0</v>
      </c>
      <c r="NZ7">
        <f t="shared" si="6"/>
        <v>0</v>
      </c>
      <c r="OA7">
        <f t="shared" si="6"/>
        <v>0</v>
      </c>
      <c r="OB7">
        <f t="shared" si="6"/>
        <v>0</v>
      </c>
      <c r="OC7">
        <f t="shared" si="6"/>
        <v>0</v>
      </c>
      <c r="OD7">
        <f t="shared" si="6"/>
        <v>0</v>
      </c>
      <c r="OE7">
        <f t="shared" si="6"/>
        <v>0</v>
      </c>
      <c r="OF7">
        <f t="shared" si="6"/>
        <v>0</v>
      </c>
      <c r="OG7">
        <f t="shared" si="6"/>
        <v>0</v>
      </c>
      <c r="OH7">
        <f t="shared" si="6"/>
        <v>0</v>
      </c>
      <c r="OI7">
        <f t="shared" si="6"/>
        <v>0</v>
      </c>
      <c r="OJ7">
        <f t="shared" si="6"/>
        <v>0</v>
      </c>
      <c r="OK7">
        <f t="shared" si="6"/>
        <v>0</v>
      </c>
      <c r="OL7">
        <f t="shared" si="6"/>
        <v>0</v>
      </c>
      <c r="OM7">
        <f t="shared" si="6"/>
        <v>0</v>
      </c>
      <c r="ON7">
        <f t="shared" si="6"/>
        <v>0</v>
      </c>
      <c r="OO7">
        <f t="shared" si="6"/>
        <v>0</v>
      </c>
      <c r="OP7">
        <f t="shared" si="6"/>
        <v>0</v>
      </c>
      <c r="OQ7">
        <f t="shared" si="6"/>
        <v>0</v>
      </c>
      <c r="OR7">
        <f t="shared" si="6"/>
        <v>0</v>
      </c>
      <c r="OS7">
        <f t="shared" si="6"/>
        <v>0</v>
      </c>
      <c r="OT7">
        <f t="shared" si="6"/>
        <v>0</v>
      </c>
      <c r="OU7">
        <f t="shared" si="6"/>
        <v>0</v>
      </c>
      <c r="OV7">
        <f t="shared" si="6"/>
        <v>0</v>
      </c>
      <c r="OW7">
        <f t="shared" si="6"/>
        <v>0</v>
      </c>
      <c r="OX7">
        <f t="shared" si="6"/>
        <v>0</v>
      </c>
      <c r="OY7">
        <f t="shared" si="6"/>
        <v>0</v>
      </c>
      <c r="OZ7">
        <f t="shared" si="6"/>
        <v>0</v>
      </c>
      <c r="PA7">
        <f t="shared" si="6"/>
        <v>0</v>
      </c>
      <c r="PB7">
        <f t="shared" si="6"/>
        <v>0</v>
      </c>
      <c r="PC7">
        <f t="shared" si="6"/>
        <v>0</v>
      </c>
      <c r="PD7">
        <f t="shared" si="6"/>
        <v>0</v>
      </c>
      <c r="PE7">
        <f t="shared" si="6"/>
        <v>0</v>
      </c>
      <c r="PF7">
        <f>SUM(B7:PE7)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3"/>
  <sheetViews>
    <sheetView tabSelected="1" topLeftCell="K415" workbookViewId="0">
      <selection activeCell="N431" sqref="N431"/>
    </sheetView>
  </sheetViews>
  <sheetFormatPr defaultRowHeight="15" x14ac:dyDescent="0.25"/>
  <cols>
    <col min="9" max="9" width="9.140625" customWidth="1"/>
    <col min="10" max="11" width="16.5703125" style="9" customWidth="1"/>
    <col min="12" max="12" width="15" style="9" customWidth="1"/>
    <col min="13" max="13" width="13.85546875" style="9" customWidth="1"/>
    <col min="14" max="14" width="16.140625" style="26" customWidth="1"/>
    <col min="15" max="16" width="16.140625" style="27" customWidth="1"/>
    <col min="17" max="17" width="15" style="26" bestFit="1" customWidth="1"/>
    <col min="18" max="19" width="16.140625" style="27" customWidth="1"/>
    <col min="20" max="20" width="14.140625" style="26" customWidth="1"/>
    <col min="21" max="21" width="16.140625" style="27" customWidth="1"/>
    <col min="22" max="22" width="16.140625" style="28" customWidth="1"/>
    <col min="23" max="23" width="16.5703125" style="9" customWidth="1"/>
    <col min="24" max="24" width="15" style="9" customWidth="1"/>
    <col min="25" max="25" width="13.85546875" style="9" customWidth="1"/>
    <col min="26" max="26" width="16.140625" style="5" customWidth="1"/>
    <col min="27" max="27" width="15" style="5" bestFit="1" customWidth="1"/>
    <col min="28" max="28" width="14.140625" style="5" customWidth="1"/>
  </cols>
  <sheetData>
    <row r="1" spans="1:28" x14ac:dyDescent="0.25">
      <c r="G1" s="49" t="s">
        <v>8</v>
      </c>
      <c r="H1" s="49"/>
      <c r="I1" s="49"/>
      <c r="J1" s="49"/>
      <c r="K1" s="49"/>
      <c r="L1" s="49"/>
      <c r="M1" s="49"/>
      <c r="N1" s="23"/>
      <c r="O1" s="24"/>
      <c r="P1" s="24"/>
      <c r="Q1" s="23"/>
      <c r="R1" s="24"/>
      <c r="S1" s="24"/>
      <c r="T1" s="23"/>
      <c r="U1" s="24"/>
      <c r="V1" s="25"/>
      <c r="W1"/>
      <c r="X1"/>
      <c r="Y1"/>
    </row>
    <row r="2" spans="1:28" x14ac:dyDescent="0.25">
      <c r="G2" s="49" t="s">
        <v>12</v>
      </c>
      <c r="H2" s="49"/>
      <c r="I2" s="49"/>
      <c r="J2" s="50" t="s">
        <v>13</v>
      </c>
      <c r="K2" s="50"/>
      <c r="L2" s="50"/>
      <c r="M2" s="50"/>
      <c r="N2" s="51" t="s">
        <v>14</v>
      </c>
      <c r="O2" s="51"/>
      <c r="P2" s="51"/>
      <c r="Q2" s="51"/>
      <c r="R2" s="51"/>
      <c r="S2" s="51"/>
      <c r="T2" s="51"/>
      <c r="U2" s="51"/>
      <c r="V2" s="51"/>
      <c r="W2" s="43" t="s">
        <v>15</v>
      </c>
      <c r="X2" s="43"/>
      <c r="Y2" s="43"/>
      <c r="Z2" s="44" t="s">
        <v>16</v>
      </c>
      <c r="AA2" s="44"/>
      <c r="AB2" s="44"/>
    </row>
    <row r="3" spans="1:28" ht="15.75" thickBot="1" x14ac:dyDescent="0.3">
      <c r="G3" s="4"/>
      <c r="H3" s="4"/>
      <c r="I3" s="4"/>
      <c r="J3" s="8"/>
      <c r="K3" s="8"/>
      <c r="L3" s="8"/>
      <c r="M3" s="8"/>
      <c r="N3" s="45" t="s">
        <v>21</v>
      </c>
      <c r="O3" s="46"/>
      <c r="P3" s="47"/>
      <c r="Q3" s="45" t="s">
        <v>22</v>
      </c>
      <c r="R3" s="46"/>
      <c r="S3" s="47"/>
      <c r="T3" s="45" t="s">
        <v>23</v>
      </c>
      <c r="U3" s="46"/>
      <c r="V3" s="47"/>
      <c r="W3" s="8"/>
      <c r="X3" s="8"/>
      <c r="Y3" s="8"/>
      <c r="Z3" s="6"/>
      <c r="AA3" s="6"/>
      <c r="AB3" s="6"/>
    </row>
    <row r="4" spans="1:28" s="19" customFormat="1" ht="52.5" customHeight="1" thickBot="1" x14ac:dyDescent="0.3">
      <c r="A4" s="19" t="s">
        <v>4</v>
      </c>
      <c r="B4" s="19" t="s">
        <v>0</v>
      </c>
      <c r="C4" s="19" t="s">
        <v>1</v>
      </c>
      <c r="D4" s="19" t="s">
        <v>2</v>
      </c>
      <c r="E4" s="19" t="s">
        <v>3</v>
      </c>
      <c r="G4" s="20" t="s">
        <v>7</v>
      </c>
      <c r="H4" s="20" t="s">
        <v>5</v>
      </c>
      <c r="I4" s="20" t="s">
        <v>6</v>
      </c>
      <c r="J4" s="21" t="s">
        <v>9</v>
      </c>
      <c r="K4" s="21" t="s">
        <v>24</v>
      </c>
      <c r="L4" s="21" t="s">
        <v>10</v>
      </c>
      <c r="M4" s="21" t="s">
        <v>11</v>
      </c>
      <c r="N4" s="40" t="s">
        <v>9</v>
      </c>
      <c r="O4" s="41" t="s">
        <v>19</v>
      </c>
      <c r="P4" s="42" t="s">
        <v>20</v>
      </c>
      <c r="Q4" s="40" t="s">
        <v>10</v>
      </c>
      <c r="R4" s="41" t="s">
        <v>19</v>
      </c>
      <c r="S4" s="42" t="s">
        <v>20</v>
      </c>
      <c r="T4" s="40" t="s">
        <v>11</v>
      </c>
      <c r="U4" s="41" t="s">
        <v>19</v>
      </c>
      <c r="V4" s="42" t="s">
        <v>20</v>
      </c>
      <c r="W4" s="21" t="s">
        <v>9</v>
      </c>
      <c r="X4" s="21" t="s">
        <v>10</v>
      </c>
      <c r="Y4" s="21" t="s">
        <v>11</v>
      </c>
      <c r="Z4" s="22" t="s">
        <v>9</v>
      </c>
      <c r="AA4" s="22" t="s">
        <v>10</v>
      </c>
      <c r="AB4" s="22" t="s">
        <v>11</v>
      </c>
    </row>
    <row r="5" spans="1:28" x14ac:dyDescent="0.25">
      <c r="A5" s="2">
        <v>1</v>
      </c>
      <c r="B5">
        <v>1</v>
      </c>
      <c r="C5">
        <v>0</v>
      </c>
      <c r="D5">
        <v>0</v>
      </c>
      <c r="E5">
        <v>0</v>
      </c>
      <c r="G5">
        <v>-4666723</v>
      </c>
      <c r="H5">
        <v>7.7699999809999998</v>
      </c>
      <c r="I5">
        <v>2.329999924</v>
      </c>
    </row>
    <row r="6" spans="1:28" x14ac:dyDescent="0.25">
      <c r="A6" s="2">
        <v>2</v>
      </c>
      <c r="B6">
        <v>1</v>
      </c>
      <c r="C6">
        <v>0</v>
      </c>
      <c r="D6">
        <v>0</v>
      </c>
      <c r="E6">
        <v>1</v>
      </c>
      <c r="G6">
        <v>-4032837</v>
      </c>
      <c r="H6">
        <v>8.4300003050000001</v>
      </c>
      <c r="I6">
        <v>2.329999924</v>
      </c>
      <c r="J6" s="9">
        <f>ABS(G6-G5)</f>
        <v>633886</v>
      </c>
      <c r="K6" s="52"/>
      <c r="L6" s="9">
        <f t="shared" ref="L6:M11" si="0">ABS(H6-H5)</f>
        <v>0.6600003240000003</v>
      </c>
      <c r="M6" s="9">
        <f t="shared" si="0"/>
        <v>0</v>
      </c>
    </row>
    <row r="7" spans="1:28" x14ac:dyDescent="0.25">
      <c r="A7" s="2">
        <v>3</v>
      </c>
      <c r="B7">
        <v>1</v>
      </c>
      <c r="C7">
        <v>0</v>
      </c>
      <c r="D7">
        <v>0</v>
      </c>
      <c r="E7">
        <v>2</v>
      </c>
      <c r="G7">
        <v>-4352480.5</v>
      </c>
      <c r="H7">
        <v>8.0900001530000001</v>
      </c>
      <c r="I7">
        <v>2.329999924</v>
      </c>
      <c r="J7" s="9">
        <f t="shared" ref="J7:J11" si="1">ABS(G7-G6)</f>
        <v>319643.5</v>
      </c>
      <c r="K7" s="52"/>
      <c r="L7" s="9">
        <f t="shared" si="0"/>
        <v>0.340000152</v>
      </c>
      <c r="M7" s="9">
        <f t="shared" si="0"/>
        <v>0</v>
      </c>
    </row>
    <row r="8" spans="1:28" x14ac:dyDescent="0.25">
      <c r="A8" s="2">
        <v>4</v>
      </c>
      <c r="B8">
        <v>1</v>
      </c>
      <c r="C8">
        <v>0</v>
      </c>
      <c r="D8">
        <v>0</v>
      </c>
      <c r="E8">
        <v>3</v>
      </c>
      <c r="G8">
        <v>-3483538.75</v>
      </c>
      <c r="H8">
        <v>8.9600000380000004</v>
      </c>
      <c r="I8">
        <v>2.329999924</v>
      </c>
      <c r="J8" s="9">
        <f t="shared" si="1"/>
        <v>868941.75</v>
      </c>
      <c r="K8" s="52"/>
      <c r="L8" s="9">
        <f t="shared" si="0"/>
        <v>0.86999988500000036</v>
      </c>
      <c r="M8" s="9">
        <f t="shared" si="0"/>
        <v>0</v>
      </c>
    </row>
    <row r="9" spans="1:28" x14ac:dyDescent="0.25">
      <c r="A9" s="2">
        <v>5</v>
      </c>
      <c r="B9">
        <v>1</v>
      </c>
      <c r="C9">
        <v>0</v>
      </c>
      <c r="D9">
        <v>0</v>
      </c>
      <c r="E9">
        <v>4</v>
      </c>
      <c r="G9">
        <v>-4202983</v>
      </c>
      <c r="H9">
        <v>8.3000001910000005</v>
      </c>
      <c r="I9">
        <v>2.329999924</v>
      </c>
      <c r="J9" s="9">
        <f t="shared" si="1"/>
        <v>719444.25</v>
      </c>
      <c r="K9" s="52"/>
      <c r="L9" s="9">
        <f t="shared" si="0"/>
        <v>0.65999984699999992</v>
      </c>
      <c r="M9" s="9">
        <f t="shared" si="0"/>
        <v>0</v>
      </c>
    </row>
    <row r="10" spans="1:28" x14ac:dyDescent="0.25">
      <c r="A10" s="2">
        <v>6</v>
      </c>
      <c r="B10">
        <v>1</v>
      </c>
      <c r="C10">
        <v>0</v>
      </c>
      <c r="D10">
        <v>0</v>
      </c>
      <c r="E10">
        <v>5</v>
      </c>
      <c r="G10">
        <v>-4660392</v>
      </c>
      <c r="H10">
        <v>7.75</v>
      </c>
      <c r="I10">
        <v>2.329999924</v>
      </c>
      <c r="J10" s="9">
        <f t="shared" si="1"/>
        <v>457409</v>
      </c>
      <c r="K10" s="52"/>
      <c r="L10" s="9">
        <f t="shared" si="0"/>
        <v>0.55000019100000053</v>
      </c>
      <c r="M10" s="9">
        <f t="shared" si="0"/>
        <v>0</v>
      </c>
    </row>
    <row r="11" spans="1:28" x14ac:dyDescent="0.25">
      <c r="A11" s="2">
        <v>7</v>
      </c>
      <c r="B11">
        <v>1</v>
      </c>
      <c r="C11">
        <v>0</v>
      </c>
      <c r="D11">
        <v>0</v>
      </c>
      <c r="E11">
        <v>6</v>
      </c>
      <c r="G11">
        <v>-6447347.5</v>
      </c>
      <c r="H11">
        <v>-86.180000309999997</v>
      </c>
      <c r="I11">
        <v>2.329999924</v>
      </c>
      <c r="J11" s="9">
        <f t="shared" si="1"/>
        <v>1786955.5</v>
      </c>
      <c r="K11" s="52">
        <f>AVERAGE(J6:J11)</f>
        <v>797713.33333333337</v>
      </c>
      <c r="L11" s="9">
        <f t="shared" si="0"/>
        <v>93.930000309999997</v>
      </c>
      <c r="M11" s="9">
        <f t="shared" si="0"/>
        <v>0</v>
      </c>
    </row>
    <row r="12" spans="1:28" x14ac:dyDescent="0.25">
      <c r="A12" s="2">
        <v>8</v>
      </c>
      <c r="B12">
        <v>1</v>
      </c>
      <c r="C12">
        <v>0</v>
      </c>
      <c r="D12">
        <v>1</v>
      </c>
      <c r="E12">
        <v>0</v>
      </c>
      <c r="G12">
        <v>57882248</v>
      </c>
      <c r="H12">
        <v>32.060001370000002</v>
      </c>
      <c r="I12">
        <v>2.369999886</v>
      </c>
      <c r="K12" s="52"/>
      <c r="N12" s="29">
        <f>ABS(G12-G5)</f>
        <v>62548971</v>
      </c>
      <c r="O12" s="30">
        <f>(N12/ABS(G5))/3</f>
        <v>4.4677297109770606</v>
      </c>
      <c r="P12" s="30">
        <f>(N12/ABS(G5))/(IF(AND(D12=1,D5=0),(2400-600)/600,IF(AND(D12=2,D5=1),(6000-2400)/2400,IF(AND(D12=0,D5=2),ABS(600-6000)/6000,"Not Valid"))))</f>
        <v>4.4677297109770606</v>
      </c>
      <c r="Q12" s="29">
        <f>ABS(H12-H5)</f>
        <v>24.290001389000004</v>
      </c>
      <c r="R12" s="30">
        <f>(Q12/ABS(H5))/3</f>
        <v>1.0420421041783099</v>
      </c>
      <c r="S12" s="30">
        <f>(Q12/ABS(H5))/(IF(AND(D12=1,D5=0),(2400-600)/600,IF(AND(D12=2,D5=1),(6000-2400)/2400,IF(AND(D12=0,D5=2),ABS(600-6000)/6000,"Not Valid"))))</f>
        <v>1.0420421041783099</v>
      </c>
      <c r="T12" s="37">
        <f>ABS(I12-I5)</f>
        <v>3.9999962E-2</v>
      </c>
      <c r="U12" s="30">
        <f>(T12/ABS(I5))/3</f>
        <v>5.7224554084005482E-3</v>
      </c>
      <c r="V12" s="38">
        <f>(T12/ABS(H5))/(IF(AND(D12=1,D5=0),(2400-600)/600,IF(AND(D12=2,D5=1),(6000-2400)/2400,IF(AND(D12=0,D5=2),ABS(600-6000)/6000,"Not Valid"))))</f>
        <v>1.7160000899962252E-3</v>
      </c>
      <c r="Z12" s="7"/>
      <c r="AA12" s="7"/>
      <c r="AB12" s="10"/>
    </row>
    <row r="13" spans="1:28" x14ac:dyDescent="0.25">
      <c r="A13" s="2">
        <v>9</v>
      </c>
      <c r="B13">
        <v>1</v>
      </c>
      <c r="C13">
        <v>0</v>
      </c>
      <c r="D13">
        <v>1</v>
      </c>
      <c r="E13">
        <v>1</v>
      </c>
      <c r="G13">
        <v>60533832</v>
      </c>
      <c r="H13">
        <v>32.840000150000002</v>
      </c>
      <c r="I13">
        <v>2.369999886</v>
      </c>
      <c r="J13" s="9">
        <f>ABS(G13-G12)</f>
        <v>2651584</v>
      </c>
      <c r="K13" s="52"/>
      <c r="L13" s="9">
        <f t="shared" ref="L13:M18" si="2">ABS(H13-H12)</f>
        <v>0.77999877999999967</v>
      </c>
      <c r="M13" s="9">
        <f t="shared" si="2"/>
        <v>0</v>
      </c>
      <c r="N13" s="29">
        <f t="shared" ref="N13:N76" si="3">ABS(G13-G6)</f>
        <v>64566669</v>
      </c>
      <c r="O13" s="30">
        <f t="shared" ref="O13:O76" si="4">(N13/ABS(G6))/3</f>
        <v>5.3367450754890413</v>
      </c>
      <c r="P13" s="30">
        <f t="shared" ref="P13:P76" si="5">(N13/ABS(G6))/(IF(AND(D13=1,D6=0),(2400-600)/600,IF(AND(D13=2,D6=1),(6000-2400)/2400,IF(AND(D13=0,D6=2),ABS(600-6000)/6000,"Not Valid"))))</f>
        <v>5.3367450754890413</v>
      </c>
      <c r="Q13" s="29">
        <f t="shared" ref="Q13:Q76" si="6">ABS(H13-H6)</f>
        <v>24.409999845000002</v>
      </c>
      <c r="R13" s="30">
        <f t="shared" ref="R13:R76" si="7">(Q13/ABS(H6))/3</f>
        <v>0.96520359675123413</v>
      </c>
      <c r="S13" s="30">
        <f t="shared" ref="S13:S76" si="8">(Q13/ABS(H6))/(IF(AND(D13=1,D6=0),(2400-600)/600,IF(AND(D13=2,D6=1),(6000-2400)/2400,IF(AND(D13=0,D6=2),ABS(600-6000)/6000,"Not Valid"))))</f>
        <v>0.96520359675123413</v>
      </c>
      <c r="T13" s="37">
        <f t="shared" ref="T13:T76" si="9">ABS(I13-I6)</f>
        <v>3.9999962E-2</v>
      </c>
      <c r="U13" s="30">
        <f t="shared" ref="U13:U76" si="10">(T13/ABS(I6))/3</f>
        <v>5.7224554084005482E-3</v>
      </c>
      <c r="V13" s="38">
        <f t="shared" ref="V13:V76" si="11">(T13/ABS(H6))/(IF(AND(D13=1,D6=0),(2400-600)/600,IF(AND(D13=2,D6=1),(6000-2400)/2400,IF(AND(D13=0,D6=2),ABS(600-6000)/6000,"Not Valid"))))</f>
        <v>1.5816512674096119E-3</v>
      </c>
      <c r="Z13" s="7"/>
      <c r="AA13" s="7"/>
      <c r="AB13" s="10"/>
    </row>
    <row r="14" spans="1:28" x14ac:dyDescent="0.25">
      <c r="A14" s="2">
        <v>10</v>
      </c>
      <c r="B14">
        <v>1</v>
      </c>
      <c r="C14">
        <v>0</v>
      </c>
      <c r="D14">
        <v>1</v>
      </c>
      <c r="E14">
        <v>2</v>
      </c>
      <c r="G14">
        <v>59049788</v>
      </c>
      <c r="H14">
        <v>32.439998629999998</v>
      </c>
      <c r="I14">
        <v>2.369999886</v>
      </c>
      <c r="J14" s="9">
        <f t="shared" ref="J14:J18" si="12">ABS(G14-G13)</f>
        <v>1484044</v>
      </c>
      <c r="K14" s="52"/>
      <c r="L14" s="9">
        <f t="shared" si="2"/>
        <v>0.40000152000000355</v>
      </c>
      <c r="M14" s="9">
        <f t="shared" si="2"/>
        <v>0</v>
      </c>
      <c r="N14" s="29">
        <f t="shared" si="3"/>
        <v>63402268.5</v>
      </c>
      <c r="O14" s="30">
        <f t="shared" si="4"/>
        <v>4.8556425468189923</v>
      </c>
      <c r="P14" s="30">
        <f t="shared" si="5"/>
        <v>4.8556425468189923</v>
      </c>
      <c r="Q14" s="29">
        <f t="shared" si="6"/>
        <v>24.349998477</v>
      </c>
      <c r="R14" s="30">
        <f t="shared" si="7"/>
        <v>1.0032961687880946</v>
      </c>
      <c r="S14" s="30">
        <f t="shared" si="8"/>
        <v>1.0032961687880946</v>
      </c>
      <c r="T14" s="37">
        <f t="shared" si="9"/>
        <v>3.9999962E-2</v>
      </c>
      <c r="U14" s="30">
        <f t="shared" si="10"/>
        <v>5.7224554084005482E-3</v>
      </c>
      <c r="V14" s="38">
        <f t="shared" si="11"/>
        <v>1.648123660630871E-3</v>
      </c>
      <c r="Z14" s="7"/>
      <c r="AA14" s="7"/>
      <c r="AB14" s="10"/>
    </row>
    <row r="15" spans="1:28" x14ac:dyDescent="0.25">
      <c r="A15" s="2">
        <v>11</v>
      </c>
      <c r="B15">
        <v>1</v>
      </c>
      <c r="C15">
        <v>0</v>
      </c>
      <c r="D15">
        <v>1</v>
      </c>
      <c r="E15">
        <v>3</v>
      </c>
      <c r="G15">
        <v>62502248</v>
      </c>
      <c r="H15">
        <v>33.47000122</v>
      </c>
      <c r="I15">
        <v>2.369999886</v>
      </c>
      <c r="J15" s="9">
        <f t="shared" si="12"/>
        <v>3452460</v>
      </c>
      <c r="K15" s="52"/>
      <c r="L15" s="9">
        <f t="shared" si="2"/>
        <v>1.0300025900000023</v>
      </c>
      <c r="M15" s="9">
        <f t="shared" si="2"/>
        <v>0</v>
      </c>
      <c r="N15" s="29">
        <f t="shared" si="3"/>
        <v>65985786.75</v>
      </c>
      <c r="O15" s="30">
        <f t="shared" si="4"/>
        <v>6.3140570059684284</v>
      </c>
      <c r="P15" s="30">
        <f t="shared" si="5"/>
        <v>6.3140570059684284</v>
      </c>
      <c r="Q15" s="29">
        <f t="shared" si="6"/>
        <v>24.510001182</v>
      </c>
      <c r="R15" s="30">
        <f t="shared" si="7"/>
        <v>0.91183039724893356</v>
      </c>
      <c r="S15" s="30">
        <f t="shared" si="8"/>
        <v>0.91183039724893356</v>
      </c>
      <c r="T15" s="37">
        <f t="shared" si="9"/>
        <v>3.9999962E-2</v>
      </c>
      <c r="U15" s="30">
        <f t="shared" si="10"/>
        <v>5.7224554084005482E-3</v>
      </c>
      <c r="V15" s="38">
        <f t="shared" si="11"/>
        <v>1.4880938180936497E-3</v>
      </c>
      <c r="Z15" s="7"/>
      <c r="AA15" s="7"/>
      <c r="AB15" s="10"/>
    </row>
    <row r="16" spans="1:28" x14ac:dyDescent="0.25">
      <c r="A16" s="2">
        <v>12</v>
      </c>
      <c r="B16">
        <v>1</v>
      </c>
      <c r="C16">
        <v>0</v>
      </c>
      <c r="D16">
        <v>1</v>
      </c>
      <c r="E16">
        <v>4</v>
      </c>
      <c r="G16">
        <v>59028648</v>
      </c>
      <c r="H16">
        <v>32.52999878</v>
      </c>
      <c r="I16">
        <v>2.369999886</v>
      </c>
      <c r="J16" s="9">
        <f t="shared" si="12"/>
        <v>3473600</v>
      </c>
      <c r="K16" s="52"/>
      <c r="L16" s="9">
        <f t="shared" si="2"/>
        <v>0.94000244000000066</v>
      </c>
      <c r="M16" s="9">
        <f t="shared" si="2"/>
        <v>0</v>
      </c>
      <c r="N16" s="29">
        <f t="shared" si="3"/>
        <v>63231631</v>
      </c>
      <c r="O16" s="30">
        <f t="shared" si="4"/>
        <v>5.0148216952895917</v>
      </c>
      <c r="P16" s="30">
        <f t="shared" si="5"/>
        <v>5.0148216952895917</v>
      </c>
      <c r="Q16" s="29">
        <f t="shared" si="6"/>
        <v>24.229998588999997</v>
      </c>
      <c r="R16" s="30">
        <f t="shared" si="7"/>
        <v>0.97309229041839806</v>
      </c>
      <c r="S16" s="30">
        <f t="shared" si="8"/>
        <v>0.97309229041839806</v>
      </c>
      <c r="T16" s="37">
        <f t="shared" si="9"/>
        <v>3.9999962E-2</v>
      </c>
      <c r="U16" s="30">
        <f t="shared" si="10"/>
        <v>5.7224554084005482E-3</v>
      </c>
      <c r="V16" s="38">
        <f t="shared" si="11"/>
        <v>1.6064241397397176E-3</v>
      </c>
      <c r="Z16" s="7"/>
      <c r="AA16" s="7"/>
      <c r="AB16" s="10"/>
    </row>
    <row r="17" spans="1:28" x14ac:dyDescent="0.25">
      <c r="A17" s="2">
        <v>13</v>
      </c>
      <c r="B17">
        <v>1</v>
      </c>
      <c r="C17">
        <v>0</v>
      </c>
      <c r="D17">
        <v>1</v>
      </c>
      <c r="E17">
        <v>5</v>
      </c>
      <c r="G17">
        <v>54923976</v>
      </c>
      <c r="H17">
        <v>32.020000459999999</v>
      </c>
      <c r="I17">
        <v>2.369999886</v>
      </c>
      <c r="J17" s="9">
        <f t="shared" si="12"/>
        <v>4104672</v>
      </c>
      <c r="K17" s="52"/>
      <c r="L17" s="9">
        <f t="shared" si="2"/>
        <v>0.50999832000000112</v>
      </c>
      <c r="M17" s="9">
        <f t="shared" si="2"/>
        <v>0</v>
      </c>
      <c r="N17" s="29">
        <f t="shared" si="3"/>
        <v>59584368</v>
      </c>
      <c r="O17" s="30">
        <f t="shared" si="4"/>
        <v>4.2617565217689846</v>
      </c>
      <c r="P17" s="30">
        <f t="shared" si="5"/>
        <v>4.2617565217689846</v>
      </c>
      <c r="Q17" s="29">
        <f t="shared" si="6"/>
        <v>24.270000459999999</v>
      </c>
      <c r="R17" s="30">
        <f t="shared" si="7"/>
        <v>1.0438709875268817</v>
      </c>
      <c r="S17" s="30">
        <f t="shared" si="8"/>
        <v>1.0438709875268817</v>
      </c>
      <c r="T17" s="37">
        <f t="shared" si="9"/>
        <v>3.9999962E-2</v>
      </c>
      <c r="U17" s="30">
        <f t="shared" si="10"/>
        <v>5.7224554084005482E-3</v>
      </c>
      <c r="V17" s="38">
        <f t="shared" si="11"/>
        <v>1.7204284731182796E-3</v>
      </c>
      <c r="Z17" s="7"/>
      <c r="AA17" s="7"/>
      <c r="AB17" s="10"/>
    </row>
    <row r="18" spans="1:28" x14ac:dyDescent="0.25">
      <c r="A18" s="2">
        <v>14</v>
      </c>
      <c r="B18">
        <v>1</v>
      </c>
      <c r="C18">
        <v>0</v>
      </c>
      <c r="D18">
        <v>1</v>
      </c>
      <c r="E18">
        <v>6</v>
      </c>
      <c r="G18">
        <v>45105628</v>
      </c>
      <c r="H18">
        <v>29.590000150000002</v>
      </c>
      <c r="I18">
        <v>2.369999886</v>
      </c>
      <c r="J18" s="9">
        <f t="shared" si="12"/>
        <v>9818348</v>
      </c>
      <c r="K18" s="52">
        <f>AVERAGE(J13:J18)</f>
        <v>4164118</v>
      </c>
      <c r="L18" s="9">
        <f t="shared" si="2"/>
        <v>2.4300003099999969</v>
      </c>
      <c r="M18" s="9">
        <f t="shared" si="2"/>
        <v>0</v>
      </c>
      <c r="N18" s="29">
        <f t="shared" si="3"/>
        <v>51552975.5</v>
      </c>
      <c r="O18" s="30">
        <f t="shared" si="4"/>
        <v>2.6653325521335196</v>
      </c>
      <c r="P18" s="30">
        <f t="shared" si="5"/>
        <v>2.6653325521335196</v>
      </c>
      <c r="Q18" s="29">
        <f t="shared" si="6"/>
        <v>115.77000046000001</v>
      </c>
      <c r="R18" s="30">
        <f t="shared" si="7"/>
        <v>0.44778370868554634</v>
      </c>
      <c r="S18" s="30">
        <f t="shared" si="8"/>
        <v>0.44778370868554634</v>
      </c>
      <c r="T18" s="37">
        <f t="shared" si="9"/>
        <v>3.9999962E-2</v>
      </c>
      <c r="U18" s="30">
        <f t="shared" si="10"/>
        <v>5.7224554084005482E-3</v>
      </c>
      <c r="V18" s="38">
        <f t="shared" si="11"/>
        <v>1.5471479019151871E-4</v>
      </c>
      <c r="Z18" s="7"/>
      <c r="AA18" s="7"/>
      <c r="AB18" s="10"/>
    </row>
    <row r="19" spans="1:28" x14ac:dyDescent="0.25">
      <c r="A19" s="2">
        <v>15</v>
      </c>
      <c r="B19">
        <v>1</v>
      </c>
      <c r="C19">
        <v>0</v>
      </c>
      <c r="D19">
        <v>2</v>
      </c>
      <c r="E19">
        <v>0</v>
      </c>
      <c r="G19">
        <v>260752464</v>
      </c>
      <c r="H19">
        <v>61.189998629999998</v>
      </c>
      <c r="I19">
        <v>2.4700000289999999</v>
      </c>
      <c r="K19" s="52"/>
      <c r="N19" s="29">
        <f t="shared" si="3"/>
        <v>202870216</v>
      </c>
      <c r="O19" s="30">
        <f t="shared" si="4"/>
        <v>1.1682926574194792</v>
      </c>
      <c r="P19" s="30">
        <f t="shared" si="5"/>
        <v>2.3365853148389584</v>
      </c>
      <c r="Q19" s="29">
        <f t="shared" si="6"/>
        <v>29.129997259999996</v>
      </c>
      <c r="R19" s="30">
        <f t="shared" si="7"/>
        <v>0.30286957803291775</v>
      </c>
      <c r="S19" s="30">
        <f t="shared" si="8"/>
        <v>0.6057391560658355</v>
      </c>
      <c r="T19" s="37">
        <f t="shared" si="9"/>
        <v>0.10000014299999993</v>
      </c>
      <c r="U19" s="30">
        <f t="shared" si="10"/>
        <v>1.4064718398049736E-2</v>
      </c>
      <c r="V19" s="38">
        <f t="shared" si="11"/>
        <v>2.0794372785767584E-3</v>
      </c>
      <c r="Z19" s="7"/>
      <c r="AA19" s="7"/>
      <c r="AB19" s="10"/>
    </row>
    <row r="20" spans="1:28" x14ac:dyDescent="0.25">
      <c r="A20" s="2"/>
      <c r="B20">
        <v>1</v>
      </c>
      <c r="C20">
        <v>0</v>
      </c>
      <c r="D20">
        <v>2</v>
      </c>
      <c r="E20">
        <v>1</v>
      </c>
      <c r="G20">
        <v>268792448</v>
      </c>
      <c r="H20">
        <v>63.240001679999999</v>
      </c>
      <c r="I20">
        <v>2.4700000289999999</v>
      </c>
      <c r="J20" s="9">
        <f t="shared" ref="J20:J81" si="13">ABS(G20-G19)</f>
        <v>8039984</v>
      </c>
      <c r="K20" s="52"/>
      <c r="L20" s="9">
        <f t="shared" ref="L20:M25" si="14">ABS(H20-H19)</f>
        <v>2.0500030500000008</v>
      </c>
      <c r="M20" s="9">
        <f t="shared" si="14"/>
        <v>0</v>
      </c>
      <c r="N20" s="29">
        <f t="shared" si="3"/>
        <v>208258616</v>
      </c>
      <c r="O20" s="30">
        <f t="shared" si="4"/>
        <v>1.1467890991382583</v>
      </c>
      <c r="P20" s="30">
        <f t="shared" si="5"/>
        <v>2.2935781982765167</v>
      </c>
      <c r="Q20" s="29">
        <f t="shared" si="6"/>
        <v>30.400001529999997</v>
      </c>
      <c r="R20" s="30">
        <f t="shared" si="7"/>
        <v>0.30856680258977803</v>
      </c>
      <c r="S20" s="30">
        <f t="shared" si="8"/>
        <v>0.61713360517955607</v>
      </c>
      <c r="T20" s="37">
        <f t="shared" si="9"/>
        <v>0.10000014299999993</v>
      </c>
      <c r="U20" s="30">
        <f t="shared" si="10"/>
        <v>1.4064718398049736E-2</v>
      </c>
      <c r="V20" s="38">
        <f t="shared" si="11"/>
        <v>2.0300475546739592E-3</v>
      </c>
      <c r="Z20" s="7"/>
      <c r="AA20" s="7"/>
      <c r="AB20" s="10"/>
    </row>
    <row r="21" spans="1:28" x14ac:dyDescent="0.25">
      <c r="A21" s="2">
        <v>17</v>
      </c>
      <c r="B21">
        <v>1</v>
      </c>
      <c r="C21">
        <v>0</v>
      </c>
      <c r="D21">
        <v>2</v>
      </c>
      <c r="E21">
        <v>2</v>
      </c>
      <c r="G21">
        <v>264480544</v>
      </c>
      <c r="H21">
        <v>62.159999849999998</v>
      </c>
      <c r="I21">
        <v>2.4700000289999999</v>
      </c>
      <c r="J21" s="9">
        <f t="shared" si="13"/>
        <v>4311904</v>
      </c>
      <c r="K21" s="52"/>
      <c r="L21" s="9">
        <f t="shared" si="14"/>
        <v>1.0800018300000005</v>
      </c>
      <c r="M21" s="9">
        <f t="shared" si="14"/>
        <v>0</v>
      </c>
      <c r="N21" s="29">
        <f t="shared" si="3"/>
        <v>205430756</v>
      </c>
      <c r="O21" s="30">
        <f t="shared" si="4"/>
        <v>1.1596471551543364</v>
      </c>
      <c r="P21" s="30">
        <f t="shared" si="5"/>
        <v>2.3192943103086727</v>
      </c>
      <c r="Q21" s="29">
        <f t="shared" si="6"/>
        <v>29.72000122</v>
      </c>
      <c r="R21" s="30">
        <f t="shared" si="7"/>
        <v>0.30538432465196852</v>
      </c>
      <c r="S21" s="30">
        <f t="shared" si="8"/>
        <v>0.61076864930393704</v>
      </c>
      <c r="T21" s="37">
        <f t="shared" si="9"/>
        <v>0.10000014299999993</v>
      </c>
      <c r="U21" s="30">
        <f t="shared" si="10"/>
        <v>1.4064718398049736E-2</v>
      </c>
      <c r="V21" s="38">
        <f t="shared" si="11"/>
        <v>2.0550790633618457E-3</v>
      </c>
      <c r="Z21" s="7"/>
      <c r="AA21" s="7"/>
      <c r="AB21" s="10"/>
    </row>
    <row r="22" spans="1:28" x14ac:dyDescent="0.25">
      <c r="A22" s="2">
        <v>18</v>
      </c>
      <c r="B22">
        <v>1</v>
      </c>
      <c r="C22">
        <v>0</v>
      </c>
      <c r="D22">
        <v>2</v>
      </c>
      <c r="E22">
        <v>3</v>
      </c>
      <c r="G22">
        <v>275226304</v>
      </c>
      <c r="H22">
        <v>65.440002440000001</v>
      </c>
      <c r="I22">
        <v>2.4800000190000002</v>
      </c>
      <c r="J22" s="9">
        <f t="shared" si="13"/>
        <v>10745760</v>
      </c>
      <c r="K22" s="52"/>
      <c r="L22" s="9">
        <f t="shared" si="14"/>
        <v>3.2800025900000023</v>
      </c>
      <c r="M22" s="9">
        <f t="shared" si="14"/>
        <v>9.9999900000002917E-3</v>
      </c>
      <c r="N22" s="29">
        <f t="shared" si="3"/>
        <v>212724056</v>
      </c>
      <c r="O22" s="30">
        <f t="shared" si="4"/>
        <v>1.1344874934205034</v>
      </c>
      <c r="P22" s="30">
        <f t="shared" si="5"/>
        <v>2.2689749868410067</v>
      </c>
      <c r="Q22" s="29">
        <f t="shared" si="6"/>
        <v>31.97000122</v>
      </c>
      <c r="R22" s="30">
        <f t="shared" si="7"/>
        <v>0.31839458275745275</v>
      </c>
      <c r="S22" s="30">
        <f t="shared" si="8"/>
        <v>0.6367891655149055</v>
      </c>
      <c r="T22" s="37">
        <f t="shared" si="9"/>
        <v>0.11000013300000022</v>
      </c>
      <c r="U22" s="30">
        <f t="shared" si="10"/>
        <v>1.5471186820133069E-2</v>
      </c>
      <c r="V22" s="38">
        <f t="shared" si="11"/>
        <v>2.1910194002675971E-3</v>
      </c>
      <c r="Z22" s="7"/>
      <c r="AA22" s="7"/>
      <c r="AB22" s="10"/>
    </row>
    <row r="23" spans="1:28" x14ac:dyDescent="0.25">
      <c r="A23" s="2">
        <v>19</v>
      </c>
      <c r="B23">
        <v>1</v>
      </c>
      <c r="C23">
        <v>0</v>
      </c>
      <c r="D23">
        <v>2</v>
      </c>
      <c r="E23">
        <v>4</v>
      </c>
      <c r="G23">
        <v>263155168</v>
      </c>
      <c r="H23">
        <v>64.199996949999999</v>
      </c>
      <c r="I23">
        <v>2.4800000190000002</v>
      </c>
      <c r="J23" s="9">
        <f t="shared" si="13"/>
        <v>12071136</v>
      </c>
      <c r="K23" s="52"/>
      <c r="L23" s="9">
        <f t="shared" si="14"/>
        <v>1.2400054900000015</v>
      </c>
      <c r="M23" s="9">
        <f t="shared" si="14"/>
        <v>0</v>
      </c>
      <c r="N23" s="29">
        <f t="shared" si="3"/>
        <v>204126520</v>
      </c>
      <c r="O23" s="30">
        <f t="shared" si="4"/>
        <v>1.1526974721381613</v>
      </c>
      <c r="P23" s="30">
        <f t="shared" si="5"/>
        <v>2.3053949442763226</v>
      </c>
      <c r="Q23" s="29">
        <f t="shared" si="6"/>
        <v>31.66999817</v>
      </c>
      <c r="R23" s="30">
        <f t="shared" si="7"/>
        <v>0.32452094843474405</v>
      </c>
      <c r="S23" s="30">
        <f t="shared" si="8"/>
        <v>0.6490418968694881</v>
      </c>
      <c r="T23" s="37">
        <f t="shared" si="9"/>
        <v>0.11000013300000022</v>
      </c>
      <c r="U23" s="30">
        <f t="shared" si="10"/>
        <v>1.5471186820133069E-2</v>
      </c>
      <c r="V23" s="38">
        <f t="shared" si="11"/>
        <v>2.2543321472574657E-3</v>
      </c>
      <c r="Z23" s="7"/>
      <c r="AA23" s="7"/>
      <c r="AB23" s="10"/>
    </row>
    <row r="24" spans="1:28" x14ac:dyDescent="0.25">
      <c r="A24" s="2">
        <v>20</v>
      </c>
      <c r="B24">
        <v>1</v>
      </c>
      <c r="C24">
        <v>0</v>
      </c>
      <c r="D24">
        <v>2</v>
      </c>
      <c r="E24">
        <v>5</v>
      </c>
      <c r="G24">
        <v>248563072</v>
      </c>
      <c r="H24">
        <v>64.16999817</v>
      </c>
      <c r="I24">
        <v>2.4800000190000002</v>
      </c>
      <c r="J24" s="9">
        <f t="shared" si="13"/>
        <v>14592096</v>
      </c>
      <c r="K24" s="52"/>
      <c r="L24" s="9">
        <f t="shared" si="14"/>
        <v>2.999877999999967E-2</v>
      </c>
      <c r="M24" s="9">
        <f t="shared" si="14"/>
        <v>0</v>
      </c>
      <c r="N24" s="29">
        <f t="shared" si="3"/>
        <v>193639096</v>
      </c>
      <c r="O24" s="30">
        <f t="shared" si="4"/>
        <v>1.1751946969996006</v>
      </c>
      <c r="P24" s="30">
        <f t="shared" si="5"/>
        <v>2.3503893939992011</v>
      </c>
      <c r="Q24" s="29">
        <f t="shared" si="6"/>
        <v>32.149997710000001</v>
      </c>
      <c r="R24" s="30">
        <f t="shared" si="7"/>
        <v>0.334686625527092</v>
      </c>
      <c r="S24" s="30">
        <f t="shared" si="8"/>
        <v>0.66937325105418399</v>
      </c>
      <c r="T24" s="37">
        <f t="shared" si="9"/>
        <v>0.11000013300000022</v>
      </c>
      <c r="U24" s="30">
        <f t="shared" si="10"/>
        <v>1.5471186820133069E-2</v>
      </c>
      <c r="V24" s="38">
        <f t="shared" si="11"/>
        <v>2.2902380058241931E-3</v>
      </c>
      <c r="Z24" s="7"/>
      <c r="AA24" s="7"/>
      <c r="AB24" s="10"/>
    </row>
    <row r="25" spans="1:28" x14ac:dyDescent="0.25">
      <c r="A25" s="2">
        <v>21</v>
      </c>
      <c r="B25">
        <v>1</v>
      </c>
      <c r="C25">
        <v>0</v>
      </c>
      <c r="D25">
        <v>2</v>
      </c>
      <c r="E25">
        <v>6</v>
      </c>
      <c r="G25">
        <v>214266848</v>
      </c>
      <c r="H25">
        <v>60.549999239999998</v>
      </c>
      <c r="I25">
        <v>2.4800000190000002</v>
      </c>
      <c r="J25" s="9">
        <f t="shared" si="13"/>
        <v>34296224</v>
      </c>
      <c r="K25" s="52">
        <f t="shared" ref="K25" si="15">AVERAGE(J20:J25)</f>
        <v>14009517.333333334</v>
      </c>
      <c r="L25" s="9">
        <f t="shared" si="14"/>
        <v>3.6199989300000013</v>
      </c>
      <c r="M25" s="9">
        <f t="shared" si="14"/>
        <v>0</v>
      </c>
      <c r="N25" s="29">
        <f t="shared" si="3"/>
        <v>169161220</v>
      </c>
      <c r="O25" s="30">
        <f t="shared" si="4"/>
        <v>1.250111700768989</v>
      </c>
      <c r="P25" s="30">
        <f t="shared" si="5"/>
        <v>2.5002234015379781</v>
      </c>
      <c r="Q25" s="29">
        <f t="shared" si="6"/>
        <v>30.959999089999997</v>
      </c>
      <c r="R25" s="30">
        <f t="shared" si="7"/>
        <v>0.3487664631413212</v>
      </c>
      <c r="S25" s="30">
        <f t="shared" si="8"/>
        <v>0.69753292628264241</v>
      </c>
      <c r="T25" s="37">
        <f t="shared" si="9"/>
        <v>0.11000013300000022</v>
      </c>
      <c r="U25" s="30">
        <f t="shared" si="10"/>
        <v>1.5471186820133069E-2</v>
      </c>
      <c r="V25" s="38">
        <f t="shared" si="11"/>
        <v>2.4783177299172857E-3</v>
      </c>
      <c r="Z25" s="7"/>
      <c r="AA25" s="7"/>
      <c r="AB25" s="10"/>
    </row>
    <row r="26" spans="1:28" x14ac:dyDescent="0.25">
      <c r="A26" s="2">
        <v>22</v>
      </c>
      <c r="B26">
        <v>1</v>
      </c>
      <c r="C26">
        <v>1</v>
      </c>
      <c r="D26">
        <v>0</v>
      </c>
      <c r="E26">
        <v>0</v>
      </c>
      <c r="G26">
        <v>-4408647.5</v>
      </c>
      <c r="H26">
        <v>8.0600004199999997</v>
      </c>
      <c r="I26">
        <v>2.329999924</v>
      </c>
      <c r="K26" s="52"/>
      <c r="N26" s="29">
        <f t="shared" si="3"/>
        <v>265161111.5</v>
      </c>
      <c r="O26" s="30">
        <f t="shared" si="4"/>
        <v>0.3389691349826196</v>
      </c>
      <c r="P26" s="30">
        <f t="shared" si="5"/>
        <v>1.1298971166087319</v>
      </c>
      <c r="Q26" s="29">
        <f t="shared" si="6"/>
        <v>53.129998209999997</v>
      </c>
      <c r="R26" s="30">
        <f t="shared" si="7"/>
        <v>0.28942637358796314</v>
      </c>
      <c r="S26" s="30">
        <f t="shared" si="8"/>
        <v>0.96475457862654379</v>
      </c>
      <c r="T26" s="37">
        <f t="shared" si="9"/>
        <v>0.14000010499999993</v>
      </c>
      <c r="U26" s="30">
        <f t="shared" si="10"/>
        <v>1.8893401262655065E-2</v>
      </c>
      <c r="V26" s="38">
        <f t="shared" si="11"/>
        <v>2.5421747949828668E-3</v>
      </c>
      <c r="W26" s="12">
        <f t="shared" ref="W26:Y41" si="16">ABS(G26-G5)</f>
        <v>258075.5</v>
      </c>
      <c r="X26" s="12">
        <f t="shared" si="16"/>
        <v>0.29000043899999994</v>
      </c>
      <c r="Y26" s="11">
        <f t="shared" si="16"/>
        <v>0</v>
      </c>
      <c r="Z26" s="7"/>
      <c r="AA26" s="7"/>
      <c r="AB26" s="10"/>
    </row>
    <row r="27" spans="1:28" x14ac:dyDescent="0.25">
      <c r="A27" s="2">
        <v>23</v>
      </c>
      <c r="B27">
        <v>1</v>
      </c>
      <c r="C27">
        <v>1</v>
      </c>
      <c r="D27">
        <v>0</v>
      </c>
      <c r="E27">
        <v>1</v>
      </c>
      <c r="G27">
        <v>-3769528.5</v>
      </c>
      <c r="H27">
        <v>8.7100000380000004</v>
      </c>
      <c r="I27">
        <v>2.329999924</v>
      </c>
      <c r="J27" s="9">
        <f t="shared" ref="J27:J88" si="17">ABS(G27-G26)</f>
        <v>639119</v>
      </c>
      <c r="K27" s="52"/>
      <c r="L27" s="9">
        <f t="shared" ref="L27:M32" si="18">ABS(H27-H26)</f>
        <v>0.64999961800000072</v>
      </c>
      <c r="M27" s="9">
        <f t="shared" si="18"/>
        <v>0</v>
      </c>
      <c r="N27" s="29">
        <f>ABS(G27-G20)</f>
        <v>272561976.5</v>
      </c>
      <c r="O27" s="30">
        <f t="shared" si="4"/>
        <v>0.33800797917754988</v>
      </c>
      <c r="P27" s="30">
        <f t="shared" si="5"/>
        <v>1.1266932639251663</v>
      </c>
      <c r="Q27" s="29">
        <f t="shared" si="6"/>
        <v>54.530001642000002</v>
      </c>
      <c r="R27" s="30">
        <f t="shared" si="7"/>
        <v>0.28742357259848827</v>
      </c>
      <c r="S27" s="30">
        <f t="shared" si="8"/>
        <v>0.95807857532829421</v>
      </c>
      <c r="T27" s="37">
        <f t="shared" si="9"/>
        <v>0.14000010499999993</v>
      </c>
      <c r="U27" s="30">
        <f t="shared" si="10"/>
        <v>1.8893401262655065E-2</v>
      </c>
      <c r="V27" s="38">
        <f t="shared" si="11"/>
        <v>2.4597670475935089E-3</v>
      </c>
      <c r="W27" s="9">
        <f t="shared" si="16"/>
        <v>263308.5</v>
      </c>
      <c r="X27" s="12">
        <f t="shared" si="16"/>
        <v>0.27999973300000036</v>
      </c>
      <c r="Y27" s="11">
        <f t="shared" si="16"/>
        <v>0</v>
      </c>
      <c r="Z27" s="7"/>
      <c r="AA27" s="7"/>
      <c r="AB27" s="10"/>
    </row>
    <row r="28" spans="1:28" x14ac:dyDescent="0.25">
      <c r="A28" s="2">
        <v>24</v>
      </c>
      <c r="B28">
        <v>1</v>
      </c>
      <c r="C28">
        <v>1</v>
      </c>
      <c r="D28">
        <v>0</v>
      </c>
      <c r="E28">
        <v>2</v>
      </c>
      <c r="G28">
        <v>-4094715.75</v>
      </c>
      <c r="H28">
        <v>8.3900003430000005</v>
      </c>
      <c r="I28">
        <v>2.329999924</v>
      </c>
      <c r="J28" s="9">
        <f t="shared" si="17"/>
        <v>325187.25</v>
      </c>
      <c r="K28" s="52"/>
      <c r="L28" s="9">
        <f t="shared" si="18"/>
        <v>0.31999969499999992</v>
      </c>
      <c r="M28" s="9">
        <f t="shared" si="18"/>
        <v>0</v>
      </c>
      <c r="N28" s="29">
        <f t="shared" si="3"/>
        <v>268575259.75</v>
      </c>
      <c r="O28" s="30">
        <f t="shared" si="4"/>
        <v>0.33849403524870753</v>
      </c>
      <c r="P28" s="30">
        <f t="shared" si="5"/>
        <v>1.1283134508290249</v>
      </c>
      <c r="Q28" s="29">
        <f t="shared" si="6"/>
        <v>53.769999506999994</v>
      </c>
      <c r="R28" s="30">
        <f t="shared" si="7"/>
        <v>0.28834191139400395</v>
      </c>
      <c r="S28" s="30">
        <f t="shared" si="8"/>
        <v>0.96113970464667975</v>
      </c>
      <c r="T28" s="37">
        <f t="shared" si="9"/>
        <v>0.14000010499999993</v>
      </c>
      <c r="U28" s="30">
        <f t="shared" si="10"/>
        <v>1.8893401262655065E-2</v>
      </c>
      <c r="V28" s="38">
        <f t="shared" si="11"/>
        <v>2.5025043854182403E-3</v>
      </c>
      <c r="W28" s="9">
        <f t="shared" si="16"/>
        <v>257764.75</v>
      </c>
      <c r="X28" s="12">
        <f t="shared" si="16"/>
        <v>0.30000019000000044</v>
      </c>
      <c r="Y28" s="11">
        <f t="shared" si="16"/>
        <v>0</v>
      </c>
      <c r="Z28" s="7"/>
      <c r="AA28" s="7"/>
      <c r="AB28" s="10"/>
    </row>
    <row r="29" spans="1:28" x14ac:dyDescent="0.25">
      <c r="A29" s="2">
        <v>25</v>
      </c>
      <c r="B29">
        <v>1</v>
      </c>
      <c r="C29">
        <v>1</v>
      </c>
      <c r="D29">
        <v>0</v>
      </c>
      <c r="E29">
        <v>3</v>
      </c>
      <c r="G29">
        <v>-3222646.25</v>
      </c>
      <c r="H29">
        <v>9.2399997710000008</v>
      </c>
      <c r="I29">
        <v>2.329999924</v>
      </c>
      <c r="J29" s="9">
        <f t="shared" si="17"/>
        <v>872069.5</v>
      </c>
      <c r="K29" s="52"/>
      <c r="L29" s="9">
        <f t="shared" si="18"/>
        <v>0.84999942800000028</v>
      </c>
      <c r="M29" s="9">
        <f t="shared" si="18"/>
        <v>0</v>
      </c>
      <c r="N29" s="29">
        <f t="shared" si="3"/>
        <v>278448950.25</v>
      </c>
      <c r="O29" s="30">
        <f t="shared" si="4"/>
        <v>0.33723635931978363</v>
      </c>
      <c r="P29" s="30">
        <f t="shared" si="5"/>
        <v>1.1241211977326122</v>
      </c>
      <c r="Q29" s="29">
        <f t="shared" si="6"/>
        <v>56.200002669</v>
      </c>
      <c r="R29" s="30">
        <f t="shared" si="7"/>
        <v>0.28626732158477591</v>
      </c>
      <c r="S29" s="30">
        <f t="shared" si="8"/>
        <v>0.95422440528258634</v>
      </c>
      <c r="T29" s="37">
        <f t="shared" si="9"/>
        <v>0.15000009500000022</v>
      </c>
      <c r="U29" s="30">
        <f t="shared" si="10"/>
        <v>2.0161302936936281E-2</v>
      </c>
      <c r="V29" s="38">
        <f t="shared" si="11"/>
        <v>2.5468637837389187E-3</v>
      </c>
      <c r="W29" s="9">
        <f t="shared" si="16"/>
        <v>260892.5</v>
      </c>
      <c r="X29" s="12">
        <f t="shared" si="16"/>
        <v>0.27999973300000036</v>
      </c>
      <c r="Y29" s="11">
        <f t="shared" si="16"/>
        <v>0</v>
      </c>
      <c r="Z29" s="7"/>
      <c r="AA29" s="7"/>
      <c r="AB29" s="10"/>
    </row>
    <row r="30" spans="1:28" x14ac:dyDescent="0.25">
      <c r="A30" s="2">
        <v>26</v>
      </c>
      <c r="B30">
        <v>1</v>
      </c>
      <c r="C30">
        <v>1</v>
      </c>
      <c r="D30">
        <v>0</v>
      </c>
      <c r="E30">
        <v>4</v>
      </c>
      <c r="G30">
        <v>-3952253</v>
      </c>
      <c r="H30">
        <v>8.5699996949999999</v>
      </c>
      <c r="I30">
        <v>2.329999924</v>
      </c>
      <c r="J30" s="9">
        <f t="shared" si="17"/>
        <v>729606.75</v>
      </c>
      <c r="K30" s="52"/>
      <c r="L30" s="9">
        <f t="shared" si="18"/>
        <v>0.67000007600000089</v>
      </c>
      <c r="M30" s="9">
        <f t="shared" si="18"/>
        <v>0</v>
      </c>
      <c r="N30" s="29">
        <f t="shared" si="3"/>
        <v>267107421</v>
      </c>
      <c r="O30" s="30">
        <f t="shared" si="4"/>
        <v>0.33833957233931278</v>
      </c>
      <c r="P30" s="30">
        <f t="shared" si="5"/>
        <v>1.1277985744643759</v>
      </c>
      <c r="Q30" s="29">
        <f t="shared" si="6"/>
        <v>55.629997254999999</v>
      </c>
      <c r="R30" s="30">
        <f t="shared" si="7"/>
        <v>0.28883696727859942</v>
      </c>
      <c r="S30" s="30">
        <f t="shared" si="8"/>
        <v>0.96278989092866474</v>
      </c>
      <c r="T30" s="37">
        <f t="shared" si="9"/>
        <v>0.15000009500000022</v>
      </c>
      <c r="U30" s="30">
        <f t="shared" si="10"/>
        <v>2.0161302936936281E-2</v>
      </c>
      <c r="V30" s="38">
        <f t="shared" si="11"/>
        <v>2.5960557654235599E-3</v>
      </c>
      <c r="W30" s="9">
        <f t="shared" si="16"/>
        <v>250730</v>
      </c>
      <c r="X30" s="12">
        <f t="shared" si="16"/>
        <v>0.26999950399999939</v>
      </c>
      <c r="Y30" s="11">
        <f t="shared" si="16"/>
        <v>0</v>
      </c>
      <c r="Z30" s="7"/>
      <c r="AA30" s="7"/>
      <c r="AB30" s="10"/>
    </row>
    <row r="31" spans="1:28" x14ac:dyDescent="0.25">
      <c r="A31" s="2">
        <v>27</v>
      </c>
      <c r="B31">
        <v>1</v>
      </c>
      <c r="C31">
        <v>1</v>
      </c>
      <c r="D31">
        <v>0</v>
      </c>
      <c r="E31">
        <v>5</v>
      </c>
      <c r="G31">
        <v>-4440256.5</v>
      </c>
      <c r="H31">
        <v>7.9899997709999999</v>
      </c>
      <c r="I31">
        <v>2.329999924</v>
      </c>
      <c r="J31" s="9">
        <f t="shared" si="17"/>
        <v>488003.5</v>
      </c>
      <c r="K31" s="52"/>
      <c r="L31" s="9">
        <f t="shared" si="18"/>
        <v>0.579999924</v>
      </c>
      <c r="M31" s="9">
        <f t="shared" si="18"/>
        <v>0</v>
      </c>
      <c r="N31" s="29">
        <f t="shared" si="3"/>
        <v>253003328.5</v>
      </c>
      <c r="O31" s="30">
        <f t="shared" si="4"/>
        <v>0.33928790047032137</v>
      </c>
      <c r="P31" s="30">
        <f t="shared" si="5"/>
        <v>1.1309596682344045</v>
      </c>
      <c r="Q31" s="29">
        <f t="shared" si="6"/>
        <v>56.179998398999999</v>
      </c>
      <c r="R31" s="30">
        <f t="shared" si="7"/>
        <v>0.29182899590224504</v>
      </c>
      <c r="S31" s="30">
        <f t="shared" si="8"/>
        <v>0.97276331967415008</v>
      </c>
      <c r="T31" s="37">
        <f t="shared" si="9"/>
        <v>0.15000009500000022</v>
      </c>
      <c r="U31" s="30">
        <f t="shared" si="10"/>
        <v>2.0161302936936281E-2</v>
      </c>
      <c r="V31" s="38">
        <f t="shared" si="11"/>
        <v>2.597269393411648E-3</v>
      </c>
      <c r="W31" s="9">
        <f t="shared" si="16"/>
        <v>220135.5</v>
      </c>
      <c r="X31" s="12">
        <f t="shared" si="16"/>
        <v>0.23999977099999992</v>
      </c>
      <c r="Y31" s="11">
        <f t="shared" si="16"/>
        <v>0</v>
      </c>
      <c r="Z31" s="7"/>
      <c r="AA31" s="7"/>
      <c r="AB31" s="10"/>
    </row>
    <row r="32" spans="1:28" x14ac:dyDescent="0.25">
      <c r="A32" s="2">
        <v>28</v>
      </c>
      <c r="B32">
        <v>1</v>
      </c>
      <c r="C32">
        <v>1</v>
      </c>
      <c r="D32">
        <v>0</v>
      </c>
      <c r="E32">
        <v>6</v>
      </c>
      <c r="G32">
        <v>-6261197.5</v>
      </c>
      <c r="H32">
        <v>-89.069999690000003</v>
      </c>
      <c r="I32">
        <v>2.329999924</v>
      </c>
      <c r="J32" s="9">
        <f t="shared" si="17"/>
        <v>1820941</v>
      </c>
      <c r="K32" s="52">
        <f t="shared" ref="K32" si="19">AVERAGE(J27:J32)</f>
        <v>812487.83333333337</v>
      </c>
      <c r="L32" s="9">
        <f t="shared" si="18"/>
        <v>97.059999461000004</v>
      </c>
      <c r="M32" s="9">
        <f t="shared" si="18"/>
        <v>0</v>
      </c>
      <c r="N32" s="29">
        <f t="shared" si="3"/>
        <v>220528045.5</v>
      </c>
      <c r="O32" s="30">
        <f t="shared" si="4"/>
        <v>0.34307383146831932</v>
      </c>
      <c r="P32" s="30">
        <f t="shared" si="5"/>
        <v>1.1435794382277311</v>
      </c>
      <c r="Q32" s="29">
        <f t="shared" si="6"/>
        <v>149.61999893000001</v>
      </c>
      <c r="R32" s="30">
        <f t="shared" si="7"/>
        <v>0.82367190095222653</v>
      </c>
      <c r="S32" s="30">
        <f t="shared" si="8"/>
        <v>2.7455730031740884</v>
      </c>
      <c r="T32" s="37">
        <f t="shared" si="9"/>
        <v>0.15000009500000022</v>
      </c>
      <c r="U32" s="30">
        <f t="shared" si="10"/>
        <v>2.0161302936936281E-2</v>
      </c>
      <c r="V32" s="38">
        <f t="shared" si="11"/>
        <v>2.7525478829753735E-3</v>
      </c>
      <c r="W32" s="9">
        <f t="shared" si="16"/>
        <v>186150</v>
      </c>
      <c r="X32" s="12">
        <f t="shared" si="16"/>
        <v>2.8899993800000061</v>
      </c>
      <c r="Y32" s="11">
        <f t="shared" si="16"/>
        <v>0</v>
      </c>
      <c r="Z32" s="7"/>
      <c r="AA32" s="7"/>
      <c r="AB32" s="10"/>
    </row>
    <row r="33" spans="1:28" x14ac:dyDescent="0.25">
      <c r="A33" s="2">
        <v>29</v>
      </c>
      <c r="B33">
        <v>1</v>
      </c>
      <c r="C33">
        <v>1</v>
      </c>
      <c r="D33">
        <v>1</v>
      </c>
      <c r="E33">
        <v>0</v>
      </c>
      <c r="G33">
        <v>63484476</v>
      </c>
      <c r="H33">
        <v>33.569999690000003</v>
      </c>
      <c r="I33">
        <v>2.369999886</v>
      </c>
      <c r="K33" s="52"/>
      <c r="N33" s="29">
        <f t="shared" si="3"/>
        <v>67893123.5</v>
      </c>
      <c r="O33" s="30">
        <f t="shared" si="4"/>
        <v>5.1333297041023735</v>
      </c>
      <c r="P33" s="30">
        <f t="shared" si="5"/>
        <v>5.1333297041023735</v>
      </c>
      <c r="Q33" s="29">
        <f t="shared" si="6"/>
        <v>25.509999270000002</v>
      </c>
      <c r="R33" s="30">
        <f t="shared" si="7"/>
        <v>1.05500405048366</v>
      </c>
      <c r="S33" s="30">
        <f t="shared" si="8"/>
        <v>1.05500405048366</v>
      </c>
      <c r="T33" s="37">
        <f t="shared" si="9"/>
        <v>3.9999962E-2</v>
      </c>
      <c r="U33" s="30">
        <f t="shared" si="10"/>
        <v>5.7224554084005482E-3</v>
      </c>
      <c r="V33" s="38">
        <f t="shared" si="11"/>
        <v>1.6542580610270821E-3</v>
      </c>
      <c r="W33" s="9">
        <f t="shared" si="16"/>
        <v>5602228</v>
      </c>
      <c r="X33" s="12">
        <f t="shared" si="16"/>
        <v>1.5099983200000011</v>
      </c>
      <c r="Y33" s="11">
        <f t="shared" si="16"/>
        <v>0</v>
      </c>
      <c r="Z33" s="7"/>
      <c r="AA33" s="7"/>
      <c r="AB33" s="10"/>
    </row>
    <row r="34" spans="1:28" x14ac:dyDescent="0.25">
      <c r="A34" s="2">
        <v>30</v>
      </c>
      <c r="B34">
        <v>1</v>
      </c>
      <c r="C34">
        <v>1</v>
      </c>
      <c r="D34">
        <v>1</v>
      </c>
      <c r="E34">
        <v>1</v>
      </c>
      <c r="G34">
        <v>66178748</v>
      </c>
      <c r="H34">
        <v>34.349998470000003</v>
      </c>
      <c r="I34">
        <v>2.369999886</v>
      </c>
      <c r="J34" s="9">
        <f t="shared" ref="J34" si="20">ABS(G34-G33)</f>
        <v>2694272</v>
      </c>
      <c r="K34" s="52"/>
      <c r="L34" s="9">
        <f t="shared" ref="L34:M39" si="21">ABS(H34-H33)</f>
        <v>0.77999877999999967</v>
      </c>
      <c r="M34" s="9">
        <f t="shared" si="21"/>
        <v>0</v>
      </c>
      <c r="N34" s="29">
        <f t="shared" si="3"/>
        <v>69948276.5</v>
      </c>
      <c r="O34" s="30">
        <f t="shared" si="4"/>
        <v>6.1854134188577348</v>
      </c>
      <c r="P34" s="30">
        <f t="shared" si="5"/>
        <v>6.1854134188577348</v>
      </c>
      <c r="Q34" s="29">
        <f t="shared" si="6"/>
        <v>25.639998432000002</v>
      </c>
      <c r="R34" s="30">
        <f t="shared" si="7"/>
        <v>0.98124754382463764</v>
      </c>
      <c r="S34" s="30">
        <f t="shared" si="8"/>
        <v>0.98124754382463764</v>
      </c>
      <c r="T34" s="37">
        <f t="shared" si="9"/>
        <v>3.9999962E-2</v>
      </c>
      <c r="U34" s="30">
        <f t="shared" si="10"/>
        <v>5.7224554084005482E-3</v>
      </c>
      <c r="V34" s="38">
        <f t="shared" si="11"/>
        <v>1.530806040011026E-3</v>
      </c>
      <c r="W34" s="9">
        <f t="shared" si="16"/>
        <v>5644916</v>
      </c>
      <c r="X34" s="12">
        <f t="shared" si="16"/>
        <v>1.5099983200000011</v>
      </c>
      <c r="Y34" s="11">
        <f t="shared" si="16"/>
        <v>0</v>
      </c>
      <c r="Z34" s="7"/>
      <c r="AA34" s="7"/>
      <c r="AB34" s="10"/>
    </row>
    <row r="35" spans="1:28" x14ac:dyDescent="0.25">
      <c r="A35" s="2">
        <v>31</v>
      </c>
      <c r="B35">
        <v>1</v>
      </c>
      <c r="C35">
        <v>1</v>
      </c>
      <c r="D35">
        <v>1</v>
      </c>
      <c r="E35">
        <v>2</v>
      </c>
      <c r="G35">
        <v>64668056</v>
      </c>
      <c r="H35">
        <v>33.930000309999997</v>
      </c>
      <c r="I35">
        <v>2.369999886</v>
      </c>
      <c r="J35" s="9">
        <f t="shared" si="13"/>
        <v>1510692</v>
      </c>
      <c r="K35" s="52"/>
      <c r="L35" s="9">
        <f t="shared" si="21"/>
        <v>0.41999816000000578</v>
      </c>
      <c r="M35" s="9">
        <f t="shared" si="21"/>
        <v>0</v>
      </c>
      <c r="N35" s="29">
        <f t="shared" si="3"/>
        <v>68762771.75</v>
      </c>
      <c r="O35" s="30">
        <f t="shared" si="4"/>
        <v>5.5976837749156738</v>
      </c>
      <c r="P35" s="30">
        <f t="shared" si="5"/>
        <v>5.5976837749156738</v>
      </c>
      <c r="Q35" s="29">
        <f t="shared" si="6"/>
        <v>25.539999966999996</v>
      </c>
      <c r="R35" s="30">
        <f t="shared" si="7"/>
        <v>1.0146999969357846</v>
      </c>
      <c r="S35" s="30">
        <f t="shared" si="8"/>
        <v>1.0146999969357846</v>
      </c>
      <c r="T35" s="37">
        <f t="shared" si="9"/>
        <v>3.9999962E-2</v>
      </c>
      <c r="U35" s="30">
        <f t="shared" si="10"/>
        <v>5.7224554084005482E-3</v>
      </c>
      <c r="V35" s="38">
        <f t="shared" si="11"/>
        <v>1.5891919096035568E-3</v>
      </c>
      <c r="W35" s="9">
        <f t="shared" si="16"/>
        <v>5618268</v>
      </c>
      <c r="X35" s="12">
        <f t="shared" si="16"/>
        <v>1.4900016799999989</v>
      </c>
      <c r="Y35" s="11">
        <f t="shared" si="16"/>
        <v>0</v>
      </c>
      <c r="Z35" s="7"/>
      <c r="AA35" s="7"/>
      <c r="AB35" s="10"/>
    </row>
    <row r="36" spans="1:28" x14ac:dyDescent="0.25">
      <c r="A36" s="2">
        <v>32</v>
      </c>
      <c r="B36">
        <v>1</v>
      </c>
      <c r="C36">
        <v>1</v>
      </c>
      <c r="D36">
        <v>1</v>
      </c>
      <c r="E36">
        <v>3</v>
      </c>
      <c r="G36">
        <v>68072248</v>
      </c>
      <c r="H36">
        <v>34.97000122</v>
      </c>
      <c r="I36">
        <v>2.369999886</v>
      </c>
      <c r="J36" s="9">
        <f t="shared" si="13"/>
        <v>3404192</v>
      </c>
      <c r="K36" s="52"/>
      <c r="L36" s="9">
        <f t="shared" si="21"/>
        <v>1.0400009100000034</v>
      </c>
      <c r="M36" s="9">
        <f t="shared" si="21"/>
        <v>0</v>
      </c>
      <c r="N36" s="29">
        <f t="shared" si="3"/>
        <v>71294894.25</v>
      </c>
      <c r="O36" s="30">
        <f t="shared" si="4"/>
        <v>7.3743634598429786</v>
      </c>
      <c r="P36" s="30">
        <f t="shared" si="5"/>
        <v>7.3743634598429786</v>
      </c>
      <c r="Q36" s="29">
        <f t="shared" si="6"/>
        <v>25.730001449</v>
      </c>
      <c r="R36" s="30">
        <f t="shared" si="7"/>
        <v>0.92821075348776283</v>
      </c>
      <c r="S36" s="30">
        <f t="shared" si="8"/>
        <v>0.92821075348776283</v>
      </c>
      <c r="T36" s="37">
        <f t="shared" si="9"/>
        <v>3.9999962E-2</v>
      </c>
      <c r="U36" s="30">
        <f t="shared" si="10"/>
        <v>5.7224554084005482E-3</v>
      </c>
      <c r="V36" s="38">
        <f t="shared" si="11"/>
        <v>1.443000107912737E-3</v>
      </c>
      <c r="W36" s="9">
        <f t="shared" si="16"/>
        <v>5570000</v>
      </c>
      <c r="X36" s="12">
        <f t="shared" si="16"/>
        <v>1.5</v>
      </c>
      <c r="Y36" s="11">
        <f t="shared" si="16"/>
        <v>0</v>
      </c>
      <c r="Z36" s="7"/>
      <c r="AA36" s="7"/>
      <c r="AB36" s="10"/>
    </row>
    <row r="37" spans="1:28" x14ac:dyDescent="0.25">
      <c r="A37" s="2">
        <v>33</v>
      </c>
      <c r="B37">
        <v>1</v>
      </c>
      <c r="C37">
        <v>1</v>
      </c>
      <c r="D37">
        <v>1</v>
      </c>
      <c r="E37">
        <v>4</v>
      </c>
      <c r="G37">
        <v>64191784</v>
      </c>
      <c r="H37">
        <v>33.950000760000002</v>
      </c>
      <c r="I37">
        <v>2.369999886</v>
      </c>
      <c r="J37" s="9">
        <f t="shared" si="13"/>
        <v>3880464</v>
      </c>
      <c r="K37" s="52"/>
      <c r="L37" s="9">
        <f t="shared" si="21"/>
        <v>1.0200004599999986</v>
      </c>
      <c r="M37" s="9">
        <f t="shared" si="21"/>
        <v>0</v>
      </c>
      <c r="N37" s="29">
        <f t="shared" si="3"/>
        <v>68144037</v>
      </c>
      <c r="O37" s="30">
        <f t="shared" si="4"/>
        <v>5.7472735171559108</v>
      </c>
      <c r="P37" s="30">
        <f t="shared" si="5"/>
        <v>5.7472735171559108</v>
      </c>
      <c r="Q37" s="29">
        <f t="shared" si="6"/>
        <v>25.380001065000002</v>
      </c>
      <c r="R37" s="30">
        <f t="shared" si="7"/>
        <v>0.98716460397727002</v>
      </c>
      <c r="S37" s="30">
        <f t="shared" si="8"/>
        <v>0.98716460397727002</v>
      </c>
      <c r="T37" s="37">
        <f t="shared" si="9"/>
        <v>3.9999962E-2</v>
      </c>
      <c r="U37" s="30">
        <f t="shared" si="10"/>
        <v>5.7224554084005482E-3</v>
      </c>
      <c r="V37" s="38">
        <f t="shared" si="11"/>
        <v>1.5558134353780356E-3</v>
      </c>
      <c r="W37" s="9">
        <f t="shared" si="16"/>
        <v>5163136</v>
      </c>
      <c r="X37" s="12">
        <f t="shared" si="16"/>
        <v>1.4200019800000021</v>
      </c>
      <c r="Y37" s="11">
        <f t="shared" si="16"/>
        <v>0</v>
      </c>
      <c r="Z37" s="7"/>
      <c r="AA37" s="7"/>
      <c r="AB37" s="10"/>
    </row>
    <row r="38" spans="1:28" x14ac:dyDescent="0.25">
      <c r="A38" s="2">
        <v>34</v>
      </c>
      <c r="B38">
        <v>1</v>
      </c>
      <c r="C38">
        <v>1</v>
      </c>
      <c r="D38">
        <v>1</v>
      </c>
      <c r="E38">
        <v>5</v>
      </c>
      <c r="G38">
        <v>59741008</v>
      </c>
      <c r="H38">
        <v>33.459999080000003</v>
      </c>
      <c r="I38">
        <v>2.369999886</v>
      </c>
      <c r="J38" s="9">
        <f t="shared" si="13"/>
        <v>4450776</v>
      </c>
      <c r="K38" s="52"/>
      <c r="L38" s="9">
        <f t="shared" si="21"/>
        <v>0.49000167999999888</v>
      </c>
      <c r="M38" s="9">
        <f t="shared" si="21"/>
        <v>0</v>
      </c>
      <c r="N38" s="29">
        <f t="shared" si="3"/>
        <v>64181264.5</v>
      </c>
      <c r="O38" s="30">
        <f t="shared" si="4"/>
        <v>4.818134905795044</v>
      </c>
      <c r="P38" s="30">
        <f t="shared" si="5"/>
        <v>4.818134905795044</v>
      </c>
      <c r="Q38" s="29">
        <f t="shared" si="6"/>
        <v>25.469999309000002</v>
      </c>
      <c r="R38" s="30">
        <f t="shared" si="7"/>
        <v>1.0625782244051416</v>
      </c>
      <c r="S38" s="30">
        <f t="shared" si="8"/>
        <v>1.0625782244051416</v>
      </c>
      <c r="T38" s="37">
        <f t="shared" si="9"/>
        <v>3.9999962E-2</v>
      </c>
      <c r="U38" s="30">
        <f t="shared" si="10"/>
        <v>5.7224554084005482E-3</v>
      </c>
      <c r="V38" s="38">
        <f t="shared" si="11"/>
        <v>1.668751069938756E-3</v>
      </c>
      <c r="W38" s="9">
        <f t="shared" si="16"/>
        <v>4817032</v>
      </c>
      <c r="X38" s="12">
        <f t="shared" si="16"/>
        <v>1.4399986200000043</v>
      </c>
      <c r="Y38" s="11">
        <f t="shared" si="16"/>
        <v>0</v>
      </c>
      <c r="Z38" s="7"/>
      <c r="AA38" s="7"/>
      <c r="AB38" s="10"/>
    </row>
    <row r="39" spans="1:28" x14ac:dyDescent="0.25">
      <c r="A39" s="2">
        <v>35</v>
      </c>
      <c r="B39">
        <v>1</v>
      </c>
      <c r="C39">
        <v>1</v>
      </c>
      <c r="D39">
        <v>1</v>
      </c>
      <c r="E39">
        <v>6</v>
      </c>
      <c r="G39">
        <v>49082540</v>
      </c>
      <c r="H39">
        <v>30.870000839999999</v>
      </c>
      <c r="I39">
        <v>2.369999886</v>
      </c>
      <c r="J39" s="9">
        <f t="shared" si="13"/>
        <v>10658468</v>
      </c>
      <c r="K39" s="52">
        <f t="shared" ref="K39" si="22">AVERAGE(J34:J39)</f>
        <v>4433144</v>
      </c>
      <c r="L39" s="9">
        <f t="shared" si="21"/>
        <v>2.5899982400000034</v>
      </c>
      <c r="M39" s="9">
        <f t="shared" si="21"/>
        <v>0</v>
      </c>
      <c r="N39" s="29">
        <f t="shared" si="3"/>
        <v>55343737.5</v>
      </c>
      <c r="O39" s="30">
        <f t="shared" si="4"/>
        <v>2.9463872525982446</v>
      </c>
      <c r="P39" s="30">
        <f t="shared" si="5"/>
        <v>2.9463872525982446</v>
      </c>
      <c r="Q39" s="29">
        <f t="shared" si="6"/>
        <v>119.94000053000001</v>
      </c>
      <c r="R39" s="30">
        <f t="shared" si="7"/>
        <v>0.44886045038524092</v>
      </c>
      <c r="S39" s="30">
        <f t="shared" si="8"/>
        <v>0.44886045038524092</v>
      </c>
      <c r="T39" s="37">
        <f t="shared" si="9"/>
        <v>3.9999962E-2</v>
      </c>
      <c r="U39" s="30">
        <f t="shared" si="10"/>
        <v>5.7224554084005482E-3</v>
      </c>
      <c r="V39" s="38">
        <f t="shared" si="11"/>
        <v>1.4969485475549646E-4</v>
      </c>
      <c r="W39" s="9">
        <f t="shared" si="16"/>
        <v>3976912</v>
      </c>
      <c r="X39" s="12">
        <f t="shared" si="16"/>
        <v>1.2800006899999978</v>
      </c>
      <c r="Y39" s="11">
        <f t="shared" si="16"/>
        <v>0</v>
      </c>
      <c r="Z39" s="7"/>
      <c r="AA39" s="7"/>
      <c r="AB39" s="10"/>
    </row>
    <row r="40" spans="1:28" x14ac:dyDescent="0.25">
      <c r="A40" s="2">
        <v>36</v>
      </c>
      <c r="B40">
        <v>1</v>
      </c>
      <c r="C40">
        <v>1</v>
      </c>
      <c r="D40">
        <v>2</v>
      </c>
      <c r="E40">
        <v>0</v>
      </c>
      <c r="G40">
        <v>287099072</v>
      </c>
      <c r="H40">
        <v>67.510002139999997</v>
      </c>
      <c r="I40">
        <v>2.4700000289999999</v>
      </c>
      <c r="K40" s="52"/>
      <c r="N40" s="29">
        <f t="shared" si="3"/>
        <v>223614596</v>
      </c>
      <c r="O40" s="30">
        <f t="shared" si="4"/>
        <v>1.1741169394966207</v>
      </c>
      <c r="P40" s="30">
        <f t="shared" si="5"/>
        <v>2.3482338789932413</v>
      </c>
      <c r="Q40" s="29">
        <f t="shared" si="6"/>
        <v>33.940002449999994</v>
      </c>
      <c r="R40" s="30">
        <f t="shared" si="7"/>
        <v>0.33700727597474689</v>
      </c>
      <c r="S40" s="30">
        <f t="shared" si="8"/>
        <v>0.67401455194949378</v>
      </c>
      <c r="T40" s="37">
        <f t="shared" si="9"/>
        <v>0.10000014299999993</v>
      </c>
      <c r="U40" s="30">
        <f t="shared" si="10"/>
        <v>1.4064718398049736E-2</v>
      </c>
      <c r="V40" s="38">
        <f t="shared" si="11"/>
        <v>1.9859029674003533E-3</v>
      </c>
      <c r="W40" s="9">
        <f t="shared" si="16"/>
        <v>26346608</v>
      </c>
      <c r="X40" s="12">
        <f t="shared" si="16"/>
        <v>6.3200035099999994</v>
      </c>
      <c r="Y40" s="11">
        <f t="shared" si="16"/>
        <v>0</v>
      </c>
      <c r="Z40" s="7"/>
      <c r="AA40" s="7"/>
      <c r="AB40" s="10"/>
    </row>
    <row r="41" spans="1:28" x14ac:dyDescent="0.25">
      <c r="A41" s="2">
        <v>37</v>
      </c>
      <c r="B41">
        <v>1</v>
      </c>
      <c r="C41">
        <v>1</v>
      </c>
      <c r="D41">
        <v>2</v>
      </c>
      <c r="E41">
        <v>1</v>
      </c>
      <c r="G41">
        <v>295132928</v>
      </c>
      <c r="H41">
        <v>69.769996640000002</v>
      </c>
      <c r="I41">
        <v>2.4700000289999999</v>
      </c>
      <c r="J41" s="9">
        <f t="shared" ref="J41" si="23">ABS(G41-G40)</f>
        <v>8033856</v>
      </c>
      <c r="K41" s="52"/>
      <c r="L41" s="9">
        <f t="shared" ref="L41:M46" si="24">ABS(H41-H40)</f>
        <v>2.2599945000000048</v>
      </c>
      <c r="M41" s="9">
        <f t="shared" si="24"/>
        <v>0</v>
      </c>
      <c r="N41" s="29">
        <f t="shared" si="3"/>
        <v>228954180</v>
      </c>
      <c r="O41" s="30">
        <f t="shared" si="4"/>
        <v>1.1532109975849043</v>
      </c>
      <c r="P41" s="30">
        <f t="shared" si="5"/>
        <v>2.3064219951698086</v>
      </c>
      <c r="Q41" s="29">
        <f t="shared" si="6"/>
        <v>35.41999817</v>
      </c>
      <c r="R41" s="30">
        <f t="shared" si="7"/>
        <v>0.34371663995787843</v>
      </c>
      <c r="S41" s="30">
        <f t="shared" si="8"/>
        <v>0.68743327991575687</v>
      </c>
      <c r="T41" s="37">
        <f t="shared" si="9"/>
        <v>0.10000014299999993</v>
      </c>
      <c r="U41" s="30">
        <f t="shared" si="10"/>
        <v>1.4064718398049736E-2</v>
      </c>
      <c r="V41" s="38">
        <f t="shared" si="11"/>
        <v>1.9408082960534684E-3</v>
      </c>
      <c r="W41" s="9">
        <f t="shared" si="16"/>
        <v>26340480</v>
      </c>
      <c r="X41" s="12">
        <f t="shared" si="16"/>
        <v>6.5299949600000033</v>
      </c>
      <c r="Y41" s="11">
        <f t="shared" si="16"/>
        <v>0</v>
      </c>
      <c r="Z41" s="7"/>
      <c r="AA41" s="7"/>
      <c r="AB41" s="10"/>
    </row>
    <row r="42" spans="1:28" x14ac:dyDescent="0.25">
      <c r="A42" s="2">
        <v>38</v>
      </c>
      <c r="B42">
        <v>1</v>
      </c>
      <c r="C42">
        <v>1</v>
      </c>
      <c r="D42">
        <v>2</v>
      </c>
      <c r="E42">
        <v>2</v>
      </c>
      <c r="G42">
        <v>290823712</v>
      </c>
      <c r="H42">
        <v>68.61000061</v>
      </c>
      <c r="I42">
        <v>2.4700000289999999</v>
      </c>
      <c r="J42" s="9">
        <f t="shared" si="17"/>
        <v>4309216</v>
      </c>
      <c r="K42" s="52"/>
      <c r="L42" s="9">
        <f t="shared" si="24"/>
        <v>1.1599960300000021</v>
      </c>
      <c r="M42" s="9">
        <f t="shared" si="24"/>
        <v>0</v>
      </c>
      <c r="N42" s="29">
        <f t="shared" si="3"/>
        <v>226155656</v>
      </c>
      <c r="O42" s="30">
        <f t="shared" si="4"/>
        <v>1.1657257590465788</v>
      </c>
      <c r="P42" s="30">
        <f t="shared" si="5"/>
        <v>2.3314515180931576</v>
      </c>
      <c r="Q42" s="29">
        <f t="shared" si="6"/>
        <v>34.680000300000003</v>
      </c>
      <c r="R42" s="30">
        <f t="shared" si="7"/>
        <v>0.34070144398416019</v>
      </c>
      <c r="S42" s="30">
        <f t="shared" si="8"/>
        <v>0.68140288796832038</v>
      </c>
      <c r="T42" s="37">
        <f t="shared" si="9"/>
        <v>0.10000014299999993</v>
      </c>
      <c r="U42" s="30">
        <f t="shared" si="10"/>
        <v>1.4064718398049736E-2</v>
      </c>
      <c r="V42" s="38">
        <f t="shared" si="11"/>
        <v>1.9648323427910973E-3</v>
      </c>
      <c r="W42" s="9">
        <f t="shared" ref="W42:Y57" si="25">ABS(G42-G21)</f>
        <v>26343168</v>
      </c>
      <c r="X42" s="12">
        <f t="shared" si="25"/>
        <v>6.4500007600000018</v>
      </c>
      <c r="Y42" s="11">
        <f t="shared" si="25"/>
        <v>0</v>
      </c>
      <c r="Z42" s="7"/>
      <c r="AA42" s="7"/>
      <c r="AB42" s="10"/>
    </row>
    <row r="43" spans="1:28" x14ac:dyDescent="0.25">
      <c r="A43" s="2">
        <v>39</v>
      </c>
      <c r="B43">
        <v>1</v>
      </c>
      <c r="C43">
        <v>1</v>
      </c>
      <c r="D43">
        <v>2</v>
      </c>
      <c r="E43">
        <v>3</v>
      </c>
      <c r="G43">
        <v>300665280</v>
      </c>
      <c r="H43">
        <v>72.129997250000002</v>
      </c>
      <c r="I43">
        <v>2.4700000289999999</v>
      </c>
      <c r="J43" s="9">
        <f t="shared" si="17"/>
        <v>9841568</v>
      </c>
      <c r="K43" s="52"/>
      <c r="L43" s="9">
        <f t="shared" si="24"/>
        <v>3.5199966400000022</v>
      </c>
      <c r="M43" s="9">
        <f t="shared" si="24"/>
        <v>0</v>
      </c>
      <c r="N43" s="29">
        <f t="shared" si="3"/>
        <v>232593032</v>
      </c>
      <c r="O43" s="30">
        <f t="shared" si="4"/>
        <v>1.138951818759778</v>
      </c>
      <c r="P43" s="30">
        <f t="shared" si="5"/>
        <v>2.277903637519556</v>
      </c>
      <c r="Q43" s="29">
        <f t="shared" si="6"/>
        <v>37.159996030000002</v>
      </c>
      <c r="R43" s="30">
        <f t="shared" si="7"/>
        <v>0.35420831887901588</v>
      </c>
      <c r="S43" s="30">
        <f t="shared" si="8"/>
        <v>0.70841663775803176</v>
      </c>
      <c r="T43" s="37">
        <f t="shared" si="9"/>
        <v>0.10000014299999993</v>
      </c>
      <c r="U43" s="30">
        <f t="shared" si="10"/>
        <v>1.4064718398049736E-2</v>
      </c>
      <c r="V43" s="38">
        <f t="shared" si="11"/>
        <v>1.906398618078171E-3</v>
      </c>
      <c r="W43" s="9">
        <f t="shared" si="25"/>
        <v>25438976</v>
      </c>
      <c r="X43" s="12">
        <f t="shared" si="25"/>
        <v>6.6899948100000017</v>
      </c>
      <c r="Y43" s="11">
        <f t="shared" si="25"/>
        <v>9.9999900000002917E-3</v>
      </c>
      <c r="Z43" s="7"/>
      <c r="AA43" s="7"/>
      <c r="AB43" s="10"/>
    </row>
    <row r="44" spans="1:28" x14ac:dyDescent="0.25">
      <c r="A44" s="2">
        <v>40</v>
      </c>
      <c r="B44">
        <v>1</v>
      </c>
      <c r="C44">
        <v>1</v>
      </c>
      <c r="D44">
        <v>2</v>
      </c>
      <c r="E44">
        <v>4</v>
      </c>
      <c r="G44">
        <v>286152928</v>
      </c>
      <c r="H44">
        <v>70.430000309999997</v>
      </c>
      <c r="I44">
        <v>2.4800000190000002</v>
      </c>
      <c r="J44" s="9">
        <f t="shared" si="17"/>
        <v>14512352</v>
      </c>
      <c r="K44" s="52"/>
      <c r="L44" s="9">
        <f t="shared" si="24"/>
        <v>1.6999969400000055</v>
      </c>
      <c r="M44" s="9">
        <f t="shared" si="24"/>
        <v>9.9999900000002917E-3</v>
      </c>
      <c r="N44" s="29">
        <f t="shared" si="3"/>
        <v>221961144</v>
      </c>
      <c r="O44" s="30">
        <f t="shared" si="4"/>
        <v>1.1525937338024443</v>
      </c>
      <c r="P44" s="30">
        <f t="shared" si="5"/>
        <v>2.3051874676048887</v>
      </c>
      <c r="Q44" s="29">
        <f t="shared" si="6"/>
        <v>36.479999549999995</v>
      </c>
      <c r="R44" s="30">
        <f t="shared" si="7"/>
        <v>0.35817377254161803</v>
      </c>
      <c r="S44" s="30">
        <f t="shared" si="8"/>
        <v>0.71634754508323606</v>
      </c>
      <c r="T44" s="37">
        <f t="shared" si="9"/>
        <v>0.11000013300000022</v>
      </c>
      <c r="U44" s="30">
        <f t="shared" si="10"/>
        <v>1.5471186820133069E-2</v>
      </c>
      <c r="V44" s="38">
        <f t="shared" si="11"/>
        <v>2.1600418367707908E-3</v>
      </c>
      <c r="W44" s="9">
        <f t="shared" si="25"/>
        <v>22997760</v>
      </c>
      <c r="X44" s="12">
        <f t="shared" si="25"/>
        <v>6.2300033599999978</v>
      </c>
      <c r="Y44" s="11">
        <f t="shared" si="25"/>
        <v>0</v>
      </c>
      <c r="Z44" s="7"/>
      <c r="AA44" s="7"/>
      <c r="AB44" s="10"/>
    </row>
    <row r="45" spans="1:28" x14ac:dyDescent="0.25">
      <c r="A45" s="2">
        <v>41</v>
      </c>
      <c r="B45">
        <v>1</v>
      </c>
      <c r="C45">
        <v>1</v>
      </c>
      <c r="D45">
        <v>2</v>
      </c>
      <c r="E45">
        <v>5</v>
      </c>
      <c r="G45">
        <v>269864704</v>
      </c>
      <c r="H45">
        <v>70.370002749999998</v>
      </c>
      <c r="I45">
        <v>2.4800000190000002</v>
      </c>
      <c r="J45" s="9">
        <f t="shared" si="17"/>
        <v>16288224</v>
      </c>
      <c r="K45" s="52"/>
      <c r="L45" s="9">
        <f t="shared" si="24"/>
        <v>5.9997559999999339E-2</v>
      </c>
      <c r="M45" s="9">
        <f t="shared" si="24"/>
        <v>0</v>
      </c>
      <c r="N45" s="29">
        <f t="shared" si="3"/>
        <v>210123696</v>
      </c>
      <c r="O45" s="30">
        <f t="shared" si="4"/>
        <v>1.1724146335127121</v>
      </c>
      <c r="P45" s="30">
        <f t="shared" si="5"/>
        <v>2.3448292670254243</v>
      </c>
      <c r="Q45" s="29">
        <f t="shared" si="6"/>
        <v>36.910003669999995</v>
      </c>
      <c r="R45" s="30">
        <f t="shared" si="7"/>
        <v>0.3677027762986616</v>
      </c>
      <c r="S45" s="30">
        <f t="shared" si="8"/>
        <v>0.73540555259732321</v>
      </c>
      <c r="T45" s="37">
        <f t="shared" si="9"/>
        <v>0.11000013300000022</v>
      </c>
      <c r="U45" s="30">
        <f t="shared" si="10"/>
        <v>1.5471186820133069E-2</v>
      </c>
      <c r="V45" s="38">
        <f t="shared" si="11"/>
        <v>2.1916743579300821E-3</v>
      </c>
      <c r="W45" s="9">
        <f t="shared" si="25"/>
        <v>21301632</v>
      </c>
      <c r="X45" s="12">
        <f t="shared" si="25"/>
        <v>6.2000045799999981</v>
      </c>
      <c r="Y45" s="11">
        <f t="shared" si="25"/>
        <v>0</v>
      </c>
      <c r="Z45" s="7"/>
      <c r="AA45" s="7"/>
      <c r="AB45" s="10"/>
    </row>
    <row r="46" spans="1:28" x14ac:dyDescent="0.25">
      <c r="A46" s="2">
        <v>42</v>
      </c>
      <c r="B46">
        <v>1</v>
      </c>
      <c r="C46">
        <v>1</v>
      </c>
      <c r="D46">
        <v>2</v>
      </c>
      <c r="E46">
        <v>6</v>
      </c>
      <c r="G46">
        <v>231441472</v>
      </c>
      <c r="H46">
        <v>65.839996339999999</v>
      </c>
      <c r="I46">
        <v>2.4800000190000002</v>
      </c>
      <c r="J46" s="9">
        <f t="shared" si="17"/>
        <v>38423232</v>
      </c>
      <c r="K46" s="52">
        <f t="shared" ref="K46" si="26">AVERAGE(J41:J46)</f>
        <v>15234741.333333334</v>
      </c>
      <c r="L46" s="9">
        <f t="shared" si="24"/>
        <v>4.5300064099999986</v>
      </c>
      <c r="M46" s="9">
        <f t="shared" si="24"/>
        <v>0</v>
      </c>
      <c r="N46" s="29">
        <f t="shared" si="3"/>
        <v>182358932</v>
      </c>
      <c r="O46" s="30">
        <f t="shared" si="4"/>
        <v>1.2384507946546097</v>
      </c>
      <c r="P46" s="30">
        <f t="shared" si="5"/>
        <v>2.4769015893092194</v>
      </c>
      <c r="Q46" s="29">
        <f t="shared" si="6"/>
        <v>34.969995499999996</v>
      </c>
      <c r="R46" s="30">
        <f t="shared" si="7"/>
        <v>0.37760495139224187</v>
      </c>
      <c r="S46" s="30">
        <f t="shared" si="8"/>
        <v>0.75520990278448374</v>
      </c>
      <c r="T46" s="37">
        <f t="shared" si="9"/>
        <v>0.11000013300000022</v>
      </c>
      <c r="U46" s="30">
        <f t="shared" si="10"/>
        <v>1.5471186820133069E-2</v>
      </c>
      <c r="V46" s="38">
        <f t="shared" si="11"/>
        <v>2.3755562035805938E-3</v>
      </c>
      <c r="W46" s="9">
        <f t="shared" si="25"/>
        <v>17174624</v>
      </c>
      <c r="X46" s="12">
        <f t="shared" si="25"/>
        <v>5.2899971000000008</v>
      </c>
      <c r="Y46" s="11">
        <f t="shared" si="25"/>
        <v>0</v>
      </c>
      <c r="Z46" s="7"/>
      <c r="AA46" s="7"/>
      <c r="AB46" s="10"/>
    </row>
    <row r="47" spans="1:28" x14ac:dyDescent="0.25">
      <c r="A47" s="2">
        <v>43</v>
      </c>
      <c r="B47">
        <v>1</v>
      </c>
      <c r="C47">
        <v>2</v>
      </c>
      <c r="D47">
        <v>0</v>
      </c>
      <c r="E47">
        <v>0</v>
      </c>
      <c r="G47">
        <v>33069732</v>
      </c>
      <c r="H47">
        <v>32.02999878</v>
      </c>
      <c r="I47">
        <v>2.880000114</v>
      </c>
      <c r="K47" s="52"/>
      <c r="N47" s="29">
        <f t="shared" si="3"/>
        <v>254029340</v>
      </c>
      <c r="O47" s="30">
        <f t="shared" si="4"/>
        <v>0.29493807164471314</v>
      </c>
      <c r="P47" s="30">
        <f t="shared" si="5"/>
        <v>0.98312690548237713</v>
      </c>
      <c r="Q47" s="29">
        <f t="shared" si="6"/>
        <v>35.480003359999998</v>
      </c>
      <c r="R47" s="30">
        <f t="shared" si="7"/>
        <v>0.1751839344063553</v>
      </c>
      <c r="S47" s="30">
        <f t="shared" si="8"/>
        <v>0.58394644802118434</v>
      </c>
      <c r="T47" s="37">
        <f t="shared" si="9"/>
        <v>0.41000008500000007</v>
      </c>
      <c r="U47" s="30">
        <f t="shared" si="10"/>
        <v>5.5330645099356812E-2</v>
      </c>
      <c r="V47" s="38">
        <f t="shared" si="11"/>
        <v>6.747972679000719E-3</v>
      </c>
      <c r="W47" s="9">
        <f t="shared" si="25"/>
        <v>37478379.5</v>
      </c>
      <c r="X47" s="12">
        <f t="shared" si="25"/>
        <v>23.969998359999998</v>
      </c>
      <c r="Y47" s="11">
        <f t="shared" si="25"/>
        <v>0.55000019</v>
      </c>
      <c r="Z47" s="7"/>
      <c r="AA47" s="7"/>
      <c r="AB47" s="10"/>
    </row>
    <row r="48" spans="1:28" x14ac:dyDescent="0.25">
      <c r="A48" s="2">
        <v>44</v>
      </c>
      <c r="B48">
        <v>1</v>
      </c>
      <c r="C48">
        <v>2</v>
      </c>
      <c r="D48">
        <v>0</v>
      </c>
      <c r="E48">
        <v>1</v>
      </c>
      <c r="G48">
        <v>34301376</v>
      </c>
      <c r="H48">
        <v>33</v>
      </c>
      <c r="I48">
        <v>2.880000114</v>
      </c>
      <c r="J48" s="9">
        <f t="shared" ref="J48" si="27">ABS(G48-G47)</f>
        <v>1231644</v>
      </c>
      <c r="K48" s="52"/>
      <c r="L48" s="9">
        <f t="shared" ref="L48:M53" si="28">ABS(H48-H47)</f>
        <v>0.97000122000000033</v>
      </c>
      <c r="M48" s="9">
        <f t="shared" si="28"/>
        <v>0</v>
      </c>
      <c r="N48" s="29">
        <f t="shared" si="3"/>
        <v>260831552</v>
      </c>
      <c r="O48" s="30">
        <f t="shared" si="4"/>
        <v>0.29459217328222581</v>
      </c>
      <c r="P48" s="30">
        <f t="shared" si="5"/>
        <v>0.98197391094075259</v>
      </c>
      <c r="Q48" s="29">
        <f t="shared" si="6"/>
        <v>36.769996640000002</v>
      </c>
      <c r="R48" s="30">
        <f t="shared" si="7"/>
        <v>0.17567243997314128</v>
      </c>
      <c r="S48" s="30">
        <f t="shared" si="8"/>
        <v>0.5855747999104709</v>
      </c>
      <c r="T48" s="37">
        <f t="shared" si="9"/>
        <v>0.41000008500000007</v>
      </c>
      <c r="U48" s="30">
        <f t="shared" si="10"/>
        <v>5.5330645099356812E-2</v>
      </c>
      <c r="V48" s="38">
        <f t="shared" si="11"/>
        <v>6.5293918867529999E-3</v>
      </c>
      <c r="W48" s="9">
        <f t="shared" si="25"/>
        <v>38070904.5</v>
      </c>
      <c r="X48" s="12">
        <f t="shared" si="25"/>
        <v>24.289999962</v>
      </c>
      <c r="Y48" s="11">
        <f t="shared" si="25"/>
        <v>0.55000019</v>
      </c>
      <c r="Z48" s="7"/>
      <c r="AA48" s="7"/>
      <c r="AB48" s="10"/>
    </row>
    <row r="49" spans="1:28" x14ac:dyDescent="0.25">
      <c r="A49" s="2">
        <v>45</v>
      </c>
      <c r="B49">
        <v>1</v>
      </c>
      <c r="C49">
        <v>2</v>
      </c>
      <c r="D49">
        <v>0</v>
      </c>
      <c r="E49">
        <v>2</v>
      </c>
      <c r="G49">
        <v>33576992</v>
      </c>
      <c r="H49">
        <v>32.52999878</v>
      </c>
      <c r="I49">
        <v>2.880000114</v>
      </c>
      <c r="J49" s="9">
        <f t="shared" si="13"/>
        <v>724384</v>
      </c>
      <c r="K49" s="52"/>
      <c r="L49" s="9">
        <f t="shared" si="28"/>
        <v>0.47000122000000033</v>
      </c>
      <c r="M49" s="9">
        <f t="shared" si="28"/>
        <v>0</v>
      </c>
      <c r="N49" s="29">
        <f t="shared" si="3"/>
        <v>257246720</v>
      </c>
      <c r="O49" s="30">
        <f t="shared" si="4"/>
        <v>0.29484840172408866</v>
      </c>
      <c r="P49" s="30">
        <f t="shared" si="5"/>
        <v>0.98282800574696216</v>
      </c>
      <c r="Q49" s="29">
        <f t="shared" si="6"/>
        <v>36.08000183</v>
      </c>
      <c r="R49" s="30">
        <f t="shared" si="7"/>
        <v>0.17529029543418725</v>
      </c>
      <c r="S49" s="30">
        <f t="shared" si="8"/>
        <v>0.58430098478062409</v>
      </c>
      <c r="T49" s="37">
        <f t="shared" si="9"/>
        <v>0.41000008500000007</v>
      </c>
      <c r="U49" s="30">
        <f t="shared" si="10"/>
        <v>5.5330645099356812E-2</v>
      </c>
      <c r="V49" s="38">
        <f t="shared" si="11"/>
        <v>6.6397849577281912E-3</v>
      </c>
      <c r="W49" s="9">
        <f t="shared" si="25"/>
        <v>37671707.75</v>
      </c>
      <c r="X49" s="12">
        <f t="shared" si="25"/>
        <v>24.139998436999999</v>
      </c>
      <c r="Y49" s="11">
        <f t="shared" si="25"/>
        <v>0.55000019</v>
      </c>
      <c r="Z49" s="7"/>
      <c r="AA49" s="7"/>
      <c r="AB49" s="10"/>
    </row>
    <row r="50" spans="1:28" x14ac:dyDescent="0.25">
      <c r="A50" s="2">
        <v>46</v>
      </c>
      <c r="B50">
        <v>1</v>
      </c>
      <c r="C50">
        <v>2</v>
      </c>
      <c r="D50">
        <v>0</v>
      </c>
      <c r="E50">
        <v>3</v>
      </c>
      <c r="G50">
        <v>34841096</v>
      </c>
      <c r="H50">
        <v>33.869998930000001</v>
      </c>
      <c r="I50">
        <v>2.880000114</v>
      </c>
      <c r="J50" s="9">
        <f t="shared" si="13"/>
        <v>1264104</v>
      </c>
      <c r="K50" s="52"/>
      <c r="L50" s="9">
        <f t="shared" si="28"/>
        <v>1.3400001500000016</v>
      </c>
      <c r="M50" s="9">
        <f t="shared" si="28"/>
        <v>0</v>
      </c>
      <c r="N50" s="29">
        <f t="shared" si="3"/>
        <v>265824184</v>
      </c>
      <c r="O50" s="30">
        <f t="shared" si="4"/>
        <v>0.29470666294868941</v>
      </c>
      <c r="P50" s="30">
        <f t="shared" si="5"/>
        <v>0.98235554316229801</v>
      </c>
      <c r="Q50" s="29">
        <f t="shared" si="6"/>
        <v>38.259998320000001</v>
      </c>
      <c r="R50" s="30">
        <f t="shared" si="7"/>
        <v>0.17681038762736587</v>
      </c>
      <c r="S50" s="30">
        <f t="shared" si="8"/>
        <v>0.58936795875788617</v>
      </c>
      <c r="T50" s="37">
        <f t="shared" si="9"/>
        <v>0.41000008500000007</v>
      </c>
      <c r="U50" s="30">
        <f t="shared" si="10"/>
        <v>5.5330645099356812E-2</v>
      </c>
      <c r="V50" s="38">
        <f t="shared" si="11"/>
        <v>6.3157585937659248E-3</v>
      </c>
      <c r="W50" s="9">
        <f t="shared" si="25"/>
        <v>38063742.25</v>
      </c>
      <c r="X50" s="12">
        <f t="shared" si="25"/>
        <v>24.629999159</v>
      </c>
      <c r="Y50" s="11">
        <f t="shared" si="25"/>
        <v>0.55000019</v>
      </c>
      <c r="Z50" s="7"/>
      <c r="AA50" s="7"/>
      <c r="AB50" s="10"/>
    </row>
    <row r="51" spans="1:28" x14ac:dyDescent="0.25">
      <c r="A51" s="2">
        <v>47</v>
      </c>
      <c r="B51">
        <v>1</v>
      </c>
      <c r="C51">
        <v>2</v>
      </c>
      <c r="D51">
        <v>0</v>
      </c>
      <c r="E51">
        <v>4</v>
      </c>
      <c r="G51">
        <v>32164716</v>
      </c>
      <c r="H51">
        <v>32.759998320000001</v>
      </c>
      <c r="I51">
        <v>2.880000114</v>
      </c>
      <c r="J51" s="9">
        <f t="shared" si="13"/>
        <v>2676380</v>
      </c>
      <c r="K51" s="52"/>
      <c r="L51" s="9">
        <f t="shared" si="28"/>
        <v>1.1100006100000002</v>
      </c>
      <c r="M51" s="9">
        <f t="shared" si="28"/>
        <v>0</v>
      </c>
      <c r="N51" s="29">
        <f t="shared" si="3"/>
        <v>253988212</v>
      </c>
      <c r="O51" s="30">
        <f t="shared" si="4"/>
        <v>0.29586535397370922</v>
      </c>
      <c r="P51" s="30">
        <f t="shared" si="5"/>
        <v>0.98621784657903078</v>
      </c>
      <c r="Q51" s="29">
        <f t="shared" si="6"/>
        <v>37.670001989999996</v>
      </c>
      <c r="R51" s="30">
        <f t="shared" si="7"/>
        <v>0.17828577700882306</v>
      </c>
      <c r="S51" s="30">
        <f t="shared" si="8"/>
        <v>0.59428592336274344</v>
      </c>
      <c r="T51" s="37">
        <f t="shared" si="9"/>
        <v>0.40000009499999978</v>
      </c>
      <c r="U51" s="30">
        <f t="shared" si="10"/>
        <v>5.3763453217134799E-2</v>
      </c>
      <c r="V51" s="38">
        <f t="shared" si="11"/>
        <v>6.3104436751918527E-3</v>
      </c>
      <c r="W51" s="9">
        <f t="shared" si="25"/>
        <v>36116969</v>
      </c>
      <c r="X51" s="12">
        <f t="shared" si="25"/>
        <v>24.189998625000001</v>
      </c>
      <c r="Y51" s="11">
        <f t="shared" si="25"/>
        <v>0.55000019</v>
      </c>
      <c r="Z51" s="7"/>
      <c r="AA51" s="7"/>
      <c r="AB51" s="10"/>
    </row>
    <row r="52" spans="1:28" x14ac:dyDescent="0.25">
      <c r="A52" s="2">
        <v>48</v>
      </c>
      <c r="B52">
        <v>1</v>
      </c>
      <c r="C52">
        <v>2</v>
      </c>
      <c r="D52">
        <v>0</v>
      </c>
      <c r="E52">
        <v>5</v>
      </c>
      <c r="G52">
        <v>28716990</v>
      </c>
      <c r="H52">
        <v>31.340000150000002</v>
      </c>
      <c r="I52">
        <v>2.880000114</v>
      </c>
      <c r="J52" s="9">
        <f t="shared" si="13"/>
        <v>3447726</v>
      </c>
      <c r="K52" s="52"/>
      <c r="L52" s="9">
        <f t="shared" si="28"/>
        <v>1.4199981699999995</v>
      </c>
      <c r="M52" s="9">
        <f t="shared" si="28"/>
        <v>0</v>
      </c>
      <c r="N52" s="29">
        <f t="shared" si="3"/>
        <v>241147714</v>
      </c>
      <c r="O52" s="30">
        <f t="shared" si="4"/>
        <v>0.29786248494850714</v>
      </c>
      <c r="P52" s="30">
        <f t="shared" si="5"/>
        <v>0.99287494982835711</v>
      </c>
      <c r="Q52" s="29">
        <f t="shared" si="6"/>
        <v>39.030002599999996</v>
      </c>
      <c r="R52" s="30">
        <f t="shared" si="7"/>
        <v>0.18487992551153717</v>
      </c>
      <c r="S52" s="30">
        <f t="shared" si="8"/>
        <v>0.61626641837179053</v>
      </c>
      <c r="T52" s="37">
        <f t="shared" si="9"/>
        <v>0.40000009499999978</v>
      </c>
      <c r="U52" s="30">
        <f t="shared" si="10"/>
        <v>5.3763453217134799E-2</v>
      </c>
      <c r="V52" s="38">
        <f t="shared" si="11"/>
        <v>6.3158239680472334E-3</v>
      </c>
      <c r="W52" s="9">
        <f t="shared" si="25"/>
        <v>33157246.5</v>
      </c>
      <c r="X52" s="12">
        <f t="shared" si="25"/>
        <v>23.350000379000001</v>
      </c>
      <c r="Y52" s="11">
        <f t="shared" si="25"/>
        <v>0.55000019</v>
      </c>
      <c r="Z52" s="7"/>
      <c r="AA52" s="7"/>
      <c r="AB52" s="10"/>
    </row>
    <row r="53" spans="1:28" x14ac:dyDescent="0.25">
      <c r="A53" s="2">
        <v>49</v>
      </c>
      <c r="B53">
        <v>1</v>
      </c>
      <c r="C53">
        <v>2</v>
      </c>
      <c r="D53">
        <v>0</v>
      </c>
      <c r="E53">
        <v>6</v>
      </c>
      <c r="G53">
        <v>21872764</v>
      </c>
      <c r="H53">
        <v>27.840000150000002</v>
      </c>
      <c r="I53">
        <v>2.880000114</v>
      </c>
      <c r="J53" s="9">
        <f t="shared" si="13"/>
        <v>6844226</v>
      </c>
      <c r="K53" s="52">
        <f t="shared" ref="K53" si="29">AVERAGE(J48:J53)</f>
        <v>2698077.3333333335</v>
      </c>
      <c r="L53" s="9">
        <f t="shared" si="28"/>
        <v>3.5</v>
      </c>
      <c r="M53" s="9">
        <f t="shared" si="28"/>
        <v>0</v>
      </c>
      <c r="N53" s="29">
        <f t="shared" si="3"/>
        <v>209568708</v>
      </c>
      <c r="O53" s="30">
        <f t="shared" si="4"/>
        <v>0.30183110829851617</v>
      </c>
      <c r="P53" s="30">
        <f t="shared" si="5"/>
        <v>1.0061036943283872</v>
      </c>
      <c r="Q53" s="29">
        <f t="shared" si="6"/>
        <v>37.999996189999997</v>
      </c>
      <c r="R53" s="30">
        <f t="shared" si="7"/>
        <v>0.19238557261236122</v>
      </c>
      <c r="S53" s="30">
        <f t="shared" si="8"/>
        <v>0.64128524204120407</v>
      </c>
      <c r="T53" s="37">
        <f t="shared" si="9"/>
        <v>0.40000009499999978</v>
      </c>
      <c r="U53" s="30">
        <f t="shared" si="10"/>
        <v>5.3763453217134799E-2</v>
      </c>
      <c r="V53" s="38">
        <f t="shared" si="11"/>
        <v>6.7503732488816189E-3</v>
      </c>
      <c r="W53" s="9">
        <f t="shared" si="25"/>
        <v>28133961.5</v>
      </c>
      <c r="X53" s="12">
        <f t="shared" si="25"/>
        <v>116.90999984000001</v>
      </c>
      <c r="Y53" s="11">
        <f t="shared" si="25"/>
        <v>0.55000019</v>
      </c>
      <c r="Z53" s="7"/>
      <c r="AA53" s="7"/>
      <c r="AB53" s="10"/>
    </row>
    <row r="54" spans="1:28" x14ac:dyDescent="0.25">
      <c r="A54" s="2">
        <v>50</v>
      </c>
      <c r="B54">
        <v>1</v>
      </c>
      <c r="C54">
        <v>2</v>
      </c>
      <c r="D54">
        <v>1</v>
      </c>
      <c r="E54">
        <v>0</v>
      </c>
      <c r="G54">
        <v>252687152</v>
      </c>
      <c r="H54">
        <v>110.5299988</v>
      </c>
      <c r="I54">
        <v>2.9500000480000002</v>
      </c>
      <c r="K54" s="52"/>
      <c r="N54" s="29">
        <f t="shared" si="3"/>
        <v>219617420</v>
      </c>
      <c r="O54" s="30">
        <f t="shared" si="4"/>
        <v>2.2136800705450734</v>
      </c>
      <c r="P54" s="30">
        <f t="shared" si="5"/>
        <v>2.2136800705450734</v>
      </c>
      <c r="Q54" s="29">
        <f t="shared" si="6"/>
        <v>78.500000020000002</v>
      </c>
      <c r="R54" s="30">
        <f t="shared" si="7"/>
        <v>0.81694248111155676</v>
      </c>
      <c r="S54" s="30">
        <f t="shared" si="8"/>
        <v>0.81694248111155676</v>
      </c>
      <c r="T54" s="37">
        <f t="shared" si="9"/>
        <v>6.9999934000000152E-2</v>
      </c>
      <c r="U54" s="30">
        <f t="shared" si="10"/>
        <v>8.1018438922649937E-3</v>
      </c>
      <c r="V54" s="38">
        <f t="shared" si="11"/>
        <v>7.2848305407688765E-4</v>
      </c>
      <c r="W54" s="9">
        <f t="shared" si="25"/>
        <v>189202676</v>
      </c>
      <c r="X54" s="12">
        <f t="shared" si="25"/>
        <v>76.959999109999998</v>
      </c>
      <c r="Y54" s="11">
        <f t="shared" si="25"/>
        <v>0.58000016200000015</v>
      </c>
      <c r="Z54" s="7"/>
      <c r="AA54" s="7"/>
      <c r="AB54" s="10"/>
    </row>
    <row r="55" spans="1:28" x14ac:dyDescent="0.25">
      <c r="A55" s="2">
        <v>51</v>
      </c>
      <c r="B55">
        <v>1</v>
      </c>
      <c r="C55">
        <v>2</v>
      </c>
      <c r="D55">
        <v>1</v>
      </c>
      <c r="E55">
        <v>1</v>
      </c>
      <c r="G55">
        <v>256778752</v>
      </c>
      <c r="H55">
        <v>115.4300003</v>
      </c>
      <c r="I55">
        <v>2.9500000480000002</v>
      </c>
      <c r="J55" s="9">
        <f t="shared" ref="J55" si="30">ABS(G55-G54)</f>
        <v>4091600</v>
      </c>
      <c r="K55" s="52"/>
      <c r="L55" s="9">
        <f t="shared" ref="L55:M60" si="31">ABS(H55-H54)</f>
        <v>4.9000015000000019</v>
      </c>
      <c r="M55" s="9">
        <f t="shared" si="31"/>
        <v>0</v>
      </c>
      <c r="N55" s="29">
        <f t="shared" si="3"/>
        <v>222477376</v>
      </c>
      <c r="O55" s="30">
        <f t="shared" si="4"/>
        <v>2.1619868932760404</v>
      </c>
      <c r="P55" s="30">
        <f t="shared" si="5"/>
        <v>2.1619868932760404</v>
      </c>
      <c r="Q55" s="29">
        <f t="shared" si="6"/>
        <v>82.430000300000003</v>
      </c>
      <c r="R55" s="30">
        <f t="shared" si="7"/>
        <v>0.83262626565656561</v>
      </c>
      <c r="S55" s="30">
        <f t="shared" si="8"/>
        <v>0.83262626565656561</v>
      </c>
      <c r="T55" s="37">
        <f t="shared" si="9"/>
        <v>6.9999934000000152E-2</v>
      </c>
      <c r="U55" s="30">
        <f t="shared" si="10"/>
        <v>8.1018438922649937E-3</v>
      </c>
      <c r="V55" s="38">
        <f t="shared" si="11"/>
        <v>7.0707004040404195E-4</v>
      </c>
      <c r="W55" s="9">
        <f t="shared" si="25"/>
        <v>190600004</v>
      </c>
      <c r="X55" s="12">
        <f t="shared" si="25"/>
        <v>81.08000183</v>
      </c>
      <c r="Y55" s="11">
        <f t="shared" si="25"/>
        <v>0.58000016200000015</v>
      </c>
      <c r="Z55" s="7"/>
      <c r="AA55" s="7"/>
      <c r="AB55" s="10"/>
    </row>
    <row r="56" spans="1:28" x14ac:dyDescent="0.25">
      <c r="A56" s="2">
        <v>52</v>
      </c>
      <c r="B56">
        <v>1</v>
      </c>
      <c r="C56">
        <v>2</v>
      </c>
      <c r="D56">
        <v>1</v>
      </c>
      <c r="E56">
        <v>2</v>
      </c>
      <c r="G56">
        <v>254237744</v>
      </c>
      <c r="H56">
        <v>113.2300034</v>
      </c>
      <c r="I56">
        <v>2.9500000480000002</v>
      </c>
      <c r="J56" s="9">
        <f t="shared" si="17"/>
        <v>2541008</v>
      </c>
      <c r="K56" s="52"/>
      <c r="L56" s="9">
        <f t="shared" si="31"/>
        <v>2.1999969000000021</v>
      </c>
      <c r="M56" s="9">
        <f t="shared" si="31"/>
        <v>0</v>
      </c>
      <c r="N56" s="29">
        <f t="shared" si="3"/>
        <v>220660752</v>
      </c>
      <c r="O56" s="30">
        <f t="shared" si="4"/>
        <v>2.1905947977710452</v>
      </c>
      <c r="P56" s="30">
        <f t="shared" si="5"/>
        <v>2.1905947977710452</v>
      </c>
      <c r="Q56" s="29">
        <f t="shared" si="6"/>
        <v>80.700004620000001</v>
      </c>
      <c r="R56" s="30">
        <f t="shared" si="7"/>
        <v>0.8269290669798175</v>
      </c>
      <c r="S56" s="30">
        <f t="shared" si="8"/>
        <v>0.8269290669798175</v>
      </c>
      <c r="T56" s="37">
        <f t="shared" si="9"/>
        <v>6.9999934000000152E-2</v>
      </c>
      <c r="U56" s="30">
        <f t="shared" si="10"/>
        <v>8.1018438922649937E-3</v>
      </c>
      <c r="V56" s="38">
        <f t="shared" si="11"/>
        <v>7.1728595783652788E-4</v>
      </c>
      <c r="W56" s="9">
        <f t="shared" si="25"/>
        <v>189569688</v>
      </c>
      <c r="X56" s="12">
        <f t="shared" si="25"/>
        <v>79.300003090000004</v>
      </c>
      <c r="Y56" s="11">
        <f t="shared" si="25"/>
        <v>0.58000016200000015</v>
      </c>
      <c r="Z56" s="7"/>
      <c r="AA56" s="7"/>
      <c r="AB56" s="10"/>
    </row>
    <row r="57" spans="1:28" x14ac:dyDescent="0.25">
      <c r="A57" s="2">
        <v>53</v>
      </c>
      <c r="B57">
        <v>1</v>
      </c>
      <c r="C57">
        <v>2</v>
      </c>
      <c r="D57">
        <v>1</v>
      </c>
      <c r="E57">
        <v>3</v>
      </c>
      <c r="G57">
        <v>256463840</v>
      </c>
      <c r="H57">
        <v>120.66999819999999</v>
      </c>
      <c r="I57">
        <v>2.9500000480000002</v>
      </c>
      <c r="J57" s="9">
        <f t="shared" si="17"/>
        <v>2226096</v>
      </c>
      <c r="K57" s="52"/>
      <c r="L57" s="9">
        <f t="shared" si="31"/>
        <v>7.4399947999999938</v>
      </c>
      <c r="M57" s="9">
        <f t="shared" si="31"/>
        <v>0</v>
      </c>
      <c r="N57" s="29">
        <f t="shared" si="3"/>
        <v>221622744</v>
      </c>
      <c r="O57" s="30">
        <f t="shared" si="4"/>
        <v>2.1203192919074647</v>
      </c>
      <c r="P57" s="30">
        <f t="shared" si="5"/>
        <v>2.1203192919074647</v>
      </c>
      <c r="Q57" s="29">
        <f t="shared" si="6"/>
        <v>86.799999270000001</v>
      </c>
      <c r="R57" s="30">
        <f t="shared" si="7"/>
        <v>0.8542466490712699</v>
      </c>
      <c r="S57" s="30">
        <f t="shared" si="8"/>
        <v>0.8542466490712699</v>
      </c>
      <c r="T57" s="37">
        <f t="shared" si="9"/>
        <v>6.9999934000000152E-2</v>
      </c>
      <c r="U57" s="30">
        <f t="shared" si="10"/>
        <v>8.1018438922649937E-3</v>
      </c>
      <c r="V57" s="38">
        <f t="shared" si="11"/>
        <v>6.8890794421213122E-4</v>
      </c>
      <c r="W57" s="9">
        <f t="shared" si="25"/>
        <v>188391592</v>
      </c>
      <c r="X57" s="12">
        <f t="shared" si="25"/>
        <v>85.699996979999995</v>
      </c>
      <c r="Y57" s="11">
        <f t="shared" si="25"/>
        <v>0.58000016200000015</v>
      </c>
      <c r="Z57" s="7"/>
      <c r="AA57" s="7"/>
      <c r="AB57" s="10"/>
    </row>
    <row r="58" spans="1:28" x14ac:dyDescent="0.25">
      <c r="A58" s="2">
        <v>54</v>
      </c>
      <c r="B58">
        <v>1</v>
      </c>
      <c r="C58">
        <v>2</v>
      </c>
      <c r="D58">
        <v>1</v>
      </c>
      <c r="E58">
        <v>4</v>
      </c>
      <c r="G58">
        <v>240312144</v>
      </c>
      <c r="H58">
        <v>116.7200012</v>
      </c>
      <c r="I58">
        <v>2.9500000480000002</v>
      </c>
      <c r="J58" s="9">
        <f t="shared" si="17"/>
        <v>16151696</v>
      </c>
      <c r="K58" s="52"/>
      <c r="L58" s="9">
        <f t="shared" si="31"/>
        <v>3.9499969999999962</v>
      </c>
      <c r="M58" s="9">
        <f t="shared" si="31"/>
        <v>0</v>
      </c>
      <c r="N58" s="29">
        <f t="shared" si="3"/>
        <v>208147428</v>
      </c>
      <c r="O58" s="30">
        <f t="shared" si="4"/>
        <v>2.1570989776499192</v>
      </c>
      <c r="P58" s="30">
        <f t="shared" si="5"/>
        <v>2.1570989776499192</v>
      </c>
      <c r="Q58" s="29">
        <f t="shared" si="6"/>
        <v>83.96000287999999</v>
      </c>
      <c r="R58" s="30">
        <f t="shared" si="7"/>
        <v>0.8542939274078285</v>
      </c>
      <c r="S58" s="30">
        <f t="shared" si="8"/>
        <v>0.8542939274078285</v>
      </c>
      <c r="T58" s="37">
        <f t="shared" si="9"/>
        <v>6.9999934000000152E-2</v>
      </c>
      <c r="U58" s="30">
        <f t="shared" si="10"/>
        <v>8.1018438922649937E-3</v>
      </c>
      <c r="V58" s="38">
        <f t="shared" si="11"/>
        <v>7.1225007722568732E-4</v>
      </c>
      <c r="W58" s="9">
        <f t="shared" ref="W58:Y73" si="32">ABS(G58-G37)</f>
        <v>176120360</v>
      </c>
      <c r="X58" s="12">
        <f t="shared" si="32"/>
        <v>82.77000043999999</v>
      </c>
      <c r="Y58" s="11">
        <f t="shared" si="32"/>
        <v>0.58000016200000015</v>
      </c>
      <c r="Z58" s="7"/>
      <c r="AA58" s="7"/>
      <c r="AB58" s="10"/>
    </row>
    <row r="59" spans="1:28" x14ac:dyDescent="0.25">
      <c r="A59" s="2">
        <v>55</v>
      </c>
      <c r="B59">
        <v>1</v>
      </c>
      <c r="C59">
        <v>2</v>
      </c>
      <c r="D59">
        <v>1</v>
      </c>
      <c r="E59">
        <v>5</v>
      </c>
      <c r="G59">
        <v>222113792</v>
      </c>
      <c r="H59">
        <v>112.9499969</v>
      </c>
      <c r="I59">
        <v>2.9500000480000002</v>
      </c>
      <c r="J59" s="9">
        <f t="shared" si="17"/>
        <v>18198352</v>
      </c>
      <c r="K59" s="52"/>
      <c r="L59" s="9">
        <f t="shared" si="31"/>
        <v>3.7700042999999965</v>
      </c>
      <c r="M59" s="9">
        <f t="shared" si="31"/>
        <v>0</v>
      </c>
      <c r="N59" s="29">
        <f t="shared" si="3"/>
        <v>193396802</v>
      </c>
      <c r="O59" s="30">
        <f t="shared" si="4"/>
        <v>2.2448592511494647</v>
      </c>
      <c r="P59" s="30">
        <f t="shared" si="5"/>
        <v>2.2448592511494647</v>
      </c>
      <c r="Q59" s="29">
        <f t="shared" si="6"/>
        <v>81.609996749999993</v>
      </c>
      <c r="R59" s="30">
        <f t="shared" si="7"/>
        <v>0.86800676834074608</v>
      </c>
      <c r="S59" s="30">
        <f t="shared" si="8"/>
        <v>0.86800676834074608</v>
      </c>
      <c r="T59" s="37">
        <f t="shared" si="9"/>
        <v>6.9999934000000152E-2</v>
      </c>
      <c r="U59" s="30">
        <f t="shared" si="10"/>
        <v>8.1018438922649937E-3</v>
      </c>
      <c r="V59" s="38">
        <f t="shared" si="11"/>
        <v>7.4452173649186733E-4</v>
      </c>
      <c r="W59" s="9">
        <f t="shared" si="32"/>
        <v>162372784</v>
      </c>
      <c r="X59" s="12">
        <f t="shared" si="32"/>
        <v>79.489997819999999</v>
      </c>
      <c r="Y59" s="11">
        <f t="shared" si="32"/>
        <v>0.58000016200000015</v>
      </c>
      <c r="Z59" s="7"/>
      <c r="AA59" s="7"/>
      <c r="AB59" s="10"/>
    </row>
    <row r="60" spans="1:28" x14ac:dyDescent="0.25">
      <c r="A60" s="2">
        <v>56</v>
      </c>
      <c r="B60">
        <v>1</v>
      </c>
      <c r="C60">
        <v>2</v>
      </c>
      <c r="D60">
        <v>1</v>
      </c>
      <c r="E60">
        <v>6</v>
      </c>
      <c r="G60">
        <v>184878256</v>
      </c>
      <c r="H60">
        <v>101.11000060000001</v>
      </c>
      <c r="I60">
        <v>2.9500000480000002</v>
      </c>
      <c r="J60" s="9">
        <f t="shared" si="17"/>
        <v>37235536</v>
      </c>
      <c r="K60" s="52">
        <f t="shared" ref="K60" si="33">AVERAGE(J55:J60)</f>
        <v>13407381.333333334</v>
      </c>
      <c r="L60" s="9">
        <f t="shared" si="31"/>
        <v>11.839996299999996</v>
      </c>
      <c r="M60" s="9">
        <f t="shared" si="31"/>
        <v>0</v>
      </c>
      <c r="N60" s="29">
        <f t="shared" si="3"/>
        <v>163005492</v>
      </c>
      <c r="O60" s="30">
        <f t="shared" si="4"/>
        <v>2.4841471338510304</v>
      </c>
      <c r="P60" s="30">
        <f t="shared" si="5"/>
        <v>2.4841471338510304</v>
      </c>
      <c r="Q60" s="29">
        <f t="shared" si="6"/>
        <v>73.270000449999998</v>
      </c>
      <c r="R60" s="30">
        <f t="shared" si="7"/>
        <v>0.87727490487579363</v>
      </c>
      <c r="S60" s="30">
        <f t="shared" si="8"/>
        <v>0.87727490487579363</v>
      </c>
      <c r="T60" s="37">
        <f t="shared" si="9"/>
        <v>6.9999934000000152E-2</v>
      </c>
      <c r="U60" s="30">
        <f t="shared" si="10"/>
        <v>8.1018438922649937E-3</v>
      </c>
      <c r="V60" s="38">
        <f t="shared" si="11"/>
        <v>8.3812181061835884E-4</v>
      </c>
      <c r="W60" s="9">
        <f t="shared" si="32"/>
        <v>135795716</v>
      </c>
      <c r="X60" s="12">
        <f t="shared" si="32"/>
        <v>70.239999760000003</v>
      </c>
      <c r="Y60" s="11">
        <f t="shared" si="32"/>
        <v>0.58000016200000015</v>
      </c>
      <c r="Z60" s="7"/>
      <c r="AA60" s="7"/>
      <c r="AB60" s="10"/>
    </row>
    <row r="61" spans="1:28" x14ac:dyDescent="0.25">
      <c r="A61" s="2">
        <v>57</v>
      </c>
      <c r="B61">
        <v>1</v>
      </c>
      <c r="C61">
        <v>2</v>
      </c>
      <c r="D61">
        <v>2</v>
      </c>
      <c r="E61">
        <v>0</v>
      </c>
      <c r="G61">
        <v>969801152</v>
      </c>
      <c r="H61">
        <v>299.75</v>
      </c>
      <c r="I61">
        <v>3.079999924</v>
      </c>
      <c r="K61" s="52"/>
      <c r="N61" s="29">
        <f t="shared" si="3"/>
        <v>717114000</v>
      </c>
      <c r="O61" s="30">
        <f t="shared" si="4"/>
        <v>0.9459839889287287</v>
      </c>
      <c r="P61" s="30">
        <f t="shared" si="5"/>
        <v>1.8919679778574574</v>
      </c>
      <c r="Q61" s="29">
        <f t="shared" si="6"/>
        <v>189.22000120000001</v>
      </c>
      <c r="R61" s="30">
        <f t="shared" si="7"/>
        <v>0.57064448039542848</v>
      </c>
      <c r="S61" s="30">
        <f t="shared" si="8"/>
        <v>1.141288960790857</v>
      </c>
      <c r="T61" s="37">
        <f t="shared" si="9"/>
        <v>0.12999987599999985</v>
      </c>
      <c r="U61" s="30">
        <f t="shared" si="10"/>
        <v>1.4689251286412165E-2</v>
      </c>
      <c r="V61" s="38">
        <f t="shared" si="11"/>
        <v>7.8410010803329436E-4</v>
      </c>
      <c r="W61" s="9">
        <f t="shared" si="32"/>
        <v>682702080</v>
      </c>
      <c r="X61" s="12">
        <f t="shared" si="32"/>
        <v>232.23999786000002</v>
      </c>
      <c r="Y61" s="11">
        <f t="shared" si="32"/>
        <v>0.60999989500000007</v>
      </c>
      <c r="Z61" s="7"/>
      <c r="AA61" s="7"/>
      <c r="AB61" s="10"/>
    </row>
    <row r="62" spans="1:28" x14ac:dyDescent="0.25">
      <c r="A62" s="2">
        <v>58</v>
      </c>
      <c r="B62">
        <v>1</v>
      </c>
      <c r="C62">
        <v>2</v>
      </c>
      <c r="D62">
        <v>2</v>
      </c>
      <c r="E62">
        <v>1</v>
      </c>
      <c r="G62">
        <v>974543424</v>
      </c>
      <c r="H62">
        <v>314.07000729999999</v>
      </c>
      <c r="I62">
        <v>3.079999924</v>
      </c>
      <c r="J62" s="9">
        <f t="shared" ref="J62" si="34">ABS(G62-G61)</f>
        <v>4742272</v>
      </c>
      <c r="K62" s="52"/>
      <c r="L62" s="9">
        <f t="shared" ref="L62:M67" si="35">ABS(H62-H61)</f>
        <v>14.320007299999986</v>
      </c>
      <c r="M62" s="9">
        <f t="shared" si="35"/>
        <v>0</v>
      </c>
      <c r="N62" s="29">
        <f t="shared" si="3"/>
        <v>717764672</v>
      </c>
      <c r="O62" s="30">
        <f t="shared" si="4"/>
        <v>0.93175501790220816</v>
      </c>
      <c r="P62" s="30">
        <f t="shared" si="5"/>
        <v>1.8635100358044163</v>
      </c>
      <c r="Q62" s="29">
        <f t="shared" si="6"/>
        <v>198.64000699999997</v>
      </c>
      <c r="R62" s="30">
        <f t="shared" si="7"/>
        <v>0.57362328246192218</v>
      </c>
      <c r="S62" s="30">
        <f t="shared" si="8"/>
        <v>1.1472465649238444</v>
      </c>
      <c r="T62" s="37">
        <f t="shared" si="9"/>
        <v>0.12999987599999985</v>
      </c>
      <c r="U62" s="30">
        <f t="shared" si="10"/>
        <v>1.4689251286412165E-2</v>
      </c>
      <c r="V62" s="38">
        <f t="shared" si="11"/>
        <v>7.5081507211951289E-4</v>
      </c>
      <c r="W62" s="9">
        <f t="shared" si="32"/>
        <v>679410496</v>
      </c>
      <c r="X62" s="12">
        <f t="shared" si="32"/>
        <v>244.30001066</v>
      </c>
      <c r="Y62" s="11">
        <f t="shared" si="32"/>
        <v>0.60999989500000007</v>
      </c>
      <c r="Z62" s="7"/>
      <c r="AA62" s="7"/>
      <c r="AB62" s="10"/>
    </row>
    <row r="63" spans="1:28" x14ac:dyDescent="0.25">
      <c r="A63" s="2">
        <v>59</v>
      </c>
      <c r="B63">
        <v>1</v>
      </c>
      <c r="C63">
        <v>2</v>
      </c>
      <c r="D63">
        <v>2</v>
      </c>
      <c r="E63">
        <v>2</v>
      </c>
      <c r="G63">
        <v>971252864</v>
      </c>
      <c r="H63">
        <v>307.17001340000002</v>
      </c>
      <c r="I63">
        <v>3.079999924</v>
      </c>
      <c r="J63" s="9">
        <f t="shared" si="13"/>
        <v>3290560</v>
      </c>
      <c r="K63" s="52"/>
      <c r="L63" s="9">
        <f t="shared" si="35"/>
        <v>6.8999938999999699</v>
      </c>
      <c r="M63" s="9">
        <f t="shared" si="35"/>
        <v>0</v>
      </c>
      <c r="N63" s="29">
        <f t="shared" si="3"/>
        <v>717015120</v>
      </c>
      <c r="O63" s="30">
        <f t="shared" si="4"/>
        <v>0.94008480503193892</v>
      </c>
      <c r="P63" s="30">
        <f t="shared" si="5"/>
        <v>1.8801696100638778</v>
      </c>
      <c r="Q63" s="29">
        <f t="shared" si="6"/>
        <v>193.94001000000003</v>
      </c>
      <c r="R63" s="30">
        <f t="shared" si="7"/>
        <v>0.57093233294029921</v>
      </c>
      <c r="S63" s="30">
        <f t="shared" si="8"/>
        <v>1.1418646658805984</v>
      </c>
      <c r="T63" s="37">
        <f t="shared" si="9"/>
        <v>0.12999987599999985</v>
      </c>
      <c r="U63" s="30">
        <f t="shared" si="10"/>
        <v>1.4689251286412165E-2</v>
      </c>
      <c r="V63" s="38">
        <f t="shared" si="11"/>
        <v>7.6540299741790791E-4</v>
      </c>
      <c r="W63" s="9">
        <f t="shared" si="32"/>
        <v>680429152</v>
      </c>
      <c r="X63" s="12">
        <f t="shared" si="32"/>
        <v>238.56001279000003</v>
      </c>
      <c r="Y63" s="11">
        <f t="shared" si="32"/>
        <v>0.60999989500000007</v>
      </c>
      <c r="Z63" s="7"/>
      <c r="AA63" s="7"/>
      <c r="AB63" s="10"/>
    </row>
    <row r="64" spans="1:28" x14ac:dyDescent="0.25">
      <c r="A64" s="2">
        <v>60</v>
      </c>
      <c r="B64">
        <v>1</v>
      </c>
      <c r="C64">
        <v>2</v>
      </c>
      <c r="D64">
        <v>2</v>
      </c>
      <c r="E64">
        <v>3</v>
      </c>
      <c r="G64">
        <v>960180096</v>
      </c>
      <c r="H64">
        <v>328.9100037</v>
      </c>
      <c r="I64">
        <v>3.079999924</v>
      </c>
      <c r="J64" s="9">
        <f t="shared" si="13"/>
        <v>11072768</v>
      </c>
      <c r="K64" s="52"/>
      <c r="L64" s="9">
        <f t="shared" si="35"/>
        <v>21.739990299999988</v>
      </c>
      <c r="M64" s="9">
        <f t="shared" si="35"/>
        <v>0</v>
      </c>
      <c r="N64" s="29">
        <f t="shared" si="3"/>
        <v>703716256</v>
      </c>
      <c r="O64" s="30">
        <f t="shared" si="4"/>
        <v>0.91463999499240645</v>
      </c>
      <c r="P64" s="30">
        <f t="shared" si="5"/>
        <v>1.8292799899848129</v>
      </c>
      <c r="Q64" s="29">
        <f t="shared" si="6"/>
        <v>208.2400055</v>
      </c>
      <c r="R64" s="30">
        <f t="shared" si="7"/>
        <v>0.57523275215120262</v>
      </c>
      <c r="S64" s="30">
        <f t="shared" si="8"/>
        <v>1.1504655043024052</v>
      </c>
      <c r="T64" s="37">
        <f t="shared" si="9"/>
        <v>0.12999987599999985</v>
      </c>
      <c r="U64" s="30">
        <f t="shared" si="10"/>
        <v>1.4689251286412165E-2</v>
      </c>
      <c r="V64" s="38">
        <f t="shared" si="11"/>
        <v>7.1821152973216759E-4</v>
      </c>
      <c r="W64" s="9">
        <f t="shared" si="32"/>
        <v>659514816</v>
      </c>
      <c r="X64" s="12">
        <f t="shared" si="32"/>
        <v>256.78000644999997</v>
      </c>
      <c r="Y64" s="11">
        <f t="shared" si="32"/>
        <v>0.60999989500000007</v>
      </c>
      <c r="Z64" s="7"/>
      <c r="AA64" s="7"/>
      <c r="AB64" s="10"/>
    </row>
    <row r="65" spans="1:28" x14ac:dyDescent="0.25">
      <c r="A65" s="2">
        <v>61</v>
      </c>
      <c r="B65">
        <v>1</v>
      </c>
      <c r="C65">
        <v>2</v>
      </c>
      <c r="D65">
        <v>2</v>
      </c>
      <c r="E65">
        <v>4</v>
      </c>
      <c r="G65">
        <v>891360128</v>
      </c>
      <c r="H65">
        <v>318.67001340000002</v>
      </c>
      <c r="I65">
        <v>3.079999924</v>
      </c>
      <c r="J65" s="9">
        <f t="shared" si="13"/>
        <v>68819968</v>
      </c>
      <c r="K65" s="52"/>
      <c r="L65" s="9">
        <f t="shared" si="35"/>
        <v>10.239990299999988</v>
      </c>
      <c r="M65" s="9">
        <f t="shared" si="35"/>
        <v>0</v>
      </c>
      <c r="N65" s="29">
        <f t="shared" si="3"/>
        <v>651047984</v>
      </c>
      <c r="O65" s="30">
        <f t="shared" si="4"/>
        <v>0.90305879284513679</v>
      </c>
      <c r="P65" s="30">
        <f t="shared" si="5"/>
        <v>1.8061175856902736</v>
      </c>
      <c r="Q65" s="29">
        <f t="shared" si="6"/>
        <v>201.9500122</v>
      </c>
      <c r="R65" s="30">
        <f t="shared" si="7"/>
        <v>0.57673637800933586</v>
      </c>
      <c r="S65" s="30">
        <f t="shared" si="8"/>
        <v>1.1534727560186717</v>
      </c>
      <c r="T65" s="37">
        <f t="shared" si="9"/>
        <v>0.12999987599999985</v>
      </c>
      <c r="U65" s="30">
        <f t="shared" si="10"/>
        <v>1.4689251286412165E-2</v>
      </c>
      <c r="V65" s="38">
        <f t="shared" si="11"/>
        <v>7.4251699030996839E-4</v>
      </c>
      <c r="W65" s="9">
        <f t="shared" si="32"/>
        <v>605207200</v>
      </c>
      <c r="X65" s="12">
        <f t="shared" si="32"/>
        <v>248.24001309000002</v>
      </c>
      <c r="Y65" s="11">
        <f t="shared" si="32"/>
        <v>0.59999990499999978</v>
      </c>
      <c r="Z65" s="7"/>
      <c r="AA65" s="7"/>
      <c r="AB65" s="10"/>
    </row>
    <row r="66" spans="1:28" x14ac:dyDescent="0.25">
      <c r="A66" s="2">
        <v>62</v>
      </c>
      <c r="B66">
        <v>1</v>
      </c>
      <c r="C66">
        <v>2</v>
      </c>
      <c r="D66">
        <v>2</v>
      </c>
      <c r="E66">
        <v>5</v>
      </c>
      <c r="G66">
        <v>828092032</v>
      </c>
      <c r="H66">
        <v>306.30999759999997</v>
      </c>
      <c r="I66">
        <v>3.079999924</v>
      </c>
      <c r="J66" s="9">
        <f t="shared" si="13"/>
        <v>63268096</v>
      </c>
      <c r="K66" s="52"/>
      <c r="L66" s="9">
        <f t="shared" si="35"/>
        <v>12.360015800000042</v>
      </c>
      <c r="M66" s="9">
        <f t="shared" si="35"/>
        <v>0</v>
      </c>
      <c r="N66" s="29">
        <f t="shared" si="3"/>
        <v>605978240</v>
      </c>
      <c r="O66" s="30">
        <f t="shared" si="4"/>
        <v>0.90941109441176293</v>
      </c>
      <c r="P66" s="30">
        <f t="shared" si="5"/>
        <v>1.8188221888235259</v>
      </c>
      <c r="Q66" s="29">
        <f t="shared" si="6"/>
        <v>193.36000069999997</v>
      </c>
      <c r="R66" s="30">
        <f t="shared" si="7"/>
        <v>0.5706359923473947</v>
      </c>
      <c r="S66" s="30">
        <f t="shared" si="8"/>
        <v>1.1412719846947894</v>
      </c>
      <c r="T66" s="37">
        <f t="shared" si="9"/>
        <v>0.12999987599999985</v>
      </c>
      <c r="U66" s="30">
        <f t="shared" si="10"/>
        <v>1.4689251286412165E-2</v>
      </c>
      <c r="V66" s="38">
        <f t="shared" si="11"/>
        <v>7.6730045487942726E-4</v>
      </c>
      <c r="W66" s="9">
        <f t="shared" si="32"/>
        <v>558227328</v>
      </c>
      <c r="X66" s="12">
        <f t="shared" si="32"/>
        <v>235.93999484999998</v>
      </c>
      <c r="Y66" s="11">
        <f t="shared" si="32"/>
        <v>0.59999990499999978</v>
      </c>
      <c r="Z66" s="7"/>
      <c r="AA66" s="7"/>
      <c r="AB66" s="10"/>
    </row>
    <row r="67" spans="1:28" x14ac:dyDescent="0.25">
      <c r="A67" s="2">
        <v>63</v>
      </c>
      <c r="B67">
        <v>1</v>
      </c>
      <c r="C67">
        <v>2</v>
      </c>
      <c r="D67">
        <v>2</v>
      </c>
      <c r="E67">
        <v>6</v>
      </c>
      <c r="G67">
        <v>688246336</v>
      </c>
      <c r="H67">
        <v>273.26000979999998</v>
      </c>
      <c r="I67">
        <v>3.079999924</v>
      </c>
      <c r="J67" s="9">
        <f t="shared" si="13"/>
        <v>139845696</v>
      </c>
      <c r="K67" s="52">
        <f t="shared" ref="K67" si="36">AVERAGE(J62:J67)</f>
        <v>48506560</v>
      </c>
      <c r="L67" s="9">
        <f t="shared" si="35"/>
        <v>33.049987799999997</v>
      </c>
      <c r="M67" s="9">
        <f t="shared" si="35"/>
        <v>0</v>
      </c>
      <c r="N67" s="29">
        <f t="shared" si="3"/>
        <v>503368080</v>
      </c>
      <c r="O67" s="30">
        <f t="shared" si="4"/>
        <v>0.90756676112306034</v>
      </c>
      <c r="P67" s="30">
        <f t="shared" si="5"/>
        <v>1.8151335222461207</v>
      </c>
      <c r="Q67" s="29">
        <f t="shared" si="6"/>
        <v>172.15000919999997</v>
      </c>
      <c r="R67" s="30">
        <f t="shared" si="7"/>
        <v>0.56753373612382296</v>
      </c>
      <c r="S67" s="30">
        <f t="shared" si="8"/>
        <v>1.1350674722476459</v>
      </c>
      <c r="T67" s="37">
        <f t="shared" si="9"/>
        <v>0.12999987599999985</v>
      </c>
      <c r="U67" s="30">
        <f t="shared" si="10"/>
        <v>1.4689251286412165E-2</v>
      </c>
      <c r="V67" s="38">
        <f t="shared" si="11"/>
        <v>8.5715145372078935E-4</v>
      </c>
      <c r="W67" s="9">
        <f t="shared" si="32"/>
        <v>456804864</v>
      </c>
      <c r="X67" s="12">
        <f t="shared" si="32"/>
        <v>207.42001345999998</v>
      </c>
      <c r="Y67" s="11">
        <f t="shared" si="32"/>
        <v>0.59999990499999978</v>
      </c>
      <c r="Z67" s="7"/>
      <c r="AA67" s="7"/>
      <c r="AB67" s="10"/>
    </row>
    <row r="68" spans="1:28" x14ac:dyDescent="0.25">
      <c r="A68" s="2">
        <v>64</v>
      </c>
      <c r="B68">
        <v>1</v>
      </c>
      <c r="C68">
        <v>3</v>
      </c>
      <c r="D68">
        <v>0</v>
      </c>
      <c r="E68">
        <v>0</v>
      </c>
      <c r="G68">
        <v>84853136</v>
      </c>
      <c r="H68">
        <v>63.319999690000003</v>
      </c>
      <c r="I68">
        <v>3.4300000669999999</v>
      </c>
      <c r="K68" s="52"/>
      <c r="N68" s="29">
        <f t="shared" si="3"/>
        <v>884948016</v>
      </c>
      <c r="O68" s="30">
        <f t="shared" si="4"/>
        <v>0.30416820127679123</v>
      </c>
      <c r="P68" s="30">
        <f t="shared" si="5"/>
        <v>1.0138940042559708</v>
      </c>
      <c r="Q68" s="29">
        <f t="shared" si="6"/>
        <v>236.43000031</v>
      </c>
      <c r="R68" s="30">
        <f t="shared" si="7"/>
        <v>0.2629190995941062</v>
      </c>
      <c r="S68" s="30">
        <f t="shared" si="8"/>
        <v>0.87639699864702059</v>
      </c>
      <c r="T68" s="37">
        <f t="shared" si="9"/>
        <v>0.35000014299999993</v>
      </c>
      <c r="U68" s="30">
        <f t="shared" si="10"/>
        <v>3.7878804289650146E-2</v>
      </c>
      <c r="V68" s="38">
        <f t="shared" si="11"/>
        <v>1.2973779742377906E-3</v>
      </c>
      <c r="W68" s="9">
        <f t="shared" si="32"/>
        <v>51783404</v>
      </c>
      <c r="X68" s="12">
        <f t="shared" si="32"/>
        <v>31.290000910000003</v>
      </c>
      <c r="Y68" s="11">
        <f t="shared" si="32"/>
        <v>0.54999995299999993</v>
      </c>
      <c r="Z68" s="7"/>
      <c r="AA68" s="7"/>
      <c r="AB68" s="10"/>
    </row>
    <row r="69" spans="1:28" x14ac:dyDescent="0.25">
      <c r="A69" s="2">
        <v>65</v>
      </c>
      <c r="B69">
        <v>1</v>
      </c>
      <c r="C69">
        <v>3</v>
      </c>
      <c r="D69">
        <v>0</v>
      </c>
      <c r="E69">
        <v>1</v>
      </c>
      <c r="G69">
        <v>85315352</v>
      </c>
      <c r="H69">
        <v>64.519996640000002</v>
      </c>
      <c r="I69">
        <v>3.4300000669999999</v>
      </c>
      <c r="J69" s="9">
        <f t="shared" ref="J69" si="37">ABS(G69-G68)</f>
        <v>462216</v>
      </c>
      <c r="K69" s="52"/>
      <c r="L69" s="9">
        <f t="shared" ref="L69:M74" si="38">ABS(H69-H68)</f>
        <v>1.1999969499999992</v>
      </c>
      <c r="M69" s="9">
        <f t="shared" si="38"/>
        <v>0</v>
      </c>
      <c r="N69" s="29">
        <f t="shared" si="3"/>
        <v>889228072</v>
      </c>
      <c r="O69" s="30">
        <f t="shared" si="4"/>
        <v>0.30415202651178458</v>
      </c>
      <c r="P69" s="30">
        <f t="shared" si="5"/>
        <v>1.0138400883726153</v>
      </c>
      <c r="Q69" s="29">
        <f t="shared" si="6"/>
        <v>249.55001066</v>
      </c>
      <c r="R69" s="30">
        <f t="shared" si="7"/>
        <v>0.26485603512980421</v>
      </c>
      <c r="S69" s="30">
        <f t="shared" si="8"/>
        <v>0.88285345043268071</v>
      </c>
      <c r="T69" s="37">
        <f t="shared" si="9"/>
        <v>0.35000014299999993</v>
      </c>
      <c r="U69" s="30">
        <f t="shared" si="10"/>
        <v>3.7878804289650146E-2</v>
      </c>
      <c r="V69" s="38">
        <f t="shared" si="11"/>
        <v>1.2382240861551306E-3</v>
      </c>
      <c r="W69" s="9">
        <f t="shared" si="32"/>
        <v>51013976</v>
      </c>
      <c r="X69" s="12">
        <f t="shared" si="32"/>
        <v>31.519996640000002</v>
      </c>
      <c r="Y69" s="11">
        <f t="shared" si="32"/>
        <v>0.54999995299999993</v>
      </c>
      <c r="Z69" s="7"/>
      <c r="AA69" s="7"/>
      <c r="AB69" s="10"/>
    </row>
    <row r="70" spans="1:28" x14ac:dyDescent="0.25">
      <c r="A70" s="2">
        <v>66</v>
      </c>
      <c r="B70">
        <v>1</v>
      </c>
      <c r="C70">
        <v>3</v>
      </c>
      <c r="D70">
        <v>0</v>
      </c>
      <c r="E70">
        <v>2</v>
      </c>
      <c r="G70">
        <v>84865032</v>
      </c>
      <c r="H70">
        <v>63.599998470000003</v>
      </c>
      <c r="I70">
        <v>3.4300000669999999</v>
      </c>
      <c r="J70" s="9">
        <f t="shared" si="17"/>
        <v>450320</v>
      </c>
      <c r="K70" s="52"/>
      <c r="L70" s="9">
        <f t="shared" si="38"/>
        <v>0.9199981699999995</v>
      </c>
      <c r="M70" s="9">
        <f t="shared" si="38"/>
        <v>0</v>
      </c>
      <c r="N70" s="29">
        <f t="shared" si="3"/>
        <v>886387832</v>
      </c>
      <c r="O70" s="30">
        <f t="shared" si="4"/>
        <v>0.30420771111020034</v>
      </c>
      <c r="P70" s="30">
        <f t="shared" si="5"/>
        <v>1.0140257037006677</v>
      </c>
      <c r="Q70" s="29">
        <f t="shared" si="6"/>
        <v>243.57001493000001</v>
      </c>
      <c r="R70" s="30">
        <f t="shared" si="7"/>
        <v>0.26431618138109136</v>
      </c>
      <c r="S70" s="30">
        <f t="shared" si="8"/>
        <v>0.88105393793697118</v>
      </c>
      <c r="T70" s="37">
        <f t="shared" si="9"/>
        <v>0.35000014299999993</v>
      </c>
      <c r="U70" s="30">
        <f t="shared" si="10"/>
        <v>3.7878804289650146E-2</v>
      </c>
      <c r="V70" s="38">
        <f t="shared" si="11"/>
        <v>1.2660384504113763E-3</v>
      </c>
      <c r="W70" s="9">
        <f t="shared" si="32"/>
        <v>51288040</v>
      </c>
      <c r="X70" s="12">
        <f t="shared" si="32"/>
        <v>31.069999690000003</v>
      </c>
      <c r="Y70" s="11">
        <f t="shared" si="32"/>
        <v>0.54999995299999993</v>
      </c>
      <c r="Z70" s="7"/>
      <c r="AA70" s="7"/>
      <c r="AB70" s="10"/>
    </row>
    <row r="71" spans="1:28" x14ac:dyDescent="0.25">
      <c r="A71" s="2">
        <v>67</v>
      </c>
      <c r="B71">
        <v>1</v>
      </c>
      <c r="C71">
        <v>3</v>
      </c>
      <c r="D71">
        <v>0</v>
      </c>
      <c r="E71">
        <v>3</v>
      </c>
      <c r="G71">
        <v>83684816</v>
      </c>
      <c r="H71">
        <v>64.699996949999999</v>
      </c>
      <c r="I71">
        <v>3.4300000669999999</v>
      </c>
      <c r="J71" s="9">
        <f t="shared" si="17"/>
        <v>1180216</v>
      </c>
      <c r="K71" s="52"/>
      <c r="L71" s="9">
        <f t="shared" si="38"/>
        <v>1.0999984799999964</v>
      </c>
      <c r="M71" s="9">
        <f t="shared" si="38"/>
        <v>0</v>
      </c>
      <c r="N71" s="29">
        <f t="shared" si="3"/>
        <v>876495280</v>
      </c>
      <c r="O71" s="30">
        <f t="shared" si="4"/>
        <v>0.30428155566904541</v>
      </c>
      <c r="P71" s="30">
        <f t="shared" si="5"/>
        <v>1.0142718522301513</v>
      </c>
      <c r="Q71" s="29">
        <f t="shared" si="6"/>
        <v>264.21000674999999</v>
      </c>
      <c r="R71" s="30">
        <f t="shared" si="7"/>
        <v>0.26776322173018779</v>
      </c>
      <c r="S71" s="30">
        <f t="shared" si="8"/>
        <v>0.89254407243395939</v>
      </c>
      <c r="T71" s="37">
        <f t="shared" si="9"/>
        <v>0.35000014299999993</v>
      </c>
      <c r="U71" s="30">
        <f t="shared" si="10"/>
        <v>3.7878804289650146E-2</v>
      </c>
      <c r="V71" s="38">
        <f t="shared" si="11"/>
        <v>1.1823570077013675E-3</v>
      </c>
      <c r="W71" s="9">
        <f t="shared" si="32"/>
        <v>48843720</v>
      </c>
      <c r="X71" s="12">
        <f t="shared" si="32"/>
        <v>30.829998019999998</v>
      </c>
      <c r="Y71" s="11">
        <f t="shared" si="32"/>
        <v>0.54999995299999993</v>
      </c>
      <c r="Z71" s="7"/>
      <c r="AA71" s="7"/>
      <c r="AB71" s="10"/>
    </row>
    <row r="72" spans="1:28" x14ac:dyDescent="0.25">
      <c r="A72" s="2">
        <v>68</v>
      </c>
      <c r="B72">
        <v>1</v>
      </c>
      <c r="C72">
        <v>3</v>
      </c>
      <c r="D72">
        <v>0</v>
      </c>
      <c r="E72">
        <v>4</v>
      </c>
      <c r="G72">
        <v>76819752</v>
      </c>
      <c r="H72">
        <v>62.479999540000001</v>
      </c>
      <c r="I72">
        <v>3.4300000669999999</v>
      </c>
      <c r="J72" s="9">
        <f t="shared" si="17"/>
        <v>6865064</v>
      </c>
      <c r="K72" s="52"/>
      <c r="L72" s="9">
        <f t="shared" si="38"/>
        <v>2.2199974099999977</v>
      </c>
      <c r="M72" s="9">
        <f t="shared" si="38"/>
        <v>0</v>
      </c>
      <c r="N72" s="29">
        <f t="shared" si="3"/>
        <v>814540376</v>
      </c>
      <c r="O72" s="30">
        <f t="shared" si="4"/>
        <v>0.30460579303213647</v>
      </c>
      <c r="P72" s="30">
        <f t="shared" si="5"/>
        <v>1.0153526434404547</v>
      </c>
      <c r="Q72" s="29">
        <f t="shared" si="6"/>
        <v>256.19001386000002</v>
      </c>
      <c r="R72" s="30">
        <f t="shared" si="7"/>
        <v>0.26797837165643607</v>
      </c>
      <c r="S72" s="30">
        <f t="shared" si="8"/>
        <v>0.89326123885478692</v>
      </c>
      <c r="T72" s="37">
        <f t="shared" si="9"/>
        <v>0.35000014299999993</v>
      </c>
      <c r="U72" s="30">
        <f t="shared" si="10"/>
        <v>3.7878804289650146E-2</v>
      </c>
      <c r="V72" s="38">
        <f t="shared" si="11"/>
        <v>1.2203503041550304E-3</v>
      </c>
      <c r="W72" s="9">
        <f t="shared" si="32"/>
        <v>44655036</v>
      </c>
      <c r="X72" s="12">
        <f t="shared" si="32"/>
        <v>29.72000122</v>
      </c>
      <c r="Y72" s="11">
        <f t="shared" si="32"/>
        <v>0.54999995299999993</v>
      </c>
      <c r="Z72" s="7"/>
      <c r="AA72" s="7"/>
      <c r="AB72" s="10"/>
    </row>
    <row r="73" spans="1:28" x14ac:dyDescent="0.25">
      <c r="A73" s="2">
        <v>69</v>
      </c>
      <c r="B73">
        <v>1</v>
      </c>
      <c r="C73">
        <v>3</v>
      </c>
      <c r="D73">
        <v>0</v>
      </c>
      <c r="E73">
        <v>5</v>
      </c>
      <c r="G73">
        <v>69473464</v>
      </c>
      <c r="H73">
        <v>57.740001679999999</v>
      </c>
      <c r="I73">
        <v>3.4300000669999999</v>
      </c>
      <c r="J73" s="9">
        <f t="shared" si="17"/>
        <v>7346288</v>
      </c>
      <c r="K73" s="52"/>
      <c r="L73" s="9">
        <f t="shared" si="38"/>
        <v>4.7399978600000026</v>
      </c>
      <c r="M73" s="9">
        <f t="shared" si="38"/>
        <v>0</v>
      </c>
      <c r="N73" s="29">
        <f t="shared" si="3"/>
        <v>758618568</v>
      </c>
      <c r="O73" s="30">
        <f t="shared" si="4"/>
        <v>0.30536805841406767</v>
      </c>
      <c r="P73" s="30">
        <f t="shared" si="5"/>
        <v>1.0178935280468921</v>
      </c>
      <c r="Q73" s="29">
        <f t="shared" si="6"/>
        <v>248.56999591999997</v>
      </c>
      <c r="R73" s="30">
        <f t="shared" si="7"/>
        <v>0.27049938283394331</v>
      </c>
      <c r="S73" s="30">
        <f t="shared" si="8"/>
        <v>0.90166460944647775</v>
      </c>
      <c r="T73" s="37">
        <f t="shared" si="9"/>
        <v>0.35000014299999993</v>
      </c>
      <c r="U73" s="30">
        <f t="shared" si="10"/>
        <v>3.7878804289650146E-2</v>
      </c>
      <c r="V73" s="38">
        <f t="shared" si="11"/>
        <v>1.269593062011691E-3</v>
      </c>
      <c r="W73" s="9">
        <f t="shared" si="32"/>
        <v>40756474</v>
      </c>
      <c r="X73" s="12">
        <f t="shared" si="32"/>
        <v>26.400001529999997</v>
      </c>
      <c r="Y73" s="11">
        <f t="shared" si="32"/>
        <v>0.54999995299999993</v>
      </c>
      <c r="Z73" s="7"/>
      <c r="AA73" s="7"/>
      <c r="AB73" s="10"/>
    </row>
    <row r="74" spans="1:28" x14ac:dyDescent="0.25">
      <c r="A74" s="2">
        <v>70</v>
      </c>
      <c r="B74">
        <v>1</v>
      </c>
      <c r="C74">
        <v>3</v>
      </c>
      <c r="D74">
        <v>0</v>
      </c>
      <c r="E74">
        <v>6</v>
      </c>
      <c r="G74">
        <v>54824812</v>
      </c>
      <c r="H74">
        <v>50.619998930000001</v>
      </c>
      <c r="I74">
        <v>3.4300000669999999</v>
      </c>
      <c r="J74" s="9">
        <f t="shared" si="17"/>
        <v>14648652</v>
      </c>
      <c r="K74" s="52">
        <f t="shared" ref="K74" si="39">AVERAGE(J69:J74)</f>
        <v>5158792.666666667</v>
      </c>
      <c r="L74" s="9">
        <f t="shared" si="38"/>
        <v>7.1200027499999976</v>
      </c>
      <c r="M74" s="9">
        <f t="shared" si="38"/>
        <v>0</v>
      </c>
      <c r="N74" s="29">
        <f t="shared" si="3"/>
        <v>633421524</v>
      </c>
      <c r="O74" s="30">
        <f t="shared" si="4"/>
        <v>0.30678043159244656</v>
      </c>
      <c r="P74" s="30">
        <f t="shared" si="5"/>
        <v>1.0226014386414886</v>
      </c>
      <c r="Q74" s="29">
        <f t="shared" si="6"/>
        <v>222.64001086999997</v>
      </c>
      <c r="R74" s="30">
        <f t="shared" si="7"/>
        <v>0.2715850629259059</v>
      </c>
      <c r="S74" s="30">
        <f t="shared" si="8"/>
        <v>0.90528354308635295</v>
      </c>
      <c r="T74" s="37">
        <f t="shared" si="9"/>
        <v>0.35000014299999993</v>
      </c>
      <c r="U74" s="30">
        <f t="shared" si="10"/>
        <v>3.7878804289650146E-2</v>
      </c>
      <c r="V74" s="38">
        <f t="shared" si="11"/>
        <v>1.4231465777316157E-3</v>
      </c>
      <c r="W74" s="9">
        <f t="shared" ref="W74:Y89" si="40">ABS(G74-G53)</f>
        <v>32952048</v>
      </c>
      <c r="X74" s="12">
        <f t="shared" si="40"/>
        <v>22.77999878</v>
      </c>
      <c r="Y74" s="11">
        <f t="shared" si="40"/>
        <v>0.54999995299999993</v>
      </c>
      <c r="Z74" s="7"/>
      <c r="AA74" s="7"/>
      <c r="AB74" s="10"/>
    </row>
    <row r="75" spans="1:28" x14ac:dyDescent="0.25">
      <c r="A75" s="2">
        <v>71</v>
      </c>
      <c r="B75">
        <v>1</v>
      </c>
      <c r="C75">
        <v>3</v>
      </c>
      <c r="D75">
        <v>1</v>
      </c>
      <c r="E75">
        <v>0</v>
      </c>
      <c r="G75">
        <v>478717696</v>
      </c>
      <c r="H75">
        <v>265.36999509999998</v>
      </c>
      <c r="I75">
        <v>3.5599999430000002</v>
      </c>
      <c r="K75" s="52"/>
      <c r="N75" s="29">
        <f t="shared" si="3"/>
        <v>393864560</v>
      </c>
      <c r="O75" s="30">
        <f t="shared" si="4"/>
        <v>1.5472402418534852</v>
      </c>
      <c r="P75" s="30">
        <f t="shared" si="5"/>
        <v>1.5472402418534852</v>
      </c>
      <c r="Q75" s="29">
        <f t="shared" si="6"/>
        <v>202.04999540999998</v>
      </c>
      <c r="R75" s="30">
        <f t="shared" si="7"/>
        <v>1.0636449589344588</v>
      </c>
      <c r="S75" s="30">
        <f t="shared" si="8"/>
        <v>1.0636449589344588</v>
      </c>
      <c r="T75" s="37">
        <f t="shared" si="9"/>
        <v>0.12999987600000029</v>
      </c>
      <c r="U75" s="30">
        <f t="shared" si="10"/>
        <v>1.2633612581209345E-2</v>
      </c>
      <c r="V75" s="38">
        <f t="shared" si="11"/>
        <v>6.8435395155006038E-4</v>
      </c>
      <c r="W75" s="9">
        <f t="shared" si="40"/>
        <v>226030544</v>
      </c>
      <c r="X75" s="12">
        <f t="shared" si="40"/>
        <v>154.8399963</v>
      </c>
      <c r="Y75" s="11">
        <f t="shared" si="40"/>
        <v>0.60999989500000007</v>
      </c>
      <c r="Z75" s="7"/>
      <c r="AA75" s="7"/>
      <c r="AB75" s="10"/>
    </row>
    <row r="76" spans="1:28" x14ac:dyDescent="0.25">
      <c r="A76" s="2">
        <v>72</v>
      </c>
      <c r="B76">
        <v>1</v>
      </c>
      <c r="C76">
        <v>3</v>
      </c>
      <c r="D76">
        <v>1</v>
      </c>
      <c r="E76">
        <v>1</v>
      </c>
      <c r="G76">
        <v>478439200</v>
      </c>
      <c r="H76">
        <v>270.85998540000003</v>
      </c>
      <c r="I76">
        <v>3.5599999430000002</v>
      </c>
      <c r="J76" s="9">
        <f t="shared" ref="J76" si="41">ABS(G76-G75)</f>
        <v>278496</v>
      </c>
      <c r="K76" s="52"/>
      <c r="L76" s="9">
        <f t="shared" ref="L76:M81" si="42">ABS(H76-H75)</f>
        <v>5.489990300000045</v>
      </c>
      <c r="M76" s="9">
        <f t="shared" si="42"/>
        <v>0</v>
      </c>
      <c r="N76" s="29">
        <f t="shared" si="3"/>
        <v>393123848</v>
      </c>
      <c r="O76" s="30">
        <f t="shared" si="4"/>
        <v>1.535963687598296</v>
      </c>
      <c r="P76" s="30">
        <f t="shared" si="5"/>
        <v>1.535963687598296</v>
      </c>
      <c r="Q76" s="29">
        <f t="shared" si="6"/>
        <v>206.33998876000004</v>
      </c>
      <c r="R76" s="30">
        <f t="shared" si="7"/>
        <v>1.0660260358831499</v>
      </c>
      <c r="S76" s="30">
        <f t="shared" si="8"/>
        <v>1.0660260358831499</v>
      </c>
      <c r="T76" s="37">
        <f t="shared" si="9"/>
        <v>0.12999987600000029</v>
      </c>
      <c r="U76" s="30">
        <f t="shared" si="10"/>
        <v>1.2633612581209345E-2</v>
      </c>
      <c r="V76" s="38">
        <f t="shared" si="11"/>
        <v>6.7162576343246527E-4</v>
      </c>
      <c r="W76" s="9">
        <f t="shared" si="40"/>
        <v>221660448</v>
      </c>
      <c r="X76" s="12">
        <f t="shared" si="40"/>
        <v>155.42998510000001</v>
      </c>
      <c r="Y76" s="11">
        <f t="shared" si="40"/>
        <v>0.60999989500000007</v>
      </c>
      <c r="Z76" s="7"/>
      <c r="AA76" s="7"/>
      <c r="AB76" s="10"/>
    </row>
    <row r="77" spans="1:28" x14ac:dyDescent="0.25">
      <c r="A77" s="2">
        <v>73</v>
      </c>
      <c r="B77">
        <v>1</v>
      </c>
      <c r="C77">
        <v>3</v>
      </c>
      <c r="D77">
        <v>1</v>
      </c>
      <c r="E77">
        <v>2</v>
      </c>
      <c r="G77">
        <v>478129600</v>
      </c>
      <c r="H77">
        <v>266.38000490000002</v>
      </c>
      <c r="I77">
        <v>3.5599999430000002</v>
      </c>
      <c r="J77" s="9">
        <f t="shared" si="13"/>
        <v>309600</v>
      </c>
      <c r="K77" s="52"/>
      <c r="L77" s="9">
        <f t="shared" si="42"/>
        <v>4.4799805000000106</v>
      </c>
      <c r="M77" s="9">
        <f t="shared" si="42"/>
        <v>0</v>
      </c>
      <c r="N77" s="29">
        <f t="shared" ref="N77:N140" si="43">ABS(G77-G70)</f>
        <v>393264568</v>
      </c>
      <c r="O77" s="30">
        <f t="shared" ref="O77:O140" si="44">(N77/ABS(G70))/3</f>
        <v>1.544666704813513</v>
      </c>
      <c r="P77" s="30">
        <f t="shared" ref="P77:P140" si="45">(N77/ABS(G70))/(IF(AND(D77=1,D70=0),(2400-600)/600,IF(AND(D77=2,D70=1),(6000-2400)/2400,IF(AND(D77=0,D70=2),ABS(600-6000)/6000,"Not Valid"))))</f>
        <v>1.544666704813513</v>
      </c>
      <c r="Q77" s="29">
        <f t="shared" ref="Q77:Q140" si="46">ABS(H77-H70)</f>
        <v>202.78000643000001</v>
      </c>
      <c r="R77" s="30">
        <f t="shared" ref="R77:R140" si="47">(Q77/ABS(H70))/3</f>
        <v>1.0627883192253584</v>
      </c>
      <c r="S77" s="30">
        <f t="shared" ref="S77:S140" si="48">(Q77/ABS(H70))/(IF(AND(D77=1,D70=0),(2400-600)/600,IF(AND(D77=2,D70=1),(6000-2400)/2400,IF(AND(D77=0,D70=2),ABS(600-6000)/6000,"Not Valid"))))</f>
        <v>1.0627883192253584</v>
      </c>
      <c r="T77" s="37">
        <f t="shared" ref="T77:T140" si="49">ABS(I77-I70)</f>
        <v>0.12999987600000029</v>
      </c>
      <c r="U77" s="30">
        <f t="shared" ref="U77:U140" si="50">(T77/ABS(I70))/3</f>
        <v>1.2633612581209345E-2</v>
      </c>
      <c r="V77" s="38">
        <f t="shared" ref="V77:V140" si="51">(T77/ABS(H70))/(IF(AND(D77=1,D70=0),(2400-600)/600,IF(AND(D77=2,D70=1),(6000-2400)/2400,IF(AND(D77=0,D70=2),ABS(600-6000)/6000,"Not Valid"))))</f>
        <v>6.8134108557314397E-4</v>
      </c>
      <c r="W77" s="9">
        <f t="shared" si="40"/>
        <v>223891856</v>
      </c>
      <c r="X77" s="12">
        <f t="shared" si="40"/>
        <v>153.15000150000003</v>
      </c>
      <c r="Y77" s="11">
        <f t="shared" si="40"/>
        <v>0.60999989500000007</v>
      </c>
      <c r="Z77" s="7"/>
      <c r="AA77" s="7"/>
      <c r="AB77" s="10"/>
    </row>
    <row r="78" spans="1:28" x14ac:dyDescent="0.25">
      <c r="A78" s="2">
        <v>74</v>
      </c>
      <c r="B78">
        <v>1</v>
      </c>
      <c r="C78">
        <v>3</v>
      </c>
      <c r="D78">
        <v>1</v>
      </c>
      <c r="E78">
        <v>3</v>
      </c>
      <c r="G78">
        <v>467870848</v>
      </c>
      <c r="H78">
        <v>270.98999020000002</v>
      </c>
      <c r="I78">
        <v>3.5599999430000002</v>
      </c>
      <c r="J78" s="9">
        <f t="shared" si="13"/>
        <v>10258752</v>
      </c>
      <c r="K78" s="52"/>
      <c r="L78" s="9">
        <f t="shared" si="42"/>
        <v>4.6099853000000053</v>
      </c>
      <c r="M78" s="9">
        <f t="shared" si="42"/>
        <v>0</v>
      </c>
      <c r="N78" s="29">
        <f t="shared" si="43"/>
        <v>384186032</v>
      </c>
      <c r="O78" s="30">
        <f t="shared" si="44"/>
        <v>1.5302896844114071</v>
      </c>
      <c r="P78" s="30">
        <f t="shared" si="45"/>
        <v>1.5302896844114071</v>
      </c>
      <c r="Q78" s="29">
        <f t="shared" si="46"/>
        <v>206.28999325000001</v>
      </c>
      <c r="R78" s="30">
        <f t="shared" si="47"/>
        <v>1.0628026943567475</v>
      </c>
      <c r="S78" s="30">
        <f t="shared" si="48"/>
        <v>1.0628026943567475</v>
      </c>
      <c r="T78" s="37">
        <f t="shared" si="49"/>
        <v>0.12999987600000029</v>
      </c>
      <c r="U78" s="30">
        <f t="shared" si="50"/>
        <v>1.2633612581209345E-2</v>
      </c>
      <c r="V78" s="38">
        <f t="shared" si="51"/>
        <v>6.6975724950169566E-4</v>
      </c>
      <c r="W78" s="9">
        <f t="shared" si="40"/>
        <v>211407008</v>
      </c>
      <c r="X78" s="12">
        <f t="shared" si="40"/>
        <v>150.31999200000001</v>
      </c>
      <c r="Y78" s="11">
        <f t="shared" si="40"/>
        <v>0.60999989500000007</v>
      </c>
      <c r="Z78" s="7"/>
      <c r="AA78" s="7"/>
      <c r="AB78" s="10"/>
    </row>
    <row r="79" spans="1:28" x14ac:dyDescent="0.25">
      <c r="A79" s="2">
        <v>75</v>
      </c>
      <c r="B79">
        <v>1</v>
      </c>
      <c r="C79">
        <v>3</v>
      </c>
      <c r="D79">
        <v>1</v>
      </c>
      <c r="E79">
        <v>4</v>
      </c>
      <c r="G79">
        <v>431582720</v>
      </c>
      <c r="H79">
        <v>261.5499878</v>
      </c>
      <c r="I79">
        <v>3.5599999430000002</v>
      </c>
      <c r="J79" s="9">
        <f t="shared" si="13"/>
        <v>36288128</v>
      </c>
      <c r="K79" s="52"/>
      <c r="L79" s="9">
        <f t="shared" si="42"/>
        <v>9.4400024000000258</v>
      </c>
      <c r="M79" s="9">
        <f t="shared" si="42"/>
        <v>0</v>
      </c>
      <c r="N79" s="29">
        <f t="shared" si="43"/>
        <v>354762968</v>
      </c>
      <c r="O79" s="30">
        <f t="shared" si="44"/>
        <v>1.5393739186591837</v>
      </c>
      <c r="P79" s="30">
        <f t="shared" si="45"/>
        <v>1.5393739186591837</v>
      </c>
      <c r="Q79" s="29">
        <f t="shared" si="46"/>
        <v>199.06998826</v>
      </c>
      <c r="R79" s="30">
        <f t="shared" si="47"/>
        <v>1.0620464667393519</v>
      </c>
      <c r="S79" s="30">
        <f t="shared" si="48"/>
        <v>1.0620464667393519</v>
      </c>
      <c r="T79" s="37">
        <f t="shared" si="49"/>
        <v>0.12999987600000029</v>
      </c>
      <c r="U79" s="30">
        <f t="shared" si="50"/>
        <v>1.2633612581209345E-2</v>
      </c>
      <c r="V79" s="38">
        <f t="shared" si="51"/>
        <v>6.9355461458122953E-4</v>
      </c>
      <c r="W79" s="9">
        <f t="shared" si="40"/>
        <v>191270576</v>
      </c>
      <c r="X79" s="12">
        <f t="shared" si="40"/>
        <v>144.82998659999998</v>
      </c>
      <c r="Y79" s="11">
        <f t="shared" si="40"/>
        <v>0.60999989500000007</v>
      </c>
      <c r="Z79" s="7"/>
      <c r="AA79" s="7"/>
      <c r="AB79" s="10"/>
    </row>
    <row r="80" spans="1:28" x14ac:dyDescent="0.25">
      <c r="A80" s="2">
        <v>76</v>
      </c>
      <c r="B80">
        <v>1</v>
      </c>
      <c r="C80">
        <v>3</v>
      </c>
      <c r="D80">
        <v>1</v>
      </c>
      <c r="E80">
        <v>5</v>
      </c>
      <c r="G80">
        <v>398640896</v>
      </c>
      <c r="H80">
        <v>237.2599945</v>
      </c>
      <c r="I80">
        <v>3.5599999430000002</v>
      </c>
      <c r="J80" s="9">
        <f t="shared" si="13"/>
        <v>32941824</v>
      </c>
      <c r="K80" s="52"/>
      <c r="L80" s="9">
        <f t="shared" si="42"/>
        <v>24.289993299999992</v>
      </c>
      <c r="M80" s="9">
        <f t="shared" si="42"/>
        <v>0</v>
      </c>
      <c r="N80" s="29">
        <f t="shared" si="43"/>
        <v>329167432</v>
      </c>
      <c r="O80" s="30">
        <f t="shared" si="44"/>
        <v>1.5793436949298127</v>
      </c>
      <c r="P80" s="30">
        <f t="shared" si="45"/>
        <v>1.5793436949298127</v>
      </c>
      <c r="Q80" s="29">
        <f t="shared" si="46"/>
        <v>179.51999282</v>
      </c>
      <c r="R80" s="30">
        <f t="shared" si="47"/>
        <v>1.0363698625833961</v>
      </c>
      <c r="S80" s="30">
        <f t="shared" si="48"/>
        <v>1.0363698625833961</v>
      </c>
      <c r="T80" s="37">
        <f t="shared" si="49"/>
        <v>0.12999987600000029</v>
      </c>
      <c r="U80" s="30">
        <f t="shared" si="50"/>
        <v>1.2633612581209345E-2</v>
      </c>
      <c r="V80" s="38">
        <f t="shared" si="51"/>
        <v>7.5048996777237528E-4</v>
      </c>
      <c r="W80" s="9">
        <f t="shared" si="40"/>
        <v>176527104</v>
      </c>
      <c r="X80" s="12">
        <f t="shared" si="40"/>
        <v>124.3099976</v>
      </c>
      <c r="Y80" s="11">
        <f t="shared" si="40"/>
        <v>0.60999989500000007</v>
      </c>
      <c r="Z80" s="7"/>
      <c r="AA80" s="7"/>
      <c r="AB80" s="10"/>
    </row>
    <row r="81" spans="1:28" x14ac:dyDescent="0.25">
      <c r="A81" s="2">
        <v>77</v>
      </c>
      <c r="B81">
        <v>1</v>
      </c>
      <c r="C81">
        <v>3</v>
      </c>
      <c r="D81">
        <v>1</v>
      </c>
      <c r="E81">
        <v>6</v>
      </c>
      <c r="G81">
        <v>326270080</v>
      </c>
      <c r="H81">
        <v>205.3099976</v>
      </c>
      <c r="I81">
        <v>3.5599999430000002</v>
      </c>
      <c r="J81" s="9">
        <f t="shared" si="13"/>
        <v>72370816</v>
      </c>
      <c r="K81" s="52">
        <f t="shared" ref="K81" si="52">AVERAGE(J76:J81)</f>
        <v>25407936</v>
      </c>
      <c r="L81" s="9">
        <f t="shared" si="42"/>
        <v>31.949996900000002</v>
      </c>
      <c r="M81" s="9">
        <f t="shared" si="42"/>
        <v>0</v>
      </c>
      <c r="N81" s="29">
        <f t="shared" si="43"/>
        <v>271445268</v>
      </c>
      <c r="O81" s="30">
        <f t="shared" si="44"/>
        <v>1.6503796857525019</v>
      </c>
      <c r="P81" s="30">
        <f t="shared" si="45"/>
        <v>1.6503796857525019</v>
      </c>
      <c r="Q81" s="29">
        <f t="shared" si="46"/>
        <v>154.68999866999999</v>
      </c>
      <c r="R81" s="30">
        <f t="shared" si="47"/>
        <v>1.0186355981813529</v>
      </c>
      <c r="S81" s="30">
        <f t="shared" si="48"/>
        <v>1.0186355981813529</v>
      </c>
      <c r="T81" s="37">
        <f t="shared" si="49"/>
        <v>0.12999987600000029</v>
      </c>
      <c r="U81" s="30">
        <f t="shared" si="50"/>
        <v>1.2633612581209345E-2</v>
      </c>
      <c r="V81" s="38">
        <f t="shared" si="51"/>
        <v>8.5605082805164919E-4</v>
      </c>
      <c r="W81" s="9">
        <f t="shared" si="40"/>
        <v>141391824</v>
      </c>
      <c r="X81" s="12">
        <f t="shared" si="40"/>
        <v>104.199997</v>
      </c>
      <c r="Y81" s="11">
        <f t="shared" si="40"/>
        <v>0.60999989500000007</v>
      </c>
      <c r="Z81" s="7"/>
      <c r="AA81" s="7"/>
      <c r="AB81" s="10"/>
    </row>
    <row r="82" spans="1:28" x14ac:dyDescent="0.25">
      <c r="A82" s="2">
        <v>78</v>
      </c>
      <c r="B82">
        <v>1</v>
      </c>
      <c r="C82">
        <v>3</v>
      </c>
      <c r="D82">
        <v>2</v>
      </c>
      <c r="E82">
        <v>0</v>
      </c>
      <c r="G82">
        <v>1459862912</v>
      </c>
      <c r="H82">
        <v>-9999.9902340000008</v>
      </c>
      <c r="I82">
        <v>3.8099999430000002</v>
      </c>
      <c r="K82" s="52"/>
      <c r="N82" s="29">
        <f t="shared" si="43"/>
        <v>981145216</v>
      </c>
      <c r="O82" s="30">
        <f t="shared" si="44"/>
        <v>0.68317592615864642</v>
      </c>
      <c r="P82" s="30">
        <f t="shared" si="45"/>
        <v>1.3663518523172928</v>
      </c>
      <c r="Q82" s="29">
        <f t="shared" si="46"/>
        <v>10265.360229100001</v>
      </c>
      <c r="R82" s="30">
        <f t="shared" si="47"/>
        <v>12.894399541078085</v>
      </c>
      <c r="S82" s="30">
        <f t="shared" si="48"/>
        <v>25.788799082156171</v>
      </c>
      <c r="T82" s="37">
        <f t="shared" si="49"/>
        <v>0.25</v>
      </c>
      <c r="U82" s="30">
        <f t="shared" si="50"/>
        <v>2.3408240075169385E-2</v>
      </c>
      <c r="V82" s="38">
        <f t="shared" si="51"/>
        <v>6.2805392374469949E-4</v>
      </c>
      <c r="W82" s="9">
        <f t="shared" si="40"/>
        <v>490061760</v>
      </c>
      <c r="X82" s="12">
        <f t="shared" si="40"/>
        <v>10299.740234000001</v>
      </c>
      <c r="Y82" s="11">
        <f t="shared" si="40"/>
        <v>0.73000001900000022</v>
      </c>
      <c r="Z82" s="7"/>
      <c r="AA82" s="7"/>
      <c r="AB82" s="10"/>
    </row>
    <row r="83" spans="1:28" x14ac:dyDescent="0.25">
      <c r="A83" s="2">
        <v>79</v>
      </c>
      <c r="B83">
        <v>1</v>
      </c>
      <c r="C83">
        <v>3</v>
      </c>
      <c r="D83">
        <v>2</v>
      </c>
      <c r="E83">
        <v>1</v>
      </c>
      <c r="G83">
        <v>1453180160</v>
      </c>
      <c r="H83">
        <v>-9999.9902340000008</v>
      </c>
      <c r="I83">
        <v>3.8099999430000002</v>
      </c>
      <c r="J83" s="9">
        <f t="shared" ref="J83" si="53">ABS(G83-G82)</f>
        <v>6682752</v>
      </c>
      <c r="K83" s="52"/>
      <c r="L83" s="9">
        <f t="shared" ref="L83:M88" si="54">ABS(H83-H82)</f>
        <v>0</v>
      </c>
      <c r="M83" s="9">
        <f t="shared" si="54"/>
        <v>0</v>
      </c>
      <c r="N83" s="29">
        <f t="shared" si="43"/>
        <v>974740960</v>
      </c>
      <c r="O83" s="30">
        <f t="shared" si="44"/>
        <v>0.67911168928744414</v>
      </c>
      <c r="P83" s="30">
        <f t="shared" si="45"/>
        <v>1.3582233785748883</v>
      </c>
      <c r="Q83" s="29">
        <f t="shared" si="46"/>
        <v>10270.850219400001</v>
      </c>
      <c r="R83" s="30">
        <f t="shared" si="47"/>
        <v>12.639802570852536</v>
      </c>
      <c r="S83" s="30">
        <f t="shared" si="48"/>
        <v>25.279605141705073</v>
      </c>
      <c r="T83" s="37">
        <f t="shared" si="49"/>
        <v>0.25</v>
      </c>
      <c r="U83" s="30">
        <f t="shared" si="50"/>
        <v>2.3408240075169385E-2</v>
      </c>
      <c r="V83" s="38">
        <f t="shared" si="51"/>
        <v>6.1532406280143971E-4</v>
      </c>
      <c r="W83" s="9">
        <f t="shared" si="40"/>
        <v>478636736</v>
      </c>
      <c r="X83" s="12">
        <f t="shared" si="40"/>
        <v>10314.060241300002</v>
      </c>
      <c r="Y83" s="11">
        <f t="shared" si="40"/>
        <v>0.73000001900000022</v>
      </c>
      <c r="Z83" s="7"/>
      <c r="AA83" s="7"/>
      <c r="AB83" s="10"/>
    </row>
    <row r="84" spans="1:28" x14ac:dyDescent="0.25">
      <c r="A84" s="2">
        <v>80</v>
      </c>
      <c r="B84">
        <v>1</v>
      </c>
      <c r="C84">
        <v>3</v>
      </c>
      <c r="D84">
        <v>2</v>
      </c>
      <c r="E84">
        <v>2</v>
      </c>
      <c r="G84">
        <v>1456826496</v>
      </c>
      <c r="H84">
        <v>-9999.9902340000008</v>
      </c>
      <c r="I84">
        <v>3.8099999430000002</v>
      </c>
      <c r="J84" s="9">
        <f t="shared" si="17"/>
        <v>3646336</v>
      </c>
      <c r="K84" s="52"/>
      <c r="L84" s="9">
        <f t="shared" si="54"/>
        <v>0</v>
      </c>
      <c r="M84" s="9">
        <f t="shared" si="54"/>
        <v>0</v>
      </c>
      <c r="N84" s="29">
        <f t="shared" si="43"/>
        <v>978696896</v>
      </c>
      <c r="O84" s="30">
        <f t="shared" si="44"/>
        <v>0.68230935433963236</v>
      </c>
      <c r="P84" s="30">
        <f t="shared" si="45"/>
        <v>1.3646187086792647</v>
      </c>
      <c r="Q84" s="29">
        <f t="shared" si="46"/>
        <v>10266.370238900001</v>
      </c>
      <c r="R84" s="30">
        <f t="shared" si="47"/>
        <v>12.846772843372174</v>
      </c>
      <c r="S84" s="30">
        <f t="shared" si="48"/>
        <v>25.693545686744347</v>
      </c>
      <c r="T84" s="37">
        <f t="shared" si="49"/>
        <v>0.25</v>
      </c>
      <c r="U84" s="30">
        <f t="shared" si="50"/>
        <v>2.3408240075169385E-2</v>
      </c>
      <c r="V84" s="38">
        <f t="shared" si="51"/>
        <v>6.2567258653379004E-4</v>
      </c>
      <c r="W84" s="9">
        <f t="shared" si="40"/>
        <v>485573632</v>
      </c>
      <c r="X84" s="12">
        <f t="shared" si="40"/>
        <v>10307.160247400001</v>
      </c>
      <c r="Y84" s="11">
        <f t="shared" si="40"/>
        <v>0.73000001900000022</v>
      </c>
      <c r="Z84" s="7"/>
      <c r="AA84" s="7"/>
      <c r="AB84" s="10"/>
    </row>
    <row r="85" spans="1:28" x14ac:dyDescent="0.25">
      <c r="A85" s="2">
        <v>81</v>
      </c>
      <c r="B85">
        <v>1</v>
      </c>
      <c r="C85">
        <v>3</v>
      </c>
      <c r="D85">
        <v>2</v>
      </c>
      <c r="E85">
        <v>3</v>
      </c>
      <c r="G85">
        <v>1415423872</v>
      </c>
      <c r="H85">
        <v>-9999.9902340000008</v>
      </c>
      <c r="I85">
        <v>3.8099999430000002</v>
      </c>
      <c r="J85" s="9">
        <f t="shared" si="17"/>
        <v>41402624</v>
      </c>
      <c r="K85" s="52"/>
      <c r="L85" s="9">
        <f t="shared" si="54"/>
        <v>0</v>
      </c>
      <c r="M85" s="9">
        <f t="shared" si="54"/>
        <v>0</v>
      </c>
      <c r="N85" s="29">
        <f t="shared" si="43"/>
        <v>947553024</v>
      </c>
      <c r="O85" s="30">
        <f t="shared" si="44"/>
        <v>0.67508161568553204</v>
      </c>
      <c r="P85" s="30">
        <f t="shared" si="45"/>
        <v>1.3501632313710641</v>
      </c>
      <c r="Q85" s="29">
        <f t="shared" si="46"/>
        <v>10270.980224200001</v>
      </c>
      <c r="R85" s="30">
        <f t="shared" si="47"/>
        <v>12.633898662480313</v>
      </c>
      <c r="S85" s="30">
        <f t="shared" si="48"/>
        <v>25.267797324960625</v>
      </c>
      <c r="T85" s="37">
        <f t="shared" si="49"/>
        <v>0.25</v>
      </c>
      <c r="U85" s="30">
        <f t="shared" si="50"/>
        <v>2.3408240075169385E-2</v>
      </c>
      <c r="V85" s="38">
        <f t="shared" si="51"/>
        <v>6.1502886709454059E-4</v>
      </c>
      <c r="W85" s="9">
        <f t="shared" si="40"/>
        <v>455243776</v>
      </c>
      <c r="X85" s="12">
        <f t="shared" si="40"/>
        <v>10328.900237700002</v>
      </c>
      <c r="Y85" s="11">
        <f t="shared" si="40"/>
        <v>0.73000001900000022</v>
      </c>
      <c r="Z85" s="7"/>
      <c r="AA85" s="7"/>
      <c r="AB85" s="10"/>
    </row>
    <row r="86" spans="1:28" x14ac:dyDescent="0.25">
      <c r="A86" s="2">
        <v>82</v>
      </c>
      <c r="B86">
        <v>1</v>
      </c>
      <c r="C86">
        <v>3</v>
      </c>
      <c r="D86">
        <v>2</v>
      </c>
      <c r="E86">
        <v>4</v>
      </c>
      <c r="G86">
        <v>1297793408</v>
      </c>
      <c r="H86">
        <v>866.73999019999997</v>
      </c>
      <c r="I86">
        <v>3.8099999430000002</v>
      </c>
      <c r="J86" s="9">
        <f t="shared" si="17"/>
        <v>117630464</v>
      </c>
      <c r="K86" s="52"/>
      <c r="L86" s="9">
        <f t="shared" si="54"/>
        <v>10866.730224200001</v>
      </c>
      <c r="M86" s="9">
        <f t="shared" si="54"/>
        <v>0</v>
      </c>
      <c r="N86" s="29">
        <f t="shared" si="43"/>
        <v>866210688</v>
      </c>
      <c r="O86" s="30">
        <f t="shared" si="44"/>
        <v>0.66901866691975054</v>
      </c>
      <c r="P86" s="30">
        <f t="shared" si="45"/>
        <v>1.3380373338395011</v>
      </c>
      <c r="Q86" s="29">
        <f t="shared" si="46"/>
        <v>605.19000239999991</v>
      </c>
      <c r="R86" s="30">
        <f t="shared" si="47"/>
        <v>0.77128659992237247</v>
      </c>
      <c r="S86" s="30">
        <f t="shared" si="48"/>
        <v>1.5425731998447449</v>
      </c>
      <c r="T86" s="37">
        <f t="shared" si="49"/>
        <v>0.25</v>
      </c>
      <c r="U86" s="30">
        <f t="shared" si="50"/>
        <v>2.3408240075169385E-2</v>
      </c>
      <c r="V86" s="38">
        <f t="shared" si="51"/>
        <v>6.3722681873765576E-4</v>
      </c>
      <c r="W86" s="9">
        <f t="shared" si="40"/>
        <v>406433280</v>
      </c>
      <c r="X86" s="12">
        <f t="shared" si="40"/>
        <v>548.06997679999995</v>
      </c>
      <c r="Y86" s="11">
        <f t="shared" si="40"/>
        <v>0.73000001900000022</v>
      </c>
      <c r="Z86" s="7"/>
      <c r="AA86" s="7"/>
      <c r="AB86" s="10"/>
    </row>
    <row r="87" spans="1:28" x14ac:dyDescent="0.25">
      <c r="A87" s="2">
        <v>83</v>
      </c>
      <c r="B87">
        <v>1</v>
      </c>
      <c r="C87">
        <v>3</v>
      </c>
      <c r="D87">
        <v>2</v>
      </c>
      <c r="E87">
        <v>5</v>
      </c>
      <c r="G87">
        <v>1208952960</v>
      </c>
      <c r="H87">
        <v>785.13000490000002</v>
      </c>
      <c r="I87">
        <v>3.8099999430000002</v>
      </c>
      <c r="J87" s="9">
        <f t="shared" si="17"/>
        <v>88840448</v>
      </c>
      <c r="K87" s="52"/>
      <c r="L87" s="9">
        <f t="shared" si="54"/>
        <v>81.609985299999948</v>
      </c>
      <c r="M87" s="9">
        <f t="shared" si="54"/>
        <v>0</v>
      </c>
      <c r="N87" s="29">
        <f t="shared" si="43"/>
        <v>810312064</v>
      </c>
      <c r="O87" s="30">
        <f t="shared" si="44"/>
        <v>0.67756224723449687</v>
      </c>
      <c r="P87" s="30">
        <f t="shared" si="45"/>
        <v>1.3551244944689937</v>
      </c>
      <c r="Q87" s="29">
        <f t="shared" si="46"/>
        <v>547.87001039999996</v>
      </c>
      <c r="R87" s="30">
        <f t="shared" si="47"/>
        <v>0.7697182037994188</v>
      </c>
      <c r="S87" s="30">
        <f t="shared" si="48"/>
        <v>1.5394364075988376</v>
      </c>
      <c r="T87" s="37">
        <f t="shared" si="49"/>
        <v>0.25</v>
      </c>
      <c r="U87" s="30">
        <f t="shared" si="50"/>
        <v>2.3408240075169385E-2</v>
      </c>
      <c r="V87" s="38">
        <f t="shared" si="51"/>
        <v>7.0246426085400027E-4</v>
      </c>
      <c r="W87" s="9">
        <f t="shared" si="40"/>
        <v>380860928</v>
      </c>
      <c r="X87" s="12">
        <f t="shared" si="40"/>
        <v>478.82000730000004</v>
      </c>
      <c r="Y87" s="11">
        <f t="shared" si="40"/>
        <v>0.73000001900000022</v>
      </c>
      <c r="Z87" s="7"/>
      <c r="AA87" s="7"/>
      <c r="AB87" s="10"/>
    </row>
    <row r="88" spans="1:28" x14ac:dyDescent="0.25">
      <c r="A88" s="2">
        <v>84</v>
      </c>
      <c r="B88">
        <v>1</v>
      </c>
      <c r="C88">
        <v>3</v>
      </c>
      <c r="D88">
        <v>2</v>
      </c>
      <c r="E88">
        <v>6</v>
      </c>
      <c r="G88">
        <v>989670016</v>
      </c>
      <c r="H88">
        <v>658.92999269999996</v>
      </c>
      <c r="I88">
        <v>3.8099999430000002</v>
      </c>
      <c r="J88" s="9">
        <f t="shared" si="17"/>
        <v>219282944</v>
      </c>
      <c r="K88" s="52">
        <f t="shared" ref="K88" si="55">AVERAGE(J83:J88)</f>
        <v>79580928</v>
      </c>
      <c r="L88" s="9">
        <f t="shared" si="54"/>
        <v>126.20001220000006</v>
      </c>
      <c r="M88" s="9">
        <f t="shared" si="54"/>
        <v>0</v>
      </c>
      <c r="N88" s="29">
        <f t="shared" si="43"/>
        <v>663399936</v>
      </c>
      <c r="O88" s="30">
        <f t="shared" si="44"/>
        <v>0.67776154037783665</v>
      </c>
      <c r="P88" s="30">
        <f t="shared" si="45"/>
        <v>1.3555230807556733</v>
      </c>
      <c r="Q88" s="29">
        <f t="shared" si="46"/>
        <v>453.61999509999998</v>
      </c>
      <c r="R88" s="30">
        <f t="shared" si="47"/>
        <v>0.73647979543560871</v>
      </c>
      <c r="S88" s="30">
        <f t="shared" si="48"/>
        <v>1.4729595908712174</v>
      </c>
      <c r="T88" s="37">
        <f t="shared" si="49"/>
        <v>0.25</v>
      </c>
      <c r="U88" s="30">
        <f t="shared" si="50"/>
        <v>2.3408240075169385E-2</v>
      </c>
      <c r="V88" s="38">
        <f t="shared" si="51"/>
        <v>8.1178056896858428E-4</v>
      </c>
      <c r="W88" s="9">
        <f t="shared" si="40"/>
        <v>301423680</v>
      </c>
      <c r="X88" s="12">
        <f t="shared" si="40"/>
        <v>385.66998289999998</v>
      </c>
      <c r="Y88" s="11">
        <f t="shared" si="40"/>
        <v>0.73000001900000022</v>
      </c>
      <c r="Z88" s="7"/>
      <c r="AA88" s="7"/>
      <c r="AB88" s="10"/>
    </row>
    <row r="89" spans="1:28" x14ac:dyDescent="0.25">
      <c r="A89" s="2">
        <v>85</v>
      </c>
      <c r="B89">
        <v>1</v>
      </c>
      <c r="C89">
        <v>4</v>
      </c>
      <c r="D89">
        <v>0</v>
      </c>
      <c r="E89">
        <v>0</v>
      </c>
      <c r="G89">
        <v>121515576</v>
      </c>
      <c r="H89">
        <v>102.1299973</v>
      </c>
      <c r="I89">
        <v>3.960000038</v>
      </c>
      <c r="K89" s="52"/>
      <c r="N89" s="29">
        <f t="shared" si="43"/>
        <v>1338347336</v>
      </c>
      <c r="O89" s="30">
        <f t="shared" si="44"/>
        <v>0.3055874459167483</v>
      </c>
      <c r="P89" s="30">
        <f t="shared" si="45"/>
        <v>1.0186248197224943</v>
      </c>
      <c r="Q89" s="29">
        <f t="shared" si="46"/>
        <v>10102.120231300001</v>
      </c>
      <c r="R89" s="30">
        <f t="shared" si="47"/>
        <v>0.3367376699013418</v>
      </c>
      <c r="S89" s="30">
        <f t="shared" si="48"/>
        <v>1.1224588996711393</v>
      </c>
      <c r="T89" s="37">
        <f t="shared" si="49"/>
        <v>0.15000009499999978</v>
      </c>
      <c r="U89" s="30">
        <f t="shared" si="50"/>
        <v>1.3123368087847394E-2</v>
      </c>
      <c r="V89" s="38">
        <f t="shared" si="51"/>
        <v>1.6666693498915066E-5</v>
      </c>
      <c r="W89" s="9">
        <f t="shared" si="40"/>
        <v>36662440</v>
      </c>
      <c r="X89" s="12">
        <f t="shared" si="40"/>
        <v>38.809997609999996</v>
      </c>
      <c r="Y89" s="11">
        <f t="shared" si="40"/>
        <v>0.52999997100000007</v>
      </c>
      <c r="Z89" s="7"/>
      <c r="AA89" s="7"/>
      <c r="AB89" s="10"/>
    </row>
    <row r="90" spans="1:28" x14ac:dyDescent="0.25">
      <c r="A90" s="2">
        <v>86</v>
      </c>
      <c r="B90">
        <v>1</v>
      </c>
      <c r="C90">
        <v>4</v>
      </c>
      <c r="D90">
        <v>0</v>
      </c>
      <c r="E90">
        <v>1</v>
      </c>
      <c r="G90">
        <v>121055160</v>
      </c>
      <c r="H90">
        <v>102.63999939999999</v>
      </c>
      <c r="I90">
        <v>3.960000038</v>
      </c>
      <c r="J90" s="9">
        <f t="shared" ref="J90:J151" si="56">ABS(G90-G89)</f>
        <v>460416</v>
      </c>
      <c r="K90" s="52"/>
      <c r="L90" s="9">
        <f t="shared" ref="L90:M95" si="57">ABS(H90-H89)</f>
        <v>0.51000209999999413</v>
      </c>
      <c r="M90" s="9">
        <f t="shared" si="57"/>
        <v>0</v>
      </c>
      <c r="N90" s="29">
        <f t="shared" si="43"/>
        <v>1332125000</v>
      </c>
      <c r="O90" s="30">
        <f t="shared" si="44"/>
        <v>0.30556546179839578</v>
      </c>
      <c r="P90" s="30">
        <f t="shared" si="45"/>
        <v>1.018551539327986</v>
      </c>
      <c r="Q90" s="29">
        <f t="shared" si="46"/>
        <v>10102.630233400001</v>
      </c>
      <c r="R90" s="30">
        <f t="shared" si="47"/>
        <v>0.33675466998794407</v>
      </c>
      <c r="S90" s="30">
        <f t="shared" si="48"/>
        <v>1.1225155666264803</v>
      </c>
      <c r="T90" s="37">
        <f t="shared" si="49"/>
        <v>0.15000009499999978</v>
      </c>
      <c r="U90" s="30">
        <f t="shared" si="50"/>
        <v>1.3123368087847394E-2</v>
      </c>
      <c r="V90" s="38">
        <f t="shared" si="51"/>
        <v>1.6666693498915066E-5</v>
      </c>
      <c r="W90" s="9">
        <f t="shared" ref="W90:Y105" si="58">ABS(G90-G69)</f>
        <v>35739808</v>
      </c>
      <c r="X90" s="12">
        <f t="shared" si="58"/>
        <v>38.120002759999991</v>
      </c>
      <c r="Y90" s="11">
        <f t="shared" si="58"/>
        <v>0.52999997100000007</v>
      </c>
      <c r="Z90" s="7"/>
      <c r="AA90" s="7"/>
      <c r="AB90" s="10"/>
    </row>
    <row r="91" spans="1:28" x14ac:dyDescent="0.25">
      <c r="A91" s="2">
        <v>87</v>
      </c>
      <c r="B91">
        <v>1</v>
      </c>
      <c r="C91">
        <v>4</v>
      </c>
      <c r="D91">
        <v>0</v>
      </c>
      <c r="E91">
        <v>2</v>
      </c>
      <c r="G91">
        <v>121257616</v>
      </c>
      <c r="H91">
        <v>102.0899963</v>
      </c>
      <c r="I91">
        <v>3.960000038</v>
      </c>
      <c r="J91" s="9">
        <f t="shared" si="56"/>
        <v>202456</v>
      </c>
      <c r="K91" s="52"/>
      <c r="L91" s="9">
        <f t="shared" si="57"/>
        <v>0.55000309999999786</v>
      </c>
      <c r="M91" s="9">
        <f t="shared" si="57"/>
        <v>0</v>
      </c>
      <c r="N91" s="29">
        <f t="shared" si="43"/>
        <v>1335568880</v>
      </c>
      <c r="O91" s="30">
        <f t="shared" si="44"/>
        <v>0.30558863933970259</v>
      </c>
      <c r="P91" s="30">
        <f t="shared" si="45"/>
        <v>1.0186287977990087</v>
      </c>
      <c r="Q91" s="29">
        <f t="shared" si="46"/>
        <v>10102.0802303</v>
      </c>
      <c r="R91" s="30">
        <f t="shared" si="47"/>
        <v>0.33673633653337287</v>
      </c>
      <c r="S91" s="30">
        <f t="shared" si="48"/>
        <v>1.122454455111243</v>
      </c>
      <c r="T91" s="37">
        <f t="shared" si="49"/>
        <v>0.15000009499999978</v>
      </c>
      <c r="U91" s="30">
        <f t="shared" si="50"/>
        <v>1.3123368087847394E-2</v>
      </c>
      <c r="V91" s="38">
        <f t="shared" si="51"/>
        <v>1.6666693498915066E-5</v>
      </c>
      <c r="W91" s="9">
        <f t="shared" si="58"/>
        <v>36392584</v>
      </c>
      <c r="X91" s="12">
        <f t="shared" si="58"/>
        <v>38.489997829999993</v>
      </c>
      <c r="Y91" s="11">
        <f t="shared" si="58"/>
        <v>0.52999997100000007</v>
      </c>
      <c r="Z91" s="7"/>
      <c r="AA91" s="7"/>
      <c r="AB91" s="10"/>
    </row>
    <row r="92" spans="1:28" x14ac:dyDescent="0.25">
      <c r="A92" s="2">
        <v>88</v>
      </c>
      <c r="B92">
        <v>1</v>
      </c>
      <c r="C92">
        <v>4</v>
      </c>
      <c r="D92">
        <v>0</v>
      </c>
      <c r="E92">
        <v>3</v>
      </c>
      <c r="G92">
        <v>117745488</v>
      </c>
      <c r="H92">
        <v>101.26000209999999</v>
      </c>
      <c r="I92">
        <v>3.960000038</v>
      </c>
      <c r="J92" s="9">
        <f t="shared" si="56"/>
        <v>3512128</v>
      </c>
      <c r="K92" s="52"/>
      <c r="L92" s="9">
        <f t="shared" si="57"/>
        <v>0.82999420000000157</v>
      </c>
      <c r="M92" s="9">
        <f t="shared" si="57"/>
        <v>0</v>
      </c>
      <c r="N92" s="29">
        <f t="shared" si="43"/>
        <v>1297678384</v>
      </c>
      <c r="O92" s="30">
        <f t="shared" si="44"/>
        <v>0.30560418676712364</v>
      </c>
      <c r="P92" s="30">
        <f t="shared" si="45"/>
        <v>1.0186806225570788</v>
      </c>
      <c r="Q92" s="29">
        <f t="shared" si="46"/>
        <v>10101.250236100001</v>
      </c>
      <c r="R92" s="30">
        <f t="shared" si="47"/>
        <v>0.33670867003302046</v>
      </c>
      <c r="S92" s="30">
        <f t="shared" si="48"/>
        <v>1.1223622334434016</v>
      </c>
      <c r="T92" s="37">
        <f t="shared" si="49"/>
        <v>0.15000009499999978</v>
      </c>
      <c r="U92" s="30">
        <f t="shared" si="50"/>
        <v>1.3123368087847394E-2</v>
      </c>
      <c r="V92" s="38">
        <f t="shared" si="51"/>
        <v>1.6666693498915066E-5</v>
      </c>
      <c r="W92" s="9">
        <f t="shared" si="58"/>
        <v>34060672</v>
      </c>
      <c r="X92" s="12">
        <f t="shared" si="58"/>
        <v>36.560005149999995</v>
      </c>
      <c r="Y92" s="11">
        <f t="shared" si="58"/>
        <v>0.52999997100000007</v>
      </c>
      <c r="Z92" s="7"/>
      <c r="AA92" s="7"/>
      <c r="AB92" s="10"/>
    </row>
    <row r="93" spans="1:28" x14ac:dyDescent="0.25">
      <c r="A93" s="2">
        <v>89</v>
      </c>
      <c r="B93">
        <v>1</v>
      </c>
      <c r="C93">
        <v>4</v>
      </c>
      <c r="D93">
        <v>0</v>
      </c>
      <c r="E93">
        <v>4</v>
      </c>
      <c r="G93">
        <v>106896328</v>
      </c>
      <c r="H93">
        <v>95.800003050000001</v>
      </c>
      <c r="I93">
        <v>3.960000038</v>
      </c>
      <c r="J93" s="9">
        <f t="shared" si="56"/>
        <v>10849160</v>
      </c>
      <c r="K93" s="52"/>
      <c r="L93" s="9">
        <f t="shared" si="57"/>
        <v>5.4599990499999933</v>
      </c>
      <c r="M93" s="9">
        <f t="shared" si="57"/>
        <v>0</v>
      </c>
      <c r="N93" s="29">
        <f t="shared" si="43"/>
        <v>1190897080</v>
      </c>
      <c r="O93" s="30">
        <f t="shared" si="44"/>
        <v>0.30587741537775887</v>
      </c>
      <c r="P93" s="30">
        <f t="shared" si="45"/>
        <v>1.0195913845925295</v>
      </c>
      <c r="Q93" s="29">
        <f t="shared" si="46"/>
        <v>770.93998714999998</v>
      </c>
      <c r="R93" s="30">
        <f t="shared" si="47"/>
        <v>0.29649029538531918</v>
      </c>
      <c r="S93" s="30">
        <f t="shared" si="48"/>
        <v>0.98830098461773064</v>
      </c>
      <c r="T93" s="37">
        <f t="shared" si="49"/>
        <v>0.15000009499999978</v>
      </c>
      <c r="U93" s="30">
        <f t="shared" si="50"/>
        <v>1.3123368087847394E-2</v>
      </c>
      <c r="V93" s="38">
        <f t="shared" si="51"/>
        <v>1.9229154545386061E-4</v>
      </c>
      <c r="W93" s="9">
        <f t="shared" si="58"/>
        <v>30076576</v>
      </c>
      <c r="X93" s="12">
        <f t="shared" si="58"/>
        <v>33.320003509999999</v>
      </c>
      <c r="Y93" s="11">
        <f t="shared" si="58"/>
        <v>0.52999997100000007</v>
      </c>
      <c r="Z93" s="7"/>
      <c r="AA93" s="7"/>
      <c r="AB93" s="10"/>
    </row>
    <row r="94" spans="1:28" x14ac:dyDescent="0.25">
      <c r="A94" s="2">
        <v>90</v>
      </c>
      <c r="B94">
        <v>1</v>
      </c>
      <c r="C94">
        <v>4</v>
      </c>
      <c r="D94">
        <v>0</v>
      </c>
      <c r="E94">
        <v>5</v>
      </c>
      <c r="G94">
        <v>98191088</v>
      </c>
      <c r="H94">
        <v>88.33000183</v>
      </c>
      <c r="I94">
        <v>3.960000038</v>
      </c>
      <c r="J94" s="9">
        <f t="shared" si="56"/>
        <v>8705240</v>
      </c>
      <c r="K94" s="52"/>
      <c r="L94" s="9">
        <f t="shared" si="57"/>
        <v>7.4700012200000003</v>
      </c>
      <c r="M94" s="9">
        <f t="shared" si="57"/>
        <v>0</v>
      </c>
      <c r="N94" s="29">
        <f t="shared" si="43"/>
        <v>1110761872</v>
      </c>
      <c r="O94" s="30">
        <f t="shared" si="44"/>
        <v>0.30626001968954469</v>
      </c>
      <c r="P94" s="30">
        <f t="shared" si="45"/>
        <v>1.0208667322984821</v>
      </c>
      <c r="Q94" s="29">
        <f t="shared" si="46"/>
        <v>696.80000307</v>
      </c>
      <c r="R94" s="30">
        <f t="shared" si="47"/>
        <v>0.29583211218578154</v>
      </c>
      <c r="S94" s="30">
        <f t="shared" si="48"/>
        <v>0.98610704061927179</v>
      </c>
      <c r="T94" s="37">
        <f t="shared" si="49"/>
        <v>0.15000009499999978</v>
      </c>
      <c r="U94" s="30">
        <f t="shared" si="50"/>
        <v>1.3123368087847394E-2</v>
      </c>
      <c r="V94" s="38">
        <f t="shared" si="51"/>
        <v>2.12279203675893E-4</v>
      </c>
      <c r="W94" s="9">
        <f t="shared" si="58"/>
        <v>28717624</v>
      </c>
      <c r="X94" s="12">
        <f t="shared" si="58"/>
        <v>30.590000150000002</v>
      </c>
      <c r="Y94" s="11">
        <f t="shared" si="58"/>
        <v>0.52999997100000007</v>
      </c>
      <c r="Z94" s="7"/>
      <c r="AA94" s="7"/>
      <c r="AB94" s="10"/>
    </row>
    <row r="95" spans="1:28" x14ac:dyDescent="0.25">
      <c r="A95" s="2">
        <v>91</v>
      </c>
      <c r="B95">
        <v>1</v>
      </c>
      <c r="C95">
        <v>4</v>
      </c>
      <c r="D95">
        <v>0</v>
      </c>
      <c r="E95">
        <v>6</v>
      </c>
      <c r="G95">
        <v>77457040</v>
      </c>
      <c r="H95">
        <v>74.650001529999997</v>
      </c>
      <c r="I95">
        <v>3.960000038</v>
      </c>
      <c r="J95" s="9">
        <f t="shared" si="56"/>
        <v>20734048</v>
      </c>
      <c r="K95" s="52">
        <f t="shared" ref="K95" si="59">AVERAGE(J90:J95)</f>
        <v>7410574.666666667</v>
      </c>
      <c r="L95" s="9">
        <f t="shared" si="57"/>
        <v>13.680000300000003</v>
      </c>
      <c r="M95" s="9">
        <f t="shared" si="57"/>
        <v>0</v>
      </c>
      <c r="N95" s="29">
        <f t="shared" si="43"/>
        <v>912212976</v>
      </c>
      <c r="O95" s="30">
        <f t="shared" si="44"/>
        <v>0.30724482613808923</v>
      </c>
      <c r="P95" s="30">
        <f t="shared" si="45"/>
        <v>1.0241494204602974</v>
      </c>
      <c r="Q95" s="29">
        <f t="shared" si="46"/>
        <v>584.2799911699999</v>
      </c>
      <c r="R95" s="30">
        <f t="shared" si="47"/>
        <v>0.29557008971260729</v>
      </c>
      <c r="S95" s="30">
        <f t="shared" si="48"/>
        <v>0.98523363237535755</v>
      </c>
      <c r="T95" s="37">
        <f t="shared" si="49"/>
        <v>0.15000009499999978</v>
      </c>
      <c r="U95" s="30">
        <f t="shared" si="50"/>
        <v>1.3123368087847394E-2</v>
      </c>
      <c r="V95" s="38">
        <f t="shared" si="51"/>
        <v>2.5293547731724305E-4</v>
      </c>
      <c r="W95" s="9">
        <f t="shared" si="58"/>
        <v>22632228</v>
      </c>
      <c r="X95" s="12">
        <f t="shared" si="58"/>
        <v>24.030002599999996</v>
      </c>
      <c r="Y95" s="11">
        <f t="shared" si="58"/>
        <v>0.52999997100000007</v>
      </c>
      <c r="Z95" s="7"/>
      <c r="AA95" s="7"/>
      <c r="AB95" s="10"/>
    </row>
    <row r="96" spans="1:28" x14ac:dyDescent="0.25">
      <c r="A96" s="2">
        <v>92</v>
      </c>
      <c r="B96">
        <v>1</v>
      </c>
      <c r="C96">
        <v>4</v>
      </c>
      <c r="D96">
        <v>1</v>
      </c>
      <c r="E96">
        <v>0</v>
      </c>
      <c r="G96">
        <v>586528192</v>
      </c>
      <c r="H96">
        <v>430.92999270000001</v>
      </c>
      <c r="I96">
        <v>4.079999924</v>
      </c>
      <c r="K96" s="52"/>
      <c r="N96" s="29">
        <f t="shared" si="43"/>
        <v>465012616</v>
      </c>
      <c r="O96" s="30">
        <f t="shared" si="44"/>
        <v>1.2755912487575529</v>
      </c>
      <c r="P96" s="30">
        <f t="shared" si="45"/>
        <v>1.2755912487575529</v>
      </c>
      <c r="Q96" s="29">
        <f t="shared" si="46"/>
        <v>328.7999954</v>
      </c>
      <c r="R96" s="30">
        <f t="shared" si="47"/>
        <v>1.0731420871844737</v>
      </c>
      <c r="S96" s="30">
        <f t="shared" si="48"/>
        <v>1.0731420871844737</v>
      </c>
      <c r="T96" s="37">
        <f t="shared" si="49"/>
        <v>0.119999886</v>
      </c>
      <c r="U96" s="30">
        <f t="shared" si="50"/>
        <v>1.0101000408121714E-2</v>
      </c>
      <c r="V96" s="38">
        <f t="shared" si="51"/>
        <v>3.9165732945730725E-4</v>
      </c>
      <c r="W96" s="9">
        <f t="shared" si="58"/>
        <v>107810496</v>
      </c>
      <c r="X96" s="12">
        <f t="shared" si="58"/>
        <v>165.55999760000003</v>
      </c>
      <c r="Y96" s="11">
        <f t="shared" si="58"/>
        <v>0.51999998099999978</v>
      </c>
      <c r="Z96" s="7"/>
      <c r="AA96" s="7"/>
      <c r="AB96" s="10"/>
    </row>
    <row r="97" spans="1:28" x14ac:dyDescent="0.25">
      <c r="A97" s="2">
        <v>93</v>
      </c>
      <c r="B97">
        <v>1</v>
      </c>
      <c r="C97">
        <v>4</v>
      </c>
      <c r="D97">
        <v>1</v>
      </c>
      <c r="E97">
        <v>1</v>
      </c>
      <c r="G97">
        <v>583666624</v>
      </c>
      <c r="H97">
        <v>432.72000120000001</v>
      </c>
      <c r="I97">
        <v>4.079999924</v>
      </c>
      <c r="J97" s="9">
        <f t="shared" ref="J97:J158" si="60">ABS(G97-G96)</f>
        <v>2861568</v>
      </c>
      <c r="K97" s="52"/>
      <c r="L97" s="9">
        <f t="shared" ref="L97:M102" si="61">ABS(H97-H96)</f>
        <v>1.790008499999999</v>
      </c>
      <c r="M97" s="9">
        <f t="shared" si="61"/>
        <v>0</v>
      </c>
      <c r="N97" s="29">
        <f t="shared" si="43"/>
        <v>462611464</v>
      </c>
      <c r="O97" s="30">
        <f t="shared" si="44"/>
        <v>1.2738310480390371</v>
      </c>
      <c r="P97" s="30">
        <f t="shared" si="45"/>
        <v>1.2738310480390371</v>
      </c>
      <c r="Q97" s="29">
        <f t="shared" si="46"/>
        <v>330.08000179999999</v>
      </c>
      <c r="R97" s="30">
        <f t="shared" si="47"/>
        <v>1.071966756721032</v>
      </c>
      <c r="S97" s="30">
        <f t="shared" si="48"/>
        <v>1.071966756721032</v>
      </c>
      <c r="T97" s="37">
        <f t="shared" si="49"/>
        <v>0.119999886</v>
      </c>
      <c r="U97" s="30">
        <f t="shared" si="50"/>
        <v>1.0101000408121714E-2</v>
      </c>
      <c r="V97" s="38">
        <f t="shared" si="51"/>
        <v>3.897112454581718E-4</v>
      </c>
      <c r="W97" s="9">
        <f t="shared" si="58"/>
        <v>105227424</v>
      </c>
      <c r="X97" s="12">
        <f t="shared" si="58"/>
        <v>161.86001579999999</v>
      </c>
      <c r="Y97" s="11">
        <f t="shared" si="58"/>
        <v>0.51999998099999978</v>
      </c>
      <c r="Z97" s="7"/>
      <c r="AA97" s="7"/>
      <c r="AB97" s="10"/>
    </row>
    <row r="98" spans="1:28" x14ac:dyDescent="0.25">
      <c r="A98" s="2">
        <v>94</v>
      </c>
      <c r="B98">
        <v>1</v>
      </c>
      <c r="C98">
        <v>4</v>
      </c>
      <c r="D98">
        <v>1</v>
      </c>
      <c r="E98">
        <v>2</v>
      </c>
      <c r="G98">
        <v>585243520</v>
      </c>
      <c r="H98">
        <v>430.60000609999997</v>
      </c>
      <c r="I98">
        <v>4.079999924</v>
      </c>
      <c r="J98" s="9">
        <f t="shared" si="60"/>
        <v>1576896</v>
      </c>
      <c r="K98" s="52"/>
      <c r="L98" s="9">
        <f t="shared" si="61"/>
        <v>2.1199951000000397</v>
      </c>
      <c r="M98" s="9">
        <f t="shared" si="61"/>
        <v>0</v>
      </c>
      <c r="N98" s="29">
        <f t="shared" si="43"/>
        <v>463985904</v>
      </c>
      <c r="O98" s="30">
        <f t="shared" si="44"/>
        <v>1.2754825065998328</v>
      </c>
      <c r="P98" s="30">
        <f t="shared" si="45"/>
        <v>1.2754825065998328</v>
      </c>
      <c r="Q98" s="29">
        <f t="shared" si="46"/>
        <v>328.51000979999998</v>
      </c>
      <c r="R98" s="30">
        <f t="shared" si="47"/>
        <v>1.0726157367879148</v>
      </c>
      <c r="S98" s="30">
        <f t="shared" si="48"/>
        <v>1.0726157367879148</v>
      </c>
      <c r="T98" s="37">
        <f t="shared" si="49"/>
        <v>0.119999886</v>
      </c>
      <c r="U98" s="30">
        <f t="shared" si="50"/>
        <v>1.0101000408121714E-2</v>
      </c>
      <c r="V98" s="38">
        <f t="shared" si="51"/>
        <v>3.9181078900675796E-4</v>
      </c>
      <c r="W98" s="9">
        <f t="shared" si="58"/>
        <v>107113920</v>
      </c>
      <c r="X98" s="12">
        <f t="shared" si="58"/>
        <v>164.22000119999996</v>
      </c>
      <c r="Y98" s="11">
        <f t="shared" si="58"/>
        <v>0.51999998099999978</v>
      </c>
      <c r="Z98" s="7"/>
      <c r="AA98" s="7"/>
      <c r="AB98" s="10"/>
    </row>
    <row r="99" spans="1:28" x14ac:dyDescent="0.25">
      <c r="A99" s="2">
        <v>95</v>
      </c>
      <c r="B99">
        <v>1</v>
      </c>
      <c r="C99">
        <v>4</v>
      </c>
      <c r="D99">
        <v>1</v>
      </c>
      <c r="E99">
        <v>3</v>
      </c>
      <c r="G99">
        <v>568097472</v>
      </c>
      <c r="H99">
        <v>426.10000609999997</v>
      </c>
      <c r="I99">
        <v>4.079999924</v>
      </c>
      <c r="J99" s="9">
        <f t="shared" si="60"/>
        <v>17146048</v>
      </c>
      <c r="K99" s="52"/>
      <c r="L99" s="9">
        <f t="shared" si="61"/>
        <v>4.5</v>
      </c>
      <c r="M99" s="9">
        <f t="shared" si="61"/>
        <v>0</v>
      </c>
      <c r="N99" s="29">
        <f t="shared" si="43"/>
        <v>450351984</v>
      </c>
      <c r="O99" s="30">
        <f t="shared" si="44"/>
        <v>1.2749306198467665</v>
      </c>
      <c r="P99" s="30">
        <f t="shared" si="45"/>
        <v>1.2749306198467665</v>
      </c>
      <c r="Q99" s="29">
        <f t="shared" si="46"/>
        <v>324.84000399999996</v>
      </c>
      <c r="R99" s="30">
        <f t="shared" si="47"/>
        <v>1.0693264772639515</v>
      </c>
      <c r="S99" s="30">
        <f t="shared" si="48"/>
        <v>1.0693264772639515</v>
      </c>
      <c r="T99" s="37">
        <f t="shared" si="49"/>
        <v>0.119999886</v>
      </c>
      <c r="U99" s="30">
        <f t="shared" si="50"/>
        <v>1.0101000408121714E-2</v>
      </c>
      <c r="V99" s="38">
        <f t="shared" si="51"/>
        <v>3.9502233034221916E-4</v>
      </c>
      <c r="W99" s="9">
        <f t="shared" si="58"/>
        <v>100226624</v>
      </c>
      <c r="X99" s="12">
        <f t="shared" si="58"/>
        <v>155.11001589999995</v>
      </c>
      <c r="Y99" s="11">
        <f t="shared" si="58"/>
        <v>0.51999998099999978</v>
      </c>
      <c r="Z99" s="7"/>
      <c r="AA99" s="7"/>
      <c r="AB99" s="10"/>
    </row>
    <row r="100" spans="1:28" x14ac:dyDescent="0.25">
      <c r="A100" s="2">
        <v>96</v>
      </c>
      <c r="B100">
        <v>1</v>
      </c>
      <c r="C100">
        <v>4</v>
      </c>
      <c r="D100">
        <v>1</v>
      </c>
      <c r="E100">
        <v>4</v>
      </c>
      <c r="G100">
        <v>518978176</v>
      </c>
      <c r="H100">
        <v>400.10998540000003</v>
      </c>
      <c r="I100">
        <v>4.079999924</v>
      </c>
      <c r="J100" s="9">
        <f t="shared" si="60"/>
        <v>49119296</v>
      </c>
      <c r="K100" s="52"/>
      <c r="L100" s="9">
        <f t="shared" si="61"/>
        <v>25.990020699999945</v>
      </c>
      <c r="M100" s="9">
        <f t="shared" si="61"/>
        <v>0</v>
      </c>
      <c r="N100" s="29">
        <f t="shared" si="43"/>
        <v>412081848</v>
      </c>
      <c r="O100" s="30">
        <f t="shared" si="44"/>
        <v>1.2849890970997619</v>
      </c>
      <c r="P100" s="30">
        <f t="shared" si="45"/>
        <v>1.2849890970997619</v>
      </c>
      <c r="Q100" s="29">
        <f t="shared" si="46"/>
        <v>304.30998235000004</v>
      </c>
      <c r="R100" s="30">
        <f t="shared" si="47"/>
        <v>1.0588377615227367</v>
      </c>
      <c r="S100" s="30">
        <f t="shared" si="48"/>
        <v>1.0588377615227367</v>
      </c>
      <c r="T100" s="37">
        <f t="shared" si="49"/>
        <v>0.119999886</v>
      </c>
      <c r="U100" s="30">
        <f t="shared" si="50"/>
        <v>1.0101000408121714E-2</v>
      </c>
      <c r="V100" s="38">
        <f t="shared" si="51"/>
        <v>4.1753612449389163E-4</v>
      </c>
      <c r="W100" s="9">
        <f t="shared" si="58"/>
        <v>87395456</v>
      </c>
      <c r="X100" s="12">
        <f t="shared" si="58"/>
        <v>138.55999760000003</v>
      </c>
      <c r="Y100" s="11">
        <f t="shared" si="58"/>
        <v>0.51999998099999978</v>
      </c>
      <c r="Z100" s="7"/>
      <c r="AA100" s="7"/>
      <c r="AB100" s="10"/>
    </row>
    <row r="101" spans="1:28" x14ac:dyDescent="0.25">
      <c r="A101" s="2">
        <v>97</v>
      </c>
      <c r="B101">
        <v>1</v>
      </c>
      <c r="C101">
        <v>4</v>
      </c>
      <c r="D101">
        <v>1</v>
      </c>
      <c r="E101">
        <v>5</v>
      </c>
      <c r="G101">
        <v>483624800</v>
      </c>
      <c r="H101">
        <v>368.23999020000002</v>
      </c>
      <c r="I101">
        <v>4.079999924</v>
      </c>
      <c r="J101" s="9">
        <f t="shared" si="60"/>
        <v>35353376</v>
      </c>
      <c r="K101" s="52"/>
      <c r="L101" s="9">
        <f t="shared" si="61"/>
        <v>31.869995200000005</v>
      </c>
      <c r="M101" s="9">
        <f t="shared" si="61"/>
        <v>0</v>
      </c>
      <c r="N101" s="29">
        <f t="shared" si="43"/>
        <v>385433712</v>
      </c>
      <c r="O101" s="30">
        <f t="shared" si="44"/>
        <v>1.3084477075964369</v>
      </c>
      <c r="P101" s="30">
        <f t="shared" si="45"/>
        <v>1.3084477075964369</v>
      </c>
      <c r="Q101" s="29">
        <f t="shared" si="46"/>
        <v>279.90998837000001</v>
      </c>
      <c r="R101" s="30">
        <f t="shared" si="47"/>
        <v>1.0563039456994276</v>
      </c>
      <c r="S101" s="30">
        <f t="shared" si="48"/>
        <v>1.0563039456994276</v>
      </c>
      <c r="T101" s="37">
        <f t="shared" si="49"/>
        <v>0.119999886</v>
      </c>
      <c r="U101" s="30">
        <f t="shared" si="50"/>
        <v>1.0101000408121714E-2</v>
      </c>
      <c r="V101" s="38">
        <f t="shared" si="51"/>
        <v>4.5284683766885872E-4</v>
      </c>
      <c r="W101" s="9">
        <f t="shared" si="58"/>
        <v>84983904</v>
      </c>
      <c r="X101" s="12">
        <f t="shared" si="58"/>
        <v>130.97999570000002</v>
      </c>
      <c r="Y101" s="11">
        <f t="shared" si="58"/>
        <v>0.51999998099999978</v>
      </c>
      <c r="Z101" s="7"/>
      <c r="AA101" s="7"/>
      <c r="AB101" s="10"/>
    </row>
    <row r="102" spans="1:28" x14ac:dyDescent="0.25">
      <c r="A102" s="2">
        <v>98</v>
      </c>
      <c r="B102">
        <v>1</v>
      </c>
      <c r="C102">
        <v>4</v>
      </c>
      <c r="D102">
        <v>1</v>
      </c>
      <c r="E102">
        <v>6</v>
      </c>
      <c r="G102">
        <v>393334368</v>
      </c>
      <c r="H102">
        <v>306.27999879999999</v>
      </c>
      <c r="I102">
        <v>4.0900001530000001</v>
      </c>
      <c r="J102" s="9">
        <f t="shared" si="60"/>
        <v>90290432</v>
      </c>
      <c r="K102" s="52">
        <f t="shared" ref="K102" si="62">AVERAGE(J97:J102)</f>
        <v>32724602.666666668</v>
      </c>
      <c r="L102" s="9">
        <f t="shared" si="61"/>
        <v>61.959991400000035</v>
      </c>
      <c r="M102" s="9">
        <f t="shared" si="61"/>
        <v>1.0000229000000083E-2</v>
      </c>
      <c r="N102" s="29">
        <f t="shared" si="43"/>
        <v>315877328</v>
      </c>
      <c r="O102" s="30">
        <f t="shared" si="44"/>
        <v>1.3593656905384801</v>
      </c>
      <c r="P102" s="30">
        <f t="shared" si="45"/>
        <v>1.3593656905384801</v>
      </c>
      <c r="Q102" s="29">
        <f t="shared" si="46"/>
        <v>231.62999726999999</v>
      </c>
      <c r="R102" s="30">
        <f t="shared" si="47"/>
        <v>1.0342933356668613</v>
      </c>
      <c r="S102" s="30">
        <f t="shared" si="48"/>
        <v>1.0342933356668613</v>
      </c>
      <c r="T102" s="37">
        <f t="shared" si="49"/>
        <v>0.13000011500000008</v>
      </c>
      <c r="U102" s="30">
        <f t="shared" si="50"/>
        <v>1.0942770517889245E-2</v>
      </c>
      <c r="V102" s="38">
        <f t="shared" si="51"/>
        <v>5.8048721739479235E-4</v>
      </c>
      <c r="W102" s="9">
        <f t="shared" si="58"/>
        <v>67064288</v>
      </c>
      <c r="X102" s="12">
        <f t="shared" si="58"/>
        <v>100.97000119999998</v>
      </c>
      <c r="Y102" s="11">
        <f t="shared" si="58"/>
        <v>0.53000020999999986</v>
      </c>
      <c r="Z102" s="7"/>
      <c r="AA102" s="7"/>
      <c r="AB102" s="10"/>
    </row>
    <row r="103" spans="1:28" x14ac:dyDescent="0.25">
      <c r="A103" s="2">
        <v>99</v>
      </c>
      <c r="B103">
        <v>1</v>
      </c>
      <c r="C103">
        <v>4</v>
      </c>
      <c r="D103">
        <v>2</v>
      </c>
      <c r="E103">
        <v>0</v>
      </c>
      <c r="G103">
        <v>1617627520</v>
      </c>
      <c r="H103">
        <v>-9999.9902340000008</v>
      </c>
      <c r="I103">
        <v>4.329999924</v>
      </c>
      <c r="K103" s="52"/>
      <c r="N103" s="29">
        <f t="shared" si="43"/>
        <v>1031099328</v>
      </c>
      <c r="O103" s="30">
        <f t="shared" si="44"/>
        <v>0.58599020590641959</v>
      </c>
      <c r="P103" s="30">
        <f t="shared" si="45"/>
        <v>1.1719804118128392</v>
      </c>
      <c r="Q103" s="29">
        <f t="shared" si="46"/>
        <v>10430.9202267</v>
      </c>
      <c r="R103" s="30">
        <f t="shared" si="47"/>
        <v>8.0685342580008363</v>
      </c>
      <c r="S103" s="30">
        <f t="shared" si="48"/>
        <v>16.137068516001673</v>
      </c>
      <c r="T103" s="37">
        <f t="shared" si="49"/>
        <v>0.25</v>
      </c>
      <c r="U103" s="30">
        <f t="shared" si="50"/>
        <v>2.0424836981769837E-2</v>
      </c>
      <c r="V103" s="38">
        <f t="shared" si="51"/>
        <v>3.8676042394360515E-4</v>
      </c>
      <c r="W103" s="9">
        <f t="shared" si="58"/>
        <v>157764608</v>
      </c>
      <c r="X103" s="12">
        <f t="shared" si="58"/>
        <v>0</v>
      </c>
      <c r="Y103" s="11">
        <f t="shared" si="58"/>
        <v>0.51999998099999978</v>
      </c>
      <c r="Z103" s="7"/>
      <c r="AA103" s="7"/>
      <c r="AB103" s="10"/>
    </row>
    <row r="104" spans="1:28" x14ac:dyDescent="0.25">
      <c r="A104" s="2">
        <v>100</v>
      </c>
      <c r="B104">
        <v>1</v>
      </c>
      <c r="C104">
        <v>4</v>
      </c>
      <c r="D104">
        <v>2</v>
      </c>
      <c r="E104">
        <v>1</v>
      </c>
      <c r="G104">
        <v>1607027072</v>
      </c>
      <c r="H104">
        <v>-9999.9902340000008</v>
      </c>
      <c r="I104">
        <v>4.329999924</v>
      </c>
      <c r="J104" s="9">
        <f t="shared" ref="J104" si="63">ABS(G104-G103)</f>
        <v>10600448</v>
      </c>
      <c r="K104" s="52"/>
      <c r="L104" s="9">
        <f t="shared" ref="L104:M109" si="64">ABS(H104-H103)</f>
        <v>0</v>
      </c>
      <c r="M104" s="9">
        <f t="shared" si="64"/>
        <v>0</v>
      </c>
      <c r="N104" s="29">
        <f t="shared" si="43"/>
        <v>1023360448</v>
      </c>
      <c r="O104" s="30">
        <f t="shared" si="44"/>
        <v>0.58444347390563378</v>
      </c>
      <c r="P104" s="30">
        <f t="shared" si="45"/>
        <v>1.1688869478112676</v>
      </c>
      <c r="Q104" s="29">
        <f t="shared" si="46"/>
        <v>10432.7102352</v>
      </c>
      <c r="R104" s="30">
        <f t="shared" si="47"/>
        <v>8.036536487234601</v>
      </c>
      <c r="S104" s="30">
        <f t="shared" si="48"/>
        <v>16.073072974469202</v>
      </c>
      <c r="T104" s="37">
        <f t="shared" si="49"/>
        <v>0.25</v>
      </c>
      <c r="U104" s="30">
        <f t="shared" si="50"/>
        <v>2.0424836981769837E-2</v>
      </c>
      <c r="V104" s="38">
        <f t="shared" si="51"/>
        <v>3.8516053384284065E-4</v>
      </c>
      <c r="W104" s="9">
        <f t="shared" si="58"/>
        <v>153846912</v>
      </c>
      <c r="X104" s="12">
        <f t="shared" si="58"/>
        <v>0</v>
      </c>
      <c r="Y104" s="11">
        <f t="shared" si="58"/>
        <v>0.51999998099999978</v>
      </c>
      <c r="Z104" s="7"/>
      <c r="AA104" s="7"/>
      <c r="AB104" s="10"/>
    </row>
    <row r="105" spans="1:28" x14ac:dyDescent="0.25">
      <c r="A105" s="2">
        <v>101</v>
      </c>
      <c r="B105">
        <v>1</v>
      </c>
      <c r="C105">
        <v>4</v>
      </c>
      <c r="D105">
        <v>2</v>
      </c>
      <c r="E105">
        <v>2</v>
      </c>
      <c r="G105">
        <v>1613725952</v>
      </c>
      <c r="H105">
        <v>-9999.9902340000008</v>
      </c>
      <c r="I105">
        <v>4.329999924</v>
      </c>
      <c r="J105" s="9">
        <f t="shared" si="56"/>
        <v>6698880</v>
      </c>
      <c r="K105" s="52"/>
      <c r="L105" s="9">
        <f t="shared" si="64"/>
        <v>0</v>
      </c>
      <c r="M105" s="9">
        <f t="shared" si="64"/>
        <v>0</v>
      </c>
      <c r="N105" s="29">
        <f t="shared" si="43"/>
        <v>1028482432</v>
      </c>
      <c r="O105" s="30">
        <f t="shared" si="44"/>
        <v>0.58578602858060413</v>
      </c>
      <c r="P105" s="30">
        <f t="shared" si="45"/>
        <v>1.1715720571612083</v>
      </c>
      <c r="Q105" s="29">
        <f t="shared" si="46"/>
        <v>10430.5902401</v>
      </c>
      <c r="R105" s="30">
        <f t="shared" si="47"/>
        <v>8.0744620624998813</v>
      </c>
      <c r="S105" s="30">
        <f t="shared" si="48"/>
        <v>16.148924124999763</v>
      </c>
      <c r="T105" s="37">
        <f t="shared" si="49"/>
        <v>0.25</v>
      </c>
      <c r="U105" s="30">
        <f t="shared" si="50"/>
        <v>2.0424836981769837E-2</v>
      </c>
      <c r="V105" s="38">
        <f t="shared" si="51"/>
        <v>3.8705681445801231E-4</v>
      </c>
      <c r="W105" s="9">
        <f t="shared" si="58"/>
        <v>156899456</v>
      </c>
      <c r="X105" s="12">
        <f t="shared" si="58"/>
        <v>0</v>
      </c>
      <c r="Y105" s="11">
        <f t="shared" si="58"/>
        <v>0.51999998099999978</v>
      </c>
      <c r="Z105" s="7"/>
      <c r="AA105" s="7"/>
      <c r="AB105" s="10"/>
    </row>
    <row r="106" spans="1:28" x14ac:dyDescent="0.25">
      <c r="A106" s="2">
        <v>102</v>
      </c>
      <c r="B106">
        <v>1</v>
      </c>
      <c r="C106">
        <v>4</v>
      </c>
      <c r="D106">
        <v>2</v>
      </c>
      <c r="E106">
        <v>3</v>
      </c>
      <c r="G106">
        <v>1561634816</v>
      </c>
      <c r="H106">
        <v>-9999.9902340000008</v>
      </c>
      <c r="I106">
        <v>4.329999924</v>
      </c>
      <c r="J106" s="9">
        <f t="shared" si="56"/>
        <v>52091136</v>
      </c>
      <c r="K106" s="52"/>
      <c r="L106" s="9">
        <f t="shared" si="64"/>
        <v>0</v>
      </c>
      <c r="M106" s="9">
        <f t="shared" si="64"/>
        <v>0</v>
      </c>
      <c r="N106" s="29">
        <f t="shared" si="43"/>
        <v>993537344</v>
      </c>
      <c r="O106" s="30">
        <f t="shared" si="44"/>
        <v>0.58296178207014915</v>
      </c>
      <c r="P106" s="30">
        <f t="shared" si="45"/>
        <v>1.1659235641402983</v>
      </c>
      <c r="Q106" s="29">
        <f t="shared" si="46"/>
        <v>10426.0902401</v>
      </c>
      <c r="R106" s="30">
        <f t="shared" si="47"/>
        <v>8.156215356990737</v>
      </c>
      <c r="S106" s="30">
        <f t="shared" si="48"/>
        <v>16.312430713981474</v>
      </c>
      <c r="T106" s="37">
        <f t="shared" si="49"/>
        <v>0.25</v>
      </c>
      <c r="U106" s="30">
        <f t="shared" si="50"/>
        <v>2.0424836981769837E-2</v>
      </c>
      <c r="V106" s="38">
        <f t="shared" si="51"/>
        <v>3.9114448317457252E-4</v>
      </c>
      <c r="W106" s="9">
        <f t="shared" ref="W106:Y121" si="65">ABS(G106-G85)</f>
        <v>146210944</v>
      </c>
      <c r="X106" s="12">
        <f t="shared" si="65"/>
        <v>0</v>
      </c>
      <c r="Y106" s="11">
        <f t="shared" si="65"/>
        <v>0.51999998099999978</v>
      </c>
      <c r="Z106" s="7"/>
      <c r="AA106" s="7"/>
      <c r="AB106" s="10"/>
    </row>
    <row r="107" spans="1:28" x14ac:dyDescent="0.25">
      <c r="A107" s="2">
        <v>103</v>
      </c>
      <c r="B107">
        <v>1</v>
      </c>
      <c r="C107">
        <v>4</v>
      </c>
      <c r="D107">
        <v>2</v>
      </c>
      <c r="E107">
        <v>4</v>
      </c>
      <c r="G107">
        <v>1423934848</v>
      </c>
      <c r="H107">
        <v>-9999.9902340000008</v>
      </c>
      <c r="I107">
        <v>4.329999924</v>
      </c>
      <c r="J107" s="9">
        <f t="shared" si="56"/>
        <v>137699968</v>
      </c>
      <c r="K107" s="52"/>
      <c r="L107" s="9">
        <f t="shared" si="64"/>
        <v>0</v>
      </c>
      <c r="M107" s="9">
        <f t="shared" si="64"/>
        <v>0</v>
      </c>
      <c r="N107" s="29">
        <f t="shared" si="43"/>
        <v>904956672</v>
      </c>
      <c r="O107" s="30">
        <f t="shared" si="44"/>
        <v>0.58124259930344357</v>
      </c>
      <c r="P107" s="30">
        <f t="shared" si="45"/>
        <v>1.1624851986068871</v>
      </c>
      <c r="Q107" s="29">
        <f t="shared" si="46"/>
        <v>10400.100219400001</v>
      </c>
      <c r="R107" s="30">
        <f t="shared" si="47"/>
        <v>8.6643677979383256</v>
      </c>
      <c r="S107" s="30">
        <f t="shared" si="48"/>
        <v>17.328735595876651</v>
      </c>
      <c r="T107" s="37">
        <f t="shared" si="49"/>
        <v>0.25</v>
      </c>
      <c r="U107" s="30">
        <f t="shared" si="50"/>
        <v>2.0424836981769837E-2</v>
      </c>
      <c r="V107" s="38">
        <f t="shared" si="51"/>
        <v>4.1655213003505975E-4</v>
      </c>
      <c r="W107" s="9">
        <f t="shared" si="65"/>
        <v>126141440</v>
      </c>
      <c r="X107" s="12">
        <f t="shared" si="65"/>
        <v>10866.730224200001</v>
      </c>
      <c r="Y107" s="11">
        <f t="shared" si="65"/>
        <v>0.51999998099999978</v>
      </c>
      <c r="Z107" s="7"/>
      <c r="AA107" s="7"/>
      <c r="AB107" s="10"/>
    </row>
    <row r="108" spans="1:28" x14ac:dyDescent="0.25">
      <c r="A108" s="2">
        <v>104</v>
      </c>
      <c r="B108">
        <v>1</v>
      </c>
      <c r="C108">
        <v>4</v>
      </c>
      <c r="D108">
        <v>2</v>
      </c>
      <c r="E108">
        <v>5</v>
      </c>
      <c r="G108">
        <v>1332877568</v>
      </c>
      <c r="H108">
        <v>-9999.9902340000008</v>
      </c>
      <c r="I108">
        <v>4.329999924</v>
      </c>
      <c r="J108" s="9">
        <f t="shared" si="56"/>
        <v>91057280</v>
      </c>
      <c r="K108" s="52"/>
      <c r="L108" s="9">
        <f t="shared" si="64"/>
        <v>0</v>
      </c>
      <c r="M108" s="9">
        <f t="shared" si="64"/>
        <v>0</v>
      </c>
      <c r="N108" s="29">
        <f t="shared" si="43"/>
        <v>849252768</v>
      </c>
      <c r="O108" s="30">
        <f t="shared" si="44"/>
        <v>0.58533858478721523</v>
      </c>
      <c r="P108" s="30">
        <f t="shared" si="45"/>
        <v>1.1706771695744305</v>
      </c>
      <c r="Q108" s="29">
        <f t="shared" si="46"/>
        <v>10368.230224200001</v>
      </c>
      <c r="R108" s="30">
        <f t="shared" si="47"/>
        <v>9.3853922262025957</v>
      </c>
      <c r="S108" s="30">
        <f t="shared" si="48"/>
        <v>18.770784452405191</v>
      </c>
      <c r="T108" s="37">
        <f t="shared" si="49"/>
        <v>0.25</v>
      </c>
      <c r="U108" s="30">
        <f t="shared" si="50"/>
        <v>2.0424836981769837E-2</v>
      </c>
      <c r="V108" s="38">
        <f t="shared" si="51"/>
        <v>4.5260338665593052E-4</v>
      </c>
      <c r="W108" s="9">
        <f t="shared" si="65"/>
        <v>123924608</v>
      </c>
      <c r="X108" s="12">
        <f t="shared" si="65"/>
        <v>10785.120238900001</v>
      </c>
      <c r="Y108" s="11">
        <f t="shared" si="65"/>
        <v>0.51999998099999978</v>
      </c>
      <c r="Z108" s="7"/>
      <c r="AA108" s="7"/>
      <c r="AB108" s="10"/>
    </row>
    <row r="109" spans="1:28" x14ac:dyDescent="0.25">
      <c r="A109" s="2">
        <v>105</v>
      </c>
      <c r="B109">
        <v>1</v>
      </c>
      <c r="C109">
        <v>4</v>
      </c>
      <c r="D109">
        <v>2</v>
      </c>
      <c r="E109">
        <v>6</v>
      </c>
      <c r="G109">
        <v>1088928384</v>
      </c>
      <c r="H109">
        <v>-9999.9902340000008</v>
      </c>
      <c r="I109">
        <v>4.329999924</v>
      </c>
      <c r="J109" s="9">
        <f t="shared" si="56"/>
        <v>243949184</v>
      </c>
      <c r="K109" s="52">
        <f t="shared" ref="K109" si="66">AVERAGE(J104:J109)</f>
        <v>90349482.666666672</v>
      </c>
      <c r="L109" s="9">
        <f t="shared" si="64"/>
        <v>0</v>
      </c>
      <c r="M109" s="9">
        <f t="shared" si="64"/>
        <v>0</v>
      </c>
      <c r="N109" s="29">
        <f t="shared" si="43"/>
        <v>695594016</v>
      </c>
      <c r="O109" s="30">
        <f t="shared" si="44"/>
        <v>0.58948490359225358</v>
      </c>
      <c r="P109" s="30">
        <f t="shared" si="45"/>
        <v>1.1789698071845072</v>
      </c>
      <c r="Q109" s="29">
        <f t="shared" si="46"/>
        <v>10306.270232800001</v>
      </c>
      <c r="R109" s="30">
        <f t="shared" si="47"/>
        <v>11.216610370880458</v>
      </c>
      <c r="S109" s="30">
        <f t="shared" si="48"/>
        <v>22.433220741760916</v>
      </c>
      <c r="T109" s="37">
        <f t="shared" si="49"/>
        <v>0.23999977099999992</v>
      </c>
      <c r="U109" s="30">
        <f t="shared" si="50"/>
        <v>1.955988280538009E-2</v>
      </c>
      <c r="V109" s="38">
        <f t="shared" si="51"/>
        <v>5.2239730952138581E-4</v>
      </c>
      <c r="W109" s="9">
        <f t="shared" si="65"/>
        <v>99258368</v>
      </c>
      <c r="X109" s="12">
        <f t="shared" si="65"/>
        <v>10658.9202267</v>
      </c>
      <c r="Y109" s="11">
        <f t="shared" si="65"/>
        <v>0.51999998099999978</v>
      </c>
      <c r="Z109" s="7"/>
      <c r="AA109" s="7"/>
      <c r="AB109" s="10"/>
    </row>
    <row r="110" spans="1:28" x14ac:dyDescent="0.25">
      <c r="A110" s="2">
        <v>106</v>
      </c>
      <c r="B110">
        <v>2</v>
      </c>
      <c r="C110">
        <v>0</v>
      </c>
      <c r="D110">
        <v>0</v>
      </c>
      <c r="E110">
        <v>0</v>
      </c>
      <c r="G110">
        <v>-2209707.5</v>
      </c>
      <c r="H110">
        <v>10.210000040000001</v>
      </c>
      <c r="I110">
        <v>2.329999924</v>
      </c>
      <c r="K110" s="52"/>
      <c r="N110" s="29">
        <f t="shared" si="43"/>
        <v>1619837227.5</v>
      </c>
      <c r="O110" s="30">
        <f t="shared" si="44"/>
        <v>0.33378867249983485</v>
      </c>
      <c r="P110" s="30">
        <f t="shared" si="45"/>
        <v>1.1126289083327827</v>
      </c>
      <c r="Q110" s="29">
        <f t="shared" si="46"/>
        <v>10010.200234040001</v>
      </c>
      <c r="R110" s="30">
        <f t="shared" si="47"/>
        <v>0.33367366700036988</v>
      </c>
      <c r="S110" s="30">
        <f t="shared" si="48"/>
        <v>1.1122455566678995</v>
      </c>
      <c r="T110" s="37">
        <f t="shared" si="49"/>
        <v>2</v>
      </c>
      <c r="U110" s="30">
        <f t="shared" si="50"/>
        <v>0.15396459084710754</v>
      </c>
      <c r="V110" s="38">
        <f t="shared" si="51"/>
        <v>2.2222243924465635E-4</v>
      </c>
      <c r="W110" s="9">
        <f t="shared" si="65"/>
        <v>123725283.5</v>
      </c>
      <c r="X110" s="12">
        <f t="shared" si="65"/>
        <v>91.919997260000002</v>
      </c>
      <c r="Y110" s="11">
        <f t="shared" si="65"/>
        <v>1.630000114</v>
      </c>
      <c r="Z110" s="7">
        <f t="shared" ref="Z110:AB125" si="67">ABS(G110-G5)</f>
        <v>2457015.5</v>
      </c>
      <c r="AA110" s="7">
        <f t="shared" si="67"/>
        <v>2.4400000590000008</v>
      </c>
      <c r="AB110" s="7">
        <f t="shared" si="67"/>
        <v>0</v>
      </c>
    </row>
    <row r="111" spans="1:28" x14ac:dyDescent="0.25">
      <c r="A111" s="2">
        <v>107</v>
      </c>
      <c r="B111">
        <v>2</v>
      </c>
      <c r="C111">
        <v>0</v>
      </c>
      <c r="D111">
        <v>0</v>
      </c>
      <c r="E111">
        <v>1</v>
      </c>
      <c r="G111">
        <v>-1470764.63</v>
      </c>
      <c r="H111">
        <v>10.84000015</v>
      </c>
      <c r="I111">
        <v>2.329999924</v>
      </c>
      <c r="J111" s="9">
        <f t="shared" ref="J111" si="68">ABS(G111-G110)</f>
        <v>738942.87000000011</v>
      </c>
      <c r="K111" s="52"/>
      <c r="L111" s="9">
        <f t="shared" ref="L111:M116" si="69">ABS(H111-H110)</f>
        <v>0.63000010999999922</v>
      </c>
      <c r="M111" s="9">
        <f t="shared" si="69"/>
        <v>0</v>
      </c>
      <c r="N111" s="29">
        <f t="shared" si="43"/>
        <v>1608497836.6300001</v>
      </c>
      <c r="O111" s="30">
        <f t="shared" si="44"/>
        <v>0.33363840279059925</v>
      </c>
      <c r="P111" s="30">
        <f t="shared" si="45"/>
        <v>1.1121280093019976</v>
      </c>
      <c r="Q111" s="29">
        <f t="shared" si="46"/>
        <v>10010.83023415</v>
      </c>
      <c r="R111" s="30">
        <f t="shared" si="47"/>
        <v>0.33369466702454514</v>
      </c>
      <c r="S111" s="30">
        <f t="shared" si="48"/>
        <v>1.1123155567484839</v>
      </c>
      <c r="T111" s="37">
        <f t="shared" si="49"/>
        <v>2</v>
      </c>
      <c r="U111" s="30">
        <f t="shared" si="50"/>
        <v>0.15396459084710754</v>
      </c>
      <c r="V111" s="38">
        <f t="shared" si="51"/>
        <v>2.2222243924465635E-4</v>
      </c>
      <c r="W111" s="9">
        <f t="shared" si="65"/>
        <v>122525924.63</v>
      </c>
      <c r="X111" s="12">
        <f t="shared" si="65"/>
        <v>91.799999249999999</v>
      </c>
      <c r="Y111" s="11">
        <f t="shared" si="65"/>
        <v>1.630000114</v>
      </c>
      <c r="Z111" s="7">
        <f t="shared" si="67"/>
        <v>2562072.37</v>
      </c>
      <c r="AA111" s="7">
        <f t="shared" si="67"/>
        <v>2.4099998449999998</v>
      </c>
      <c r="AB111" s="7">
        <f t="shared" si="67"/>
        <v>0</v>
      </c>
    </row>
    <row r="112" spans="1:28" x14ac:dyDescent="0.25">
      <c r="A112" s="2">
        <v>108</v>
      </c>
      <c r="B112">
        <v>2</v>
      </c>
      <c r="C112">
        <v>0</v>
      </c>
      <c r="D112">
        <v>0</v>
      </c>
      <c r="E112">
        <v>2</v>
      </c>
      <c r="G112">
        <v>-1848279.38</v>
      </c>
      <c r="H112">
        <v>10.52999973</v>
      </c>
      <c r="I112">
        <v>2.329999924</v>
      </c>
      <c r="J112" s="9">
        <f t="shared" si="60"/>
        <v>377514.75</v>
      </c>
      <c r="K112" s="52"/>
      <c r="L112" s="9">
        <f t="shared" si="69"/>
        <v>0.31000041999999972</v>
      </c>
      <c r="M112" s="9">
        <f t="shared" si="69"/>
        <v>0</v>
      </c>
      <c r="N112" s="29">
        <f t="shared" si="43"/>
        <v>1615574231.3800001</v>
      </c>
      <c r="O112" s="30">
        <f t="shared" si="44"/>
        <v>0.33371511632808731</v>
      </c>
      <c r="P112" s="30">
        <f t="shared" si="45"/>
        <v>1.1123837210936243</v>
      </c>
      <c r="Q112" s="29">
        <f t="shared" si="46"/>
        <v>10010.520233730002</v>
      </c>
      <c r="R112" s="30">
        <f t="shared" si="47"/>
        <v>0.3336843336671203</v>
      </c>
      <c r="S112" s="30">
        <f t="shared" si="48"/>
        <v>1.1122811122237344</v>
      </c>
      <c r="T112" s="37">
        <f t="shared" si="49"/>
        <v>2</v>
      </c>
      <c r="U112" s="30">
        <f t="shared" si="50"/>
        <v>0.15396459084710754</v>
      </c>
      <c r="V112" s="38">
        <f t="shared" si="51"/>
        <v>2.2222243924465635E-4</v>
      </c>
      <c r="W112" s="9">
        <f t="shared" si="65"/>
        <v>123105895.38</v>
      </c>
      <c r="X112" s="12">
        <f t="shared" si="65"/>
        <v>91.559996569999996</v>
      </c>
      <c r="Y112" s="11">
        <f t="shared" si="65"/>
        <v>1.630000114</v>
      </c>
      <c r="Z112" s="7">
        <f t="shared" si="67"/>
        <v>2504201.12</v>
      </c>
      <c r="AA112" s="7">
        <f t="shared" si="67"/>
        <v>2.439999577</v>
      </c>
      <c r="AB112" s="7">
        <f t="shared" si="67"/>
        <v>0</v>
      </c>
    </row>
    <row r="113" spans="1:28" x14ac:dyDescent="0.25">
      <c r="A113" s="2">
        <v>109</v>
      </c>
      <c r="B113">
        <v>2</v>
      </c>
      <c r="C113">
        <v>0</v>
      </c>
      <c r="D113">
        <v>0</v>
      </c>
      <c r="E113">
        <v>3</v>
      </c>
      <c r="G113">
        <v>-837300.31</v>
      </c>
      <c r="H113">
        <v>11.35999966</v>
      </c>
      <c r="I113">
        <v>2.329999924</v>
      </c>
      <c r="J113" s="9">
        <f t="shared" si="60"/>
        <v>1010979.0699999998</v>
      </c>
      <c r="K113" s="52"/>
      <c r="L113" s="9">
        <f t="shared" si="69"/>
        <v>0.82999992999999961</v>
      </c>
      <c r="M113" s="9">
        <f t="shared" si="69"/>
        <v>0</v>
      </c>
      <c r="N113" s="29">
        <f t="shared" si="43"/>
        <v>1562472116.3099999</v>
      </c>
      <c r="O113" s="30">
        <f t="shared" si="44"/>
        <v>0.33351205636158149</v>
      </c>
      <c r="P113" s="30">
        <f t="shared" si="45"/>
        <v>1.1117068545386051</v>
      </c>
      <c r="Q113" s="29">
        <f t="shared" si="46"/>
        <v>10011.350233660001</v>
      </c>
      <c r="R113" s="30">
        <f t="shared" si="47"/>
        <v>0.33371200035847287</v>
      </c>
      <c r="S113" s="30">
        <f t="shared" si="48"/>
        <v>1.1123733345282429</v>
      </c>
      <c r="T113" s="37">
        <f t="shared" si="49"/>
        <v>2</v>
      </c>
      <c r="U113" s="30">
        <f t="shared" si="50"/>
        <v>0.15396459084710754</v>
      </c>
      <c r="V113" s="38">
        <f t="shared" si="51"/>
        <v>2.2222243924465635E-4</v>
      </c>
      <c r="W113" s="9">
        <f t="shared" si="65"/>
        <v>118582788.31</v>
      </c>
      <c r="X113" s="12">
        <f t="shared" si="65"/>
        <v>89.900002439999994</v>
      </c>
      <c r="Y113" s="11">
        <f t="shared" si="65"/>
        <v>1.630000114</v>
      </c>
      <c r="Z113" s="7">
        <f t="shared" si="67"/>
        <v>2646238.44</v>
      </c>
      <c r="AA113" s="7">
        <f t="shared" si="67"/>
        <v>2.3999996219999993</v>
      </c>
      <c r="AB113" s="7">
        <f t="shared" si="67"/>
        <v>0</v>
      </c>
    </row>
    <row r="114" spans="1:28" x14ac:dyDescent="0.25">
      <c r="A114" s="2">
        <v>110</v>
      </c>
      <c r="B114">
        <v>2</v>
      </c>
      <c r="C114">
        <v>0</v>
      </c>
      <c r="D114">
        <v>0</v>
      </c>
      <c r="E114">
        <v>4</v>
      </c>
      <c r="G114">
        <v>-1662859.25</v>
      </c>
      <c r="H114">
        <v>10.69999981</v>
      </c>
      <c r="I114">
        <v>2.329999924</v>
      </c>
      <c r="J114" s="9">
        <f t="shared" si="60"/>
        <v>825558.94</v>
      </c>
      <c r="K114" s="52"/>
      <c r="L114" s="9">
        <f t="shared" si="69"/>
        <v>0.65999985000000017</v>
      </c>
      <c r="M114" s="9">
        <f t="shared" si="69"/>
        <v>0</v>
      </c>
      <c r="N114" s="29">
        <f t="shared" si="43"/>
        <v>1425597707.25</v>
      </c>
      <c r="O114" s="30">
        <f t="shared" si="44"/>
        <v>0.33372259722236958</v>
      </c>
      <c r="P114" s="30">
        <f t="shared" si="45"/>
        <v>1.1124086574078984</v>
      </c>
      <c r="Q114" s="29">
        <f t="shared" si="46"/>
        <v>10010.690233810001</v>
      </c>
      <c r="R114" s="30">
        <f t="shared" si="47"/>
        <v>0.33369000034198765</v>
      </c>
      <c r="S114" s="30">
        <f t="shared" si="48"/>
        <v>1.1123000011399589</v>
      </c>
      <c r="T114" s="37">
        <f t="shared" si="49"/>
        <v>2</v>
      </c>
      <c r="U114" s="30">
        <f t="shared" si="50"/>
        <v>0.15396459084710754</v>
      </c>
      <c r="V114" s="38">
        <f t="shared" si="51"/>
        <v>2.2222243924465635E-4</v>
      </c>
      <c r="W114" s="9">
        <f t="shared" si="65"/>
        <v>108559187.25</v>
      </c>
      <c r="X114" s="12">
        <f t="shared" si="65"/>
        <v>85.100003240000007</v>
      </c>
      <c r="Y114" s="11">
        <f t="shared" si="65"/>
        <v>1.630000114</v>
      </c>
      <c r="Z114" s="7">
        <f t="shared" si="67"/>
        <v>2540123.75</v>
      </c>
      <c r="AA114" s="7">
        <f t="shared" si="67"/>
        <v>2.399999618999999</v>
      </c>
      <c r="AB114" s="7">
        <f t="shared" si="67"/>
        <v>0</v>
      </c>
    </row>
    <row r="115" spans="1:28" x14ac:dyDescent="0.25">
      <c r="A115" s="2">
        <v>111</v>
      </c>
      <c r="B115">
        <v>2</v>
      </c>
      <c r="C115">
        <v>0</v>
      </c>
      <c r="D115">
        <v>0</v>
      </c>
      <c r="E115">
        <v>5</v>
      </c>
      <c r="G115">
        <v>-2255694.25</v>
      </c>
      <c r="H115">
        <v>10.149999619999999</v>
      </c>
      <c r="I115">
        <v>2.329999924</v>
      </c>
      <c r="J115" s="9">
        <f t="shared" si="60"/>
        <v>592835</v>
      </c>
      <c r="K115" s="52"/>
      <c r="L115" s="9">
        <f t="shared" si="69"/>
        <v>0.55000019000000044</v>
      </c>
      <c r="M115" s="9">
        <f t="shared" si="69"/>
        <v>0</v>
      </c>
      <c r="N115" s="29">
        <f t="shared" si="43"/>
        <v>1335133262.25</v>
      </c>
      <c r="O115" s="30">
        <f t="shared" si="44"/>
        <v>0.33389744972435459</v>
      </c>
      <c r="P115" s="30">
        <f t="shared" si="45"/>
        <v>1.112991499081182</v>
      </c>
      <c r="Q115" s="29">
        <f t="shared" si="46"/>
        <v>10010.140233620001</v>
      </c>
      <c r="R115" s="30">
        <f t="shared" si="47"/>
        <v>0.33367166698441664</v>
      </c>
      <c r="S115" s="30">
        <f t="shared" si="48"/>
        <v>1.1122388899480555</v>
      </c>
      <c r="T115" s="37">
        <f t="shared" si="49"/>
        <v>2</v>
      </c>
      <c r="U115" s="30">
        <f t="shared" si="50"/>
        <v>0.15396459084710754</v>
      </c>
      <c r="V115" s="38">
        <f t="shared" si="51"/>
        <v>2.2222243924465635E-4</v>
      </c>
      <c r="W115" s="9">
        <f t="shared" si="65"/>
        <v>100446782.25</v>
      </c>
      <c r="X115" s="12">
        <f t="shared" si="65"/>
        <v>78.180002209999998</v>
      </c>
      <c r="Y115" s="11">
        <f t="shared" si="65"/>
        <v>1.630000114</v>
      </c>
      <c r="Z115" s="7">
        <f t="shared" si="67"/>
        <v>2404697.75</v>
      </c>
      <c r="AA115" s="7">
        <f t="shared" si="67"/>
        <v>2.3999996199999991</v>
      </c>
      <c r="AB115" s="7">
        <f t="shared" si="67"/>
        <v>0</v>
      </c>
    </row>
    <row r="116" spans="1:28" x14ac:dyDescent="0.25">
      <c r="A116" s="2">
        <v>112</v>
      </c>
      <c r="B116">
        <v>2</v>
      </c>
      <c r="C116">
        <v>0</v>
      </c>
      <c r="D116">
        <v>0</v>
      </c>
      <c r="E116">
        <v>6</v>
      </c>
      <c r="G116">
        <v>-4350953</v>
      </c>
      <c r="H116">
        <v>8.1999998089999995</v>
      </c>
      <c r="I116">
        <v>2.329999924</v>
      </c>
      <c r="J116" s="9">
        <f t="shared" si="60"/>
        <v>2095258.75</v>
      </c>
      <c r="K116" s="52">
        <f t="shared" ref="K116" si="70">AVERAGE(J111:J116)</f>
        <v>940181.56333333335</v>
      </c>
      <c r="L116" s="9">
        <f t="shared" si="69"/>
        <v>1.9499998109999996</v>
      </c>
      <c r="M116" s="9">
        <f t="shared" si="69"/>
        <v>0</v>
      </c>
      <c r="N116" s="29">
        <f t="shared" si="43"/>
        <v>1093279337</v>
      </c>
      <c r="O116" s="30">
        <f t="shared" si="44"/>
        <v>0.33466520941258399</v>
      </c>
      <c r="P116" s="30">
        <f t="shared" si="45"/>
        <v>1.1155506980419467</v>
      </c>
      <c r="Q116" s="29">
        <f t="shared" si="46"/>
        <v>10008.190233809</v>
      </c>
      <c r="R116" s="30">
        <f t="shared" si="47"/>
        <v>0.33360666692723756</v>
      </c>
      <c r="S116" s="30">
        <f t="shared" si="48"/>
        <v>1.1120222230907919</v>
      </c>
      <c r="T116" s="37">
        <f t="shared" si="49"/>
        <v>2</v>
      </c>
      <c r="U116" s="30">
        <f t="shared" si="50"/>
        <v>0.15396459084710754</v>
      </c>
      <c r="V116" s="38">
        <f t="shared" si="51"/>
        <v>2.2222243924465635E-4</v>
      </c>
      <c r="W116" s="9">
        <f t="shared" si="65"/>
        <v>81807993</v>
      </c>
      <c r="X116" s="12">
        <f t="shared" si="65"/>
        <v>66.450001720999992</v>
      </c>
      <c r="Y116" s="11">
        <f t="shared" si="65"/>
        <v>1.630000114</v>
      </c>
      <c r="Z116" s="7">
        <f t="shared" si="67"/>
        <v>2096394.5</v>
      </c>
      <c r="AA116" s="7">
        <f t="shared" si="67"/>
        <v>94.380000119000002</v>
      </c>
      <c r="AB116" s="7">
        <f t="shared" si="67"/>
        <v>0</v>
      </c>
    </row>
    <row r="117" spans="1:28" x14ac:dyDescent="0.25">
      <c r="A117" s="2">
        <v>113</v>
      </c>
      <c r="B117">
        <v>2</v>
      </c>
      <c r="C117">
        <v>0</v>
      </c>
      <c r="D117">
        <v>1</v>
      </c>
      <c r="E117">
        <v>0</v>
      </c>
      <c r="G117">
        <v>78712416</v>
      </c>
      <c r="H117">
        <v>35.08000183</v>
      </c>
      <c r="I117">
        <v>2.369999886</v>
      </c>
      <c r="K117" s="52"/>
      <c r="N117" s="29">
        <f t="shared" si="43"/>
        <v>80922123.5</v>
      </c>
      <c r="O117" s="30">
        <f t="shared" si="44"/>
        <v>12.207064132545447</v>
      </c>
      <c r="P117" s="30">
        <f t="shared" si="45"/>
        <v>12.207064132545447</v>
      </c>
      <c r="Q117" s="29">
        <f t="shared" si="46"/>
        <v>24.87000179</v>
      </c>
      <c r="R117" s="30">
        <f t="shared" si="47"/>
        <v>0.81194912479810988</v>
      </c>
      <c r="S117" s="30">
        <f t="shared" si="48"/>
        <v>0.81194912479810988</v>
      </c>
      <c r="T117" s="37">
        <f t="shared" si="49"/>
        <v>3.9999962E-2</v>
      </c>
      <c r="U117" s="30">
        <f t="shared" si="50"/>
        <v>5.7224554084005482E-3</v>
      </c>
      <c r="V117" s="38">
        <f t="shared" si="51"/>
        <v>1.3059079935778988E-3</v>
      </c>
      <c r="W117" s="9">
        <f t="shared" si="65"/>
        <v>507815776</v>
      </c>
      <c r="X117" s="12">
        <f t="shared" si="65"/>
        <v>395.84999087</v>
      </c>
      <c r="Y117" s="11">
        <f t="shared" si="65"/>
        <v>1.710000038</v>
      </c>
      <c r="Z117" s="7">
        <f t="shared" si="67"/>
        <v>20830168</v>
      </c>
      <c r="AA117" s="7">
        <f t="shared" si="67"/>
        <v>3.0200004599999986</v>
      </c>
      <c r="AB117" s="7">
        <f t="shared" si="67"/>
        <v>0</v>
      </c>
    </row>
    <row r="118" spans="1:28" x14ac:dyDescent="0.25">
      <c r="A118" s="2">
        <v>114</v>
      </c>
      <c r="B118">
        <v>2</v>
      </c>
      <c r="C118">
        <v>0</v>
      </c>
      <c r="D118">
        <v>1</v>
      </c>
      <c r="E118">
        <v>1</v>
      </c>
      <c r="G118">
        <v>81701304</v>
      </c>
      <c r="H118">
        <v>35.849998470000003</v>
      </c>
      <c r="I118">
        <v>2.369999886</v>
      </c>
      <c r="J118" s="9">
        <f t="shared" ref="J118" si="71">ABS(G118-G117)</f>
        <v>2988888</v>
      </c>
      <c r="K118" s="52"/>
      <c r="L118" s="9">
        <f t="shared" ref="L118:M123" si="72">ABS(H118-H117)</f>
        <v>0.76999664000000223</v>
      </c>
      <c r="M118" s="9">
        <f t="shared" si="72"/>
        <v>0</v>
      </c>
      <c r="N118" s="29">
        <f t="shared" si="43"/>
        <v>83172068.629999995</v>
      </c>
      <c r="O118" s="30">
        <f t="shared" si="44"/>
        <v>18.850074519854797</v>
      </c>
      <c r="P118" s="30">
        <f t="shared" si="45"/>
        <v>18.850074519854797</v>
      </c>
      <c r="Q118" s="29">
        <f t="shared" si="46"/>
        <v>25.009998320000001</v>
      </c>
      <c r="R118" s="30">
        <f t="shared" si="47"/>
        <v>0.76906512834934482</v>
      </c>
      <c r="S118" s="30">
        <f t="shared" si="48"/>
        <v>0.76906512834934482</v>
      </c>
      <c r="T118" s="37">
        <f t="shared" si="49"/>
        <v>3.9999962E-2</v>
      </c>
      <c r="U118" s="30">
        <f t="shared" si="50"/>
        <v>5.7224554084005482E-3</v>
      </c>
      <c r="V118" s="38">
        <f t="shared" si="51"/>
        <v>1.230011114590867E-3</v>
      </c>
      <c r="W118" s="9">
        <f t="shared" si="65"/>
        <v>501965320</v>
      </c>
      <c r="X118" s="12">
        <f t="shared" si="65"/>
        <v>396.87000273000001</v>
      </c>
      <c r="Y118" s="11">
        <f t="shared" si="65"/>
        <v>1.710000038</v>
      </c>
      <c r="Z118" s="7">
        <f t="shared" si="67"/>
        <v>21167472</v>
      </c>
      <c r="AA118" s="7">
        <f t="shared" si="67"/>
        <v>3.0099983200000011</v>
      </c>
      <c r="AB118" s="7">
        <f t="shared" si="67"/>
        <v>0</v>
      </c>
    </row>
    <row r="119" spans="1:28" x14ac:dyDescent="0.25">
      <c r="A119" s="2">
        <v>115</v>
      </c>
      <c r="B119">
        <v>2</v>
      </c>
      <c r="C119">
        <v>0</v>
      </c>
      <c r="D119">
        <v>1</v>
      </c>
      <c r="E119">
        <v>2</v>
      </c>
      <c r="G119">
        <v>80006928</v>
      </c>
      <c r="H119">
        <v>35.450000760000002</v>
      </c>
      <c r="I119">
        <v>2.369999886</v>
      </c>
      <c r="J119" s="9">
        <f t="shared" si="56"/>
        <v>1694376</v>
      </c>
      <c r="K119" s="52"/>
      <c r="L119" s="9">
        <f t="shared" si="72"/>
        <v>0.39999771000000095</v>
      </c>
      <c r="M119" s="9">
        <f t="shared" si="72"/>
        <v>0</v>
      </c>
      <c r="N119" s="29">
        <f t="shared" si="43"/>
        <v>81855207.379999995</v>
      </c>
      <c r="O119" s="30">
        <f t="shared" si="44"/>
        <v>14.762416018874086</v>
      </c>
      <c r="P119" s="30">
        <f t="shared" si="45"/>
        <v>14.762416018874086</v>
      </c>
      <c r="Q119" s="29">
        <f t="shared" si="46"/>
        <v>24.920001030000002</v>
      </c>
      <c r="R119" s="30">
        <f t="shared" si="47"/>
        <v>0.78885728613404249</v>
      </c>
      <c r="S119" s="30">
        <f t="shared" si="48"/>
        <v>0.78885728613404249</v>
      </c>
      <c r="T119" s="37">
        <f t="shared" si="49"/>
        <v>3.9999962E-2</v>
      </c>
      <c r="U119" s="30">
        <f t="shared" si="50"/>
        <v>5.7224554084005482E-3</v>
      </c>
      <c r="V119" s="38">
        <f t="shared" si="51"/>
        <v>1.2662223180006356E-3</v>
      </c>
      <c r="W119" s="9">
        <f t="shared" si="65"/>
        <v>505236592</v>
      </c>
      <c r="X119" s="12">
        <f t="shared" si="65"/>
        <v>395.15000533999995</v>
      </c>
      <c r="Y119" s="11">
        <f t="shared" si="65"/>
        <v>1.710000038</v>
      </c>
      <c r="Z119" s="7">
        <f t="shared" si="67"/>
        <v>20957140</v>
      </c>
      <c r="AA119" s="7">
        <f t="shared" si="67"/>
        <v>3.0100021300000037</v>
      </c>
      <c r="AB119" s="7">
        <f t="shared" si="67"/>
        <v>0</v>
      </c>
    </row>
    <row r="120" spans="1:28" x14ac:dyDescent="0.25">
      <c r="A120" s="2">
        <v>116</v>
      </c>
      <c r="B120">
        <v>2</v>
      </c>
      <c r="C120">
        <v>0</v>
      </c>
      <c r="D120">
        <v>1</v>
      </c>
      <c r="E120">
        <v>3</v>
      </c>
      <c r="G120">
        <v>83735664</v>
      </c>
      <c r="H120">
        <v>36.479999540000001</v>
      </c>
      <c r="I120">
        <v>2.369999886</v>
      </c>
      <c r="J120" s="9">
        <f t="shared" si="56"/>
        <v>3728736</v>
      </c>
      <c r="K120" s="52"/>
      <c r="L120" s="9">
        <f t="shared" si="72"/>
        <v>1.0299987799999997</v>
      </c>
      <c r="M120" s="9">
        <f t="shared" si="72"/>
        <v>0</v>
      </c>
      <c r="N120" s="29">
        <f t="shared" si="43"/>
        <v>84572964.310000002</v>
      </c>
      <c r="O120" s="30">
        <f t="shared" si="44"/>
        <v>33.668909191414649</v>
      </c>
      <c r="P120" s="30">
        <f t="shared" si="45"/>
        <v>33.668909191414649</v>
      </c>
      <c r="Q120" s="29">
        <f t="shared" si="46"/>
        <v>25.119999880000002</v>
      </c>
      <c r="R120" s="30">
        <f t="shared" si="47"/>
        <v>0.73708922041757641</v>
      </c>
      <c r="S120" s="30">
        <f t="shared" si="48"/>
        <v>0.73708922041757641</v>
      </c>
      <c r="T120" s="37">
        <f t="shared" si="49"/>
        <v>3.9999962E-2</v>
      </c>
      <c r="U120" s="30">
        <f t="shared" si="50"/>
        <v>5.7224554084005482E-3</v>
      </c>
      <c r="V120" s="38">
        <f t="shared" si="51"/>
        <v>1.173707840292899E-3</v>
      </c>
      <c r="W120" s="9">
        <f t="shared" si="65"/>
        <v>484361808</v>
      </c>
      <c r="X120" s="12">
        <f t="shared" si="65"/>
        <v>389.62000655999998</v>
      </c>
      <c r="Y120" s="11">
        <f t="shared" si="65"/>
        <v>1.710000038</v>
      </c>
      <c r="Z120" s="7">
        <f t="shared" si="67"/>
        <v>21233416</v>
      </c>
      <c r="AA120" s="7">
        <f t="shared" si="67"/>
        <v>3.0099983200000011</v>
      </c>
      <c r="AB120" s="7">
        <f t="shared" si="67"/>
        <v>0</v>
      </c>
    </row>
    <row r="121" spans="1:28" x14ac:dyDescent="0.25">
      <c r="A121" s="2">
        <v>117</v>
      </c>
      <c r="B121">
        <v>2</v>
      </c>
      <c r="C121">
        <v>0</v>
      </c>
      <c r="D121">
        <v>1</v>
      </c>
      <c r="E121">
        <v>4</v>
      </c>
      <c r="G121">
        <v>79023872</v>
      </c>
      <c r="H121">
        <v>35.490001679999999</v>
      </c>
      <c r="I121">
        <v>2.380000114</v>
      </c>
      <c r="J121" s="9">
        <f t="shared" si="56"/>
        <v>4711792</v>
      </c>
      <c r="K121" s="52"/>
      <c r="L121" s="9">
        <f t="shared" si="72"/>
        <v>0.98999786000000256</v>
      </c>
      <c r="M121" s="9">
        <f t="shared" si="72"/>
        <v>1.0000228E-2</v>
      </c>
      <c r="N121" s="29">
        <f t="shared" si="43"/>
        <v>80686731.25</v>
      </c>
      <c r="O121" s="30">
        <f t="shared" si="44"/>
        <v>16.174295619628261</v>
      </c>
      <c r="P121" s="30">
        <f t="shared" si="45"/>
        <v>16.174295619628261</v>
      </c>
      <c r="Q121" s="29">
        <f t="shared" si="46"/>
        <v>24.790001869999998</v>
      </c>
      <c r="R121" s="30">
        <f t="shared" si="47"/>
        <v>0.77227421527091289</v>
      </c>
      <c r="S121" s="30">
        <f t="shared" si="48"/>
        <v>0.77227421527091289</v>
      </c>
      <c r="T121" s="37">
        <f t="shared" si="49"/>
        <v>5.000019E-2</v>
      </c>
      <c r="U121" s="30">
        <f t="shared" si="50"/>
        <v>7.153103237611951E-3</v>
      </c>
      <c r="V121" s="38">
        <f t="shared" si="51"/>
        <v>1.5576383454160082E-3</v>
      </c>
      <c r="W121" s="9">
        <f t="shared" si="65"/>
        <v>439954304</v>
      </c>
      <c r="X121" s="12">
        <f t="shared" si="65"/>
        <v>364.61998372000005</v>
      </c>
      <c r="Y121" s="11">
        <f t="shared" si="65"/>
        <v>1.69999981</v>
      </c>
      <c r="Z121" s="7">
        <f t="shared" si="67"/>
        <v>19995224</v>
      </c>
      <c r="AA121" s="7">
        <f t="shared" si="67"/>
        <v>2.9600028999999992</v>
      </c>
      <c r="AB121" s="7">
        <f t="shared" si="67"/>
        <v>1.0000228E-2</v>
      </c>
    </row>
    <row r="122" spans="1:28" x14ac:dyDescent="0.25">
      <c r="A122" s="2">
        <v>118</v>
      </c>
      <c r="B122">
        <v>2</v>
      </c>
      <c r="C122">
        <v>0</v>
      </c>
      <c r="D122">
        <v>1</v>
      </c>
      <c r="E122">
        <v>5</v>
      </c>
      <c r="G122">
        <v>73634256</v>
      </c>
      <c r="H122">
        <v>34.97000122</v>
      </c>
      <c r="I122">
        <v>2.380000114</v>
      </c>
      <c r="J122" s="9">
        <f t="shared" si="56"/>
        <v>5389616</v>
      </c>
      <c r="K122" s="52"/>
      <c r="L122" s="9">
        <f t="shared" si="72"/>
        <v>0.52000045999999855</v>
      </c>
      <c r="M122" s="9">
        <f t="shared" si="72"/>
        <v>0</v>
      </c>
      <c r="N122" s="29">
        <f t="shared" si="43"/>
        <v>75889950.25</v>
      </c>
      <c r="O122" s="30">
        <f t="shared" si="44"/>
        <v>11.214573997931383</v>
      </c>
      <c r="P122" s="30">
        <f t="shared" si="45"/>
        <v>11.214573997931383</v>
      </c>
      <c r="Q122" s="29">
        <f t="shared" si="46"/>
        <v>24.820001600000001</v>
      </c>
      <c r="R122" s="30">
        <f t="shared" si="47"/>
        <v>0.81510681540958208</v>
      </c>
      <c r="S122" s="30">
        <f t="shared" si="48"/>
        <v>0.81510681540958208</v>
      </c>
      <c r="T122" s="37">
        <f t="shared" si="49"/>
        <v>5.000019E-2</v>
      </c>
      <c r="U122" s="30">
        <f t="shared" si="50"/>
        <v>7.153103237611951E-3</v>
      </c>
      <c r="V122" s="38">
        <f t="shared" si="51"/>
        <v>1.6420424260074999E-3</v>
      </c>
      <c r="W122" s="9">
        <f t="shared" ref="W122:Y137" si="73">ABS(G122-G101)</f>
        <v>409990544</v>
      </c>
      <c r="X122" s="12">
        <f t="shared" si="73"/>
        <v>333.26998897999999</v>
      </c>
      <c r="Y122" s="11">
        <f t="shared" si="73"/>
        <v>1.69999981</v>
      </c>
      <c r="Z122" s="7">
        <f t="shared" si="67"/>
        <v>18710280</v>
      </c>
      <c r="AA122" s="7">
        <f t="shared" si="67"/>
        <v>2.9500007600000018</v>
      </c>
      <c r="AB122" s="7">
        <f t="shared" si="67"/>
        <v>1.0000228E-2</v>
      </c>
    </row>
    <row r="123" spans="1:28" x14ac:dyDescent="0.25">
      <c r="A123" s="2">
        <v>119</v>
      </c>
      <c r="B123">
        <v>2</v>
      </c>
      <c r="C123">
        <v>0</v>
      </c>
      <c r="D123">
        <v>1</v>
      </c>
      <c r="E123">
        <v>6</v>
      </c>
      <c r="G123">
        <v>61052064</v>
      </c>
      <c r="H123">
        <v>32.47000122</v>
      </c>
      <c r="I123">
        <v>2.380000114</v>
      </c>
      <c r="J123" s="9">
        <f t="shared" si="56"/>
        <v>12582192</v>
      </c>
      <c r="K123" s="52">
        <f t="shared" ref="K123" si="74">AVERAGE(J118:J123)</f>
        <v>5182600</v>
      </c>
      <c r="L123" s="9">
        <f t="shared" si="72"/>
        <v>2.5</v>
      </c>
      <c r="M123" s="9">
        <f t="shared" si="72"/>
        <v>0</v>
      </c>
      <c r="N123" s="29">
        <f t="shared" si="43"/>
        <v>65403017</v>
      </c>
      <c r="O123" s="30">
        <f t="shared" si="44"/>
        <v>5.0106277099905849</v>
      </c>
      <c r="P123" s="30">
        <f t="shared" si="45"/>
        <v>5.0106277099905849</v>
      </c>
      <c r="Q123" s="29">
        <f t="shared" si="46"/>
        <v>24.270001411000003</v>
      </c>
      <c r="R123" s="30">
        <f t="shared" si="47"/>
        <v>0.98658544619160427</v>
      </c>
      <c r="S123" s="30">
        <f t="shared" si="48"/>
        <v>0.98658544619160427</v>
      </c>
      <c r="T123" s="37">
        <f t="shared" si="49"/>
        <v>5.000019E-2</v>
      </c>
      <c r="U123" s="30">
        <f t="shared" si="50"/>
        <v>7.153103237611951E-3</v>
      </c>
      <c r="V123" s="38">
        <f t="shared" si="51"/>
        <v>2.0325280961235206E-3</v>
      </c>
      <c r="W123" s="9">
        <f t="shared" si="73"/>
        <v>332282304</v>
      </c>
      <c r="X123" s="12">
        <f t="shared" si="73"/>
        <v>273.80999757999996</v>
      </c>
      <c r="Y123" s="11">
        <f t="shared" si="73"/>
        <v>1.7100000390000001</v>
      </c>
      <c r="Z123" s="7">
        <f t="shared" si="67"/>
        <v>15946436</v>
      </c>
      <c r="AA123" s="7">
        <f t="shared" si="67"/>
        <v>2.8800010699999987</v>
      </c>
      <c r="AB123" s="7">
        <f t="shared" si="67"/>
        <v>1.0000228E-2</v>
      </c>
    </row>
    <row r="124" spans="1:28" x14ac:dyDescent="0.25">
      <c r="A124" s="2">
        <v>120</v>
      </c>
      <c r="B124">
        <v>2</v>
      </c>
      <c r="C124">
        <v>0</v>
      </c>
      <c r="D124">
        <v>2</v>
      </c>
      <c r="E124">
        <v>0</v>
      </c>
      <c r="G124">
        <v>334719808</v>
      </c>
      <c r="H124">
        <v>65.410003660000001</v>
      </c>
      <c r="I124">
        <v>2.4900000100000002</v>
      </c>
      <c r="K124" s="52"/>
      <c r="N124" s="29">
        <f t="shared" si="43"/>
        <v>256007392</v>
      </c>
      <c r="O124" s="30">
        <f t="shared" si="44"/>
        <v>1.0841465891903679</v>
      </c>
      <c r="P124" s="30">
        <f t="shared" si="45"/>
        <v>2.1682931783807358</v>
      </c>
      <c r="Q124" s="29">
        <f t="shared" si="46"/>
        <v>30.33000183</v>
      </c>
      <c r="R124" s="30">
        <f t="shared" si="47"/>
        <v>0.28819840600333285</v>
      </c>
      <c r="S124" s="30">
        <f t="shared" si="48"/>
        <v>0.5763968120066657</v>
      </c>
      <c r="T124" s="37">
        <f t="shared" si="49"/>
        <v>0.12000012400000015</v>
      </c>
      <c r="U124" s="30">
        <f t="shared" si="50"/>
        <v>1.6877655382863333E-2</v>
      </c>
      <c r="V124" s="38">
        <f t="shared" si="51"/>
        <v>2.280503947928864E-3</v>
      </c>
      <c r="W124" s="9">
        <f t="shared" si="73"/>
        <v>1282907712</v>
      </c>
      <c r="X124" s="12">
        <f t="shared" si="73"/>
        <v>10065.40023766</v>
      </c>
      <c r="Y124" s="11">
        <f t="shared" si="73"/>
        <v>1.8399999139999998</v>
      </c>
      <c r="Z124" s="7">
        <f t="shared" si="67"/>
        <v>73967344</v>
      </c>
      <c r="AA124" s="7">
        <f t="shared" si="67"/>
        <v>4.2200050300000029</v>
      </c>
      <c r="AB124" s="7">
        <f t="shared" si="67"/>
        <v>1.9999981000000222E-2</v>
      </c>
    </row>
    <row r="125" spans="1:28" x14ac:dyDescent="0.25">
      <c r="A125" s="2">
        <v>121</v>
      </c>
      <c r="B125">
        <v>2</v>
      </c>
      <c r="C125">
        <v>0</v>
      </c>
      <c r="D125">
        <v>2</v>
      </c>
      <c r="E125">
        <v>1</v>
      </c>
      <c r="G125">
        <v>343250240</v>
      </c>
      <c r="H125">
        <v>67.559997559999999</v>
      </c>
      <c r="I125">
        <v>2.4900000100000002</v>
      </c>
      <c r="J125" s="9">
        <f t="shared" ref="J125" si="75">ABS(G125-G124)</f>
        <v>8530432</v>
      </c>
      <c r="K125" s="52"/>
      <c r="L125" s="9">
        <f t="shared" ref="L125:M130" si="76">ABS(H125-H124)</f>
        <v>2.1499938999999983</v>
      </c>
      <c r="M125" s="9">
        <f t="shared" si="76"/>
        <v>0</v>
      </c>
      <c r="N125" s="29">
        <f t="shared" si="43"/>
        <v>261548936</v>
      </c>
      <c r="O125" s="30">
        <f t="shared" si="44"/>
        <v>1.0670940902811865</v>
      </c>
      <c r="P125" s="30">
        <f t="shared" si="45"/>
        <v>2.134188180562373</v>
      </c>
      <c r="Q125" s="29">
        <f t="shared" si="46"/>
        <v>31.709999089999997</v>
      </c>
      <c r="R125" s="30">
        <f t="shared" si="47"/>
        <v>0.29483961360589328</v>
      </c>
      <c r="S125" s="30">
        <f t="shared" si="48"/>
        <v>0.58967922721178656</v>
      </c>
      <c r="T125" s="37">
        <f t="shared" si="49"/>
        <v>0.12000012400000015</v>
      </c>
      <c r="U125" s="30">
        <f t="shared" si="50"/>
        <v>1.6877655382863333E-2</v>
      </c>
      <c r="V125" s="38">
        <f t="shared" si="51"/>
        <v>2.231522624292786E-3</v>
      </c>
      <c r="W125" s="9">
        <f t="shared" si="73"/>
        <v>1263776832</v>
      </c>
      <c r="X125" s="12">
        <f t="shared" si="73"/>
        <v>10067.550231560001</v>
      </c>
      <c r="Y125" s="11">
        <f t="shared" si="73"/>
        <v>1.8399999139999998</v>
      </c>
      <c r="Z125" s="7">
        <f t="shared" si="67"/>
        <v>74457792</v>
      </c>
      <c r="AA125" s="7">
        <f t="shared" si="67"/>
        <v>4.3199958800000005</v>
      </c>
      <c r="AB125" s="7">
        <f t="shared" si="67"/>
        <v>1.9999981000000222E-2</v>
      </c>
    </row>
    <row r="126" spans="1:28" x14ac:dyDescent="0.25">
      <c r="A126" s="2">
        <v>122</v>
      </c>
      <c r="B126">
        <v>2</v>
      </c>
      <c r="C126">
        <v>0</v>
      </c>
      <c r="D126">
        <v>2</v>
      </c>
      <c r="E126">
        <v>2</v>
      </c>
      <c r="G126">
        <v>338756512</v>
      </c>
      <c r="H126">
        <v>66.430000309999997</v>
      </c>
      <c r="I126">
        <v>2.4900000100000002</v>
      </c>
      <c r="J126" s="9">
        <f t="shared" si="60"/>
        <v>4493728</v>
      </c>
      <c r="K126" s="52"/>
      <c r="L126" s="9">
        <f t="shared" si="76"/>
        <v>1.1299972500000024</v>
      </c>
      <c r="M126" s="9">
        <f t="shared" si="76"/>
        <v>0</v>
      </c>
      <c r="N126" s="29">
        <f t="shared" si="43"/>
        <v>258749584</v>
      </c>
      <c r="O126" s="30">
        <f t="shared" si="44"/>
        <v>1.0780299092765233</v>
      </c>
      <c r="P126" s="30">
        <f t="shared" si="45"/>
        <v>2.1560598185530466</v>
      </c>
      <c r="Q126" s="29">
        <f t="shared" si="46"/>
        <v>30.979999549999995</v>
      </c>
      <c r="R126" s="30">
        <f t="shared" si="47"/>
        <v>0.29130229323771289</v>
      </c>
      <c r="S126" s="30">
        <f t="shared" si="48"/>
        <v>0.58260458647542579</v>
      </c>
      <c r="T126" s="37">
        <f t="shared" si="49"/>
        <v>0.12000012400000015</v>
      </c>
      <c r="U126" s="30">
        <f t="shared" si="50"/>
        <v>1.6877655382863333E-2</v>
      </c>
      <c r="V126" s="38">
        <f t="shared" si="51"/>
        <v>2.2567018604110959E-3</v>
      </c>
      <c r="W126" s="9">
        <f t="shared" si="73"/>
        <v>1274969440</v>
      </c>
      <c r="X126" s="12">
        <f t="shared" si="73"/>
        <v>10066.420234310001</v>
      </c>
      <c r="Y126" s="11">
        <f t="shared" si="73"/>
        <v>1.8399999139999998</v>
      </c>
      <c r="Z126" s="7">
        <f t="shared" ref="Z126:AB141" si="77">ABS(G126-G21)</f>
        <v>74275968</v>
      </c>
      <c r="AA126" s="7">
        <f t="shared" si="77"/>
        <v>4.2700004599999986</v>
      </c>
      <c r="AB126" s="7">
        <f t="shared" si="77"/>
        <v>1.9999981000000222E-2</v>
      </c>
    </row>
    <row r="127" spans="1:28" x14ac:dyDescent="0.25">
      <c r="A127" s="2">
        <v>123</v>
      </c>
      <c r="B127">
        <v>2</v>
      </c>
      <c r="C127">
        <v>0</v>
      </c>
      <c r="D127">
        <v>2</v>
      </c>
      <c r="E127">
        <v>3</v>
      </c>
      <c r="G127">
        <v>349171808</v>
      </c>
      <c r="H127">
        <v>69.879997250000002</v>
      </c>
      <c r="I127">
        <v>2.4900000100000002</v>
      </c>
      <c r="J127" s="9">
        <f t="shared" si="60"/>
        <v>10415296</v>
      </c>
      <c r="K127" s="52"/>
      <c r="L127" s="9">
        <f t="shared" si="76"/>
        <v>3.4499969400000055</v>
      </c>
      <c r="M127" s="9">
        <f t="shared" si="76"/>
        <v>0</v>
      </c>
      <c r="N127" s="29">
        <f t="shared" si="43"/>
        <v>265436144</v>
      </c>
      <c r="O127" s="30">
        <f t="shared" si="44"/>
        <v>1.0566431367483593</v>
      </c>
      <c r="P127" s="30">
        <f t="shared" si="45"/>
        <v>2.1132862734967186</v>
      </c>
      <c r="Q127" s="29">
        <f t="shared" si="46"/>
        <v>33.399997710000001</v>
      </c>
      <c r="R127" s="30">
        <f t="shared" si="47"/>
        <v>0.30519004140316391</v>
      </c>
      <c r="S127" s="30">
        <f t="shared" si="48"/>
        <v>0.61038008280632783</v>
      </c>
      <c r="T127" s="37">
        <f t="shared" si="49"/>
        <v>0.12000012400000015</v>
      </c>
      <c r="U127" s="30">
        <f t="shared" si="50"/>
        <v>1.6877655382863333E-2</v>
      </c>
      <c r="V127" s="38">
        <f t="shared" si="51"/>
        <v>2.1929847498749931E-3</v>
      </c>
      <c r="W127" s="9">
        <f t="shared" si="73"/>
        <v>1212463008</v>
      </c>
      <c r="X127" s="12">
        <f t="shared" si="73"/>
        <v>10069.870231250001</v>
      </c>
      <c r="Y127" s="11">
        <f t="shared" si="73"/>
        <v>1.8399999139999998</v>
      </c>
      <c r="Z127" s="7">
        <f t="shared" si="77"/>
        <v>73945504</v>
      </c>
      <c r="AA127" s="7">
        <f t="shared" si="77"/>
        <v>4.4399948100000017</v>
      </c>
      <c r="AB127" s="7">
        <f t="shared" si="77"/>
        <v>9.9999909999999304E-3</v>
      </c>
    </row>
    <row r="128" spans="1:28" x14ac:dyDescent="0.25">
      <c r="A128" s="2">
        <v>124</v>
      </c>
      <c r="B128">
        <v>2</v>
      </c>
      <c r="C128">
        <v>0</v>
      </c>
      <c r="D128">
        <v>2</v>
      </c>
      <c r="E128">
        <v>4</v>
      </c>
      <c r="G128">
        <v>332415168</v>
      </c>
      <c r="H128">
        <v>68.61000061</v>
      </c>
      <c r="I128">
        <v>2.4900000100000002</v>
      </c>
      <c r="J128" s="9">
        <f t="shared" si="60"/>
        <v>16756640</v>
      </c>
      <c r="K128" s="52"/>
      <c r="L128" s="9">
        <f t="shared" si="76"/>
        <v>1.2699966400000022</v>
      </c>
      <c r="M128" s="9">
        <f t="shared" si="76"/>
        <v>0</v>
      </c>
      <c r="N128" s="29">
        <f t="shared" si="43"/>
        <v>253391296</v>
      </c>
      <c r="O128" s="30">
        <f t="shared" si="44"/>
        <v>1.0688386078238905</v>
      </c>
      <c r="P128" s="30">
        <f t="shared" si="45"/>
        <v>2.137677215647781</v>
      </c>
      <c r="Q128" s="29">
        <f t="shared" si="46"/>
        <v>33.119998930000001</v>
      </c>
      <c r="R128" s="30">
        <f t="shared" si="47"/>
        <v>0.31107351706761976</v>
      </c>
      <c r="S128" s="30">
        <f t="shared" si="48"/>
        <v>0.62214703413523953</v>
      </c>
      <c r="T128" s="37">
        <f t="shared" si="49"/>
        <v>0.10999989600000015</v>
      </c>
      <c r="U128" s="30">
        <f t="shared" si="50"/>
        <v>1.5406147161218181E-2</v>
      </c>
      <c r="V128" s="38">
        <f t="shared" si="51"/>
        <v>2.0663077072021175E-3</v>
      </c>
      <c r="W128" s="9">
        <f t="shared" si="73"/>
        <v>1091519680</v>
      </c>
      <c r="X128" s="12">
        <f t="shared" si="73"/>
        <v>10068.600234610001</v>
      </c>
      <c r="Y128" s="11">
        <f t="shared" si="73"/>
        <v>1.8399999139999998</v>
      </c>
      <c r="Z128" s="7">
        <f t="shared" si="77"/>
        <v>69260000</v>
      </c>
      <c r="AA128" s="7">
        <f t="shared" si="77"/>
        <v>4.410003660000001</v>
      </c>
      <c r="AB128" s="7">
        <f t="shared" si="77"/>
        <v>9.9999909999999304E-3</v>
      </c>
    </row>
    <row r="129" spans="1:28" x14ac:dyDescent="0.25">
      <c r="A129" s="2">
        <v>125</v>
      </c>
      <c r="B129">
        <v>2</v>
      </c>
      <c r="C129">
        <v>0</v>
      </c>
      <c r="D129">
        <v>2</v>
      </c>
      <c r="E129">
        <v>5</v>
      </c>
      <c r="G129">
        <v>313335904</v>
      </c>
      <c r="H129">
        <v>68.589996339999999</v>
      </c>
      <c r="I129">
        <v>2.4900000100000002</v>
      </c>
      <c r="J129" s="9">
        <f t="shared" si="60"/>
        <v>19079264</v>
      </c>
      <c r="K129" s="52"/>
      <c r="L129" s="9">
        <f t="shared" si="76"/>
        <v>2.0004270000001156E-2</v>
      </c>
      <c r="M129" s="9">
        <f t="shared" si="76"/>
        <v>0</v>
      </c>
      <c r="N129" s="29">
        <f t="shared" si="43"/>
        <v>239701648</v>
      </c>
      <c r="O129" s="30">
        <f t="shared" si="44"/>
        <v>1.0851002464577537</v>
      </c>
      <c r="P129" s="30">
        <f t="shared" si="45"/>
        <v>2.1702004929155074</v>
      </c>
      <c r="Q129" s="29">
        <f t="shared" si="46"/>
        <v>33.619995119999999</v>
      </c>
      <c r="R129" s="30">
        <f t="shared" si="47"/>
        <v>0.32046510291771729</v>
      </c>
      <c r="S129" s="30">
        <f t="shared" si="48"/>
        <v>0.64093020583543459</v>
      </c>
      <c r="T129" s="37">
        <f t="shared" si="49"/>
        <v>0.10999989600000015</v>
      </c>
      <c r="U129" s="30">
        <f t="shared" si="50"/>
        <v>1.5406147161218181E-2</v>
      </c>
      <c r="V129" s="38">
        <f t="shared" si="51"/>
        <v>2.0970334984735267E-3</v>
      </c>
      <c r="W129" s="9">
        <f t="shared" si="73"/>
        <v>1019541664</v>
      </c>
      <c r="X129" s="12">
        <f t="shared" si="73"/>
        <v>10068.580230340001</v>
      </c>
      <c r="Y129" s="11">
        <f t="shared" si="73"/>
        <v>1.8399999139999998</v>
      </c>
      <c r="Z129" s="7">
        <f t="shared" si="77"/>
        <v>64772832</v>
      </c>
      <c r="AA129" s="7">
        <f t="shared" si="77"/>
        <v>4.4199981699999995</v>
      </c>
      <c r="AB129" s="7">
        <f t="shared" si="77"/>
        <v>9.9999909999999304E-3</v>
      </c>
    </row>
    <row r="130" spans="1:28" x14ac:dyDescent="0.25">
      <c r="A130" s="2">
        <v>126</v>
      </c>
      <c r="B130">
        <v>2</v>
      </c>
      <c r="C130">
        <v>0</v>
      </c>
      <c r="D130">
        <v>2</v>
      </c>
      <c r="E130">
        <v>6</v>
      </c>
      <c r="G130">
        <v>269283200</v>
      </c>
      <c r="H130">
        <v>64.800003050000001</v>
      </c>
      <c r="I130">
        <v>2.5</v>
      </c>
      <c r="J130" s="9">
        <f t="shared" si="60"/>
        <v>44052704</v>
      </c>
      <c r="K130" s="52">
        <f t="shared" ref="K130" si="78">AVERAGE(J125:J130)</f>
        <v>17221344</v>
      </c>
      <c r="L130" s="9">
        <f t="shared" si="76"/>
        <v>3.7899932899999982</v>
      </c>
      <c r="M130" s="9">
        <f t="shared" si="76"/>
        <v>9.9999899999998476E-3</v>
      </c>
      <c r="N130" s="29">
        <f t="shared" si="43"/>
        <v>208231136</v>
      </c>
      <c r="O130" s="30">
        <f t="shared" si="44"/>
        <v>1.1369047026267067</v>
      </c>
      <c r="P130" s="30">
        <f t="shared" si="45"/>
        <v>2.2738094052534135</v>
      </c>
      <c r="Q130" s="29">
        <f t="shared" si="46"/>
        <v>32.33000183</v>
      </c>
      <c r="R130" s="30">
        <f t="shared" si="47"/>
        <v>0.33189611554522347</v>
      </c>
      <c r="S130" s="30">
        <f t="shared" si="48"/>
        <v>0.66379223109044694</v>
      </c>
      <c r="T130" s="37">
        <f t="shared" si="49"/>
        <v>0.119999886</v>
      </c>
      <c r="U130" s="30">
        <f t="shared" si="50"/>
        <v>1.6806705917661986E-2</v>
      </c>
      <c r="V130" s="38">
        <f t="shared" si="51"/>
        <v>2.463810317035769E-3</v>
      </c>
      <c r="W130" s="9">
        <f t="shared" si="73"/>
        <v>819645184</v>
      </c>
      <c r="X130" s="12">
        <f t="shared" si="73"/>
        <v>10064.790237050001</v>
      </c>
      <c r="Y130" s="11">
        <f t="shared" si="73"/>
        <v>1.829999924</v>
      </c>
      <c r="Z130" s="7">
        <f t="shared" si="77"/>
        <v>55016352</v>
      </c>
      <c r="AA130" s="7">
        <f t="shared" si="77"/>
        <v>4.2500038100000026</v>
      </c>
      <c r="AB130" s="7">
        <f t="shared" si="77"/>
        <v>1.9999980999999778E-2</v>
      </c>
    </row>
    <row r="131" spans="1:28" x14ac:dyDescent="0.25">
      <c r="A131" s="2">
        <v>127</v>
      </c>
      <c r="B131">
        <v>2</v>
      </c>
      <c r="C131">
        <v>1</v>
      </c>
      <c r="D131">
        <v>0</v>
      </c>
      <c r="E131">
        <v>0</v>
      </c>
      <c r="G131">
        <v>-1881338</v>
      </c>
      <c r="H131">
        <v>10.510000229999999</v>
      </c>
      <c r="I131">
        <v>2.329999924</v>
      </c>
      <c r="K131" s="52"/>
      <c r="N131" s="29">
        <f t="shared" si="43"/>
        <v>336601146</v>
      </c>
      <c r="O131" s="30">
        <f t="shared" si="44"/>
        <v>0.33520687846474861</v>
      </c>
      <c r="P131" s="30">
        <f t="shared" si="45"/>
        <v>1.1173562615491621</v>
      </c>
      <c r="Q131" s="29">
        <f t="shared" si="46"/>
        <v>54.900003429999998</v>
      </c>
      <c r="R131" s="30">
        <f t="shared" si="47"/>
        <v>0.27977373672773975</v>
      </c>
      <c r="S131" s="30">
        <f t="shared" si="48"/>
        <v>0.9325791224257991</v>
      </c>
      <c r="T131" s="37">
        <f t="shared" si="49"/>
        <v>0.16000008600000015</v>
      </c>
      <c r="U131" s="30">
        <f t="shared" si="50"/>
        <v>2.1419020797513993E-2</v>
      </c>
      <c r="V131" s="38">
        <f t="shared" si="51"/>
        <v>2.7179003728148316E-3</v>
      </c>
      <c r="W131" s="9">
        <f t="shared" si="73"/>
        <v>328369.5</v>
      </c>
      <c r="X131" s="12">
        <f t="shared" si="73"/>
        <v>0.30000018999999867</v>
      </c>
      <c r="Y131" s="11">
        <f t="shared" si="73"/>
        <v>0</v>
      </c>
      <c r="Z131" s="7">
        <f t="shared" si="77"/>
        <v>2527309.5</v>
      </c>
      <c r="AA131" s="7">
        <f t="shared" si="77"/>
        <v>2.4499998099999996</v>
      </c>
      <c r="AB131" s="7">
        <f t="shared" si="77"/>
        <v>0</v>
      </c>
    </row>
    <row r="132" spans="1:28" x14ac:dyDescent="0.25">
      <c r="A132" s="2">
        <v>128</v>
      </c>
      <c r="B132">
        <v>2</v>
      </c>
      <c r="C132">
        <v>1</v>
      </c>
      <c r="D132">
        <v>0</v>
      </c>
      <c r="E132">
        <v>1</v>
      </c>
      <c r="G132">
        <v>-1138116.5</v>
      </c>
      <c r="H132">
        <v>11.10999966</v>
      </c>
      <c r="I132">
        <v>2.329999924</v>
      </c>
      <c r="J132" s="9">
        <f t="shared" ref="J132" si="79">ABS(G132-G131)</f>
        <v>743221.5</v>
      </c>
      <c r="K132" s="52"/>
      <c r="L132" s="9">
        <f t="shared" ref="L132:M137" si="80">ABS(H132-H131)</f>
        <v>0.59999943000000044</v>
      </c>
      <c r="M132" s="9">
        <f t="shared" si="80"/>
        <v>0</v>
      </c>
      <c r="N132" s="29">
        <f t="shared" si="43"/>
        <v>344388356.5</v>
      </c>
      <c r="O132" s="30">
        <f t="shared" si="44"/>
        <v>0.33443856829738366</v>
      </c>
      <c r="P132" s="30">
        <f t="shared" si="45"/>
        <v>1.1147952276579456</v>
      </c>
      <c r="Q132" s="29">
        <f t="shared" si="46"/>
        <v>56.4499979</v>
      </c>
      <c r="R132" s="30">
        <f t="shared" si="47"/>
        <v>0.27851786036486453</v>
      </c>
      <c r="S132" s="30">
        <f t="shared" si="48"/>
        <v>0.92839286788288167</v>
      </c>
      <c r="T132" s="37">
        <f t="shared" si="49"/>
        <v>0.16000008600000015</v>
      </c>
      <c r="U132" s="30">
        <f t="shared" si="50"/>
        <v>2.1419020797513993E-2</v>
      </c>
      <c r="V132" s="38">
        <f t="shared" si="51"/>
        <v>2.6314073379805716E-3</v>
      </c>
      <c r="W132" s="9">
        <f t="shared" si="73"/>
        <v>332648.12999999989</v>
      </c>
      <c r="X132" s="12">
        <f t="shared" si="73"/>
        <v>0.26999950999999989</v>
      </c>
      <c r="Y132" s="11">
        <f t="shared" si="73"/>
        <v>0</v>
      </c>
      <c r="Z132" s="7">
        <f t="shared" si="77"/>
        <v>2631412</v>
      </c>
      <c r="AA132" s="7">
        <f t="shared" si="77"/>
        <v>2.3999996219999993</v>
      </c>
      <c r="AB132" s="7">
        <f t="shared" si="77"/>
        <v>0</v>
      </c>
    </row>
    <row r="133" spans="1:28" x14ac:dyDescent="0.25">
      <c r="A133" s="2">
        <v>129</v>
      </c>
      <c r="B133">
        <v>2</v>
      </c>
      <c r="C133">
        <v>1</v>
      </c>
      <c r="D133">
        <v>0</v>
      </c>
      <c r="E133">
        <v>2</v>
      </c>
      <c r="G133">
        <v>-1521047</v>
      </c>
      <c r="H133">
        <v>10.80000019</v>
      </c>
      <c r="I133">
        <v>2.329999924</v>
      </c>
      <c r="J133" s="9">
        <f t="shared" si="56"/>
        <v>382930.5</v>
      </c>
      <c r="K133" s="52"/>
      <c r="L133" s="9">
        <f t="shared" si="80"/>
        <v>0.30999946999999928</v>
      </c>
      <c r="M133" s="9">
        <f t="shared" si="80"/>
        <v>0</v>
      </c>
      <c r="N133" s="29">
        <f t="shared" si="43"/>
        <v>340277559</v>
      </c>
      <c r="O133" s="30">
        <f t="shared" si="44"/>
        <v>0.33483002977666748</v>
      </c>
      <c r="P133" s="30">
        <f t="shared" si="45"/>
        <v>1.1161000992555581</v>
      </c>
      <c r="Q133" s="29">
        <f t="shared" si="46"/>
        <v>55.630000119999998</v>
      </c>
      <c r="R133" s="30">
        <f t="shared" si="47"/>
        <v>0.27914094967333491</v>
      </c>
      <c r="S133" s="30">
        <f t="shared" si="48"/>
        <v>0.93046983224444968</v>
      </c>
      <c r="T133" s="37">
        <f t="shared" si="49"/>
        <v>0.16000008600000015</v>
      </c>
      <c r="U133" s="30">
        <f t="shared" si="50"/>
        <v>2.1419020797513993E-2</v>
      </c>
      <c r="V133" s="38">
        <f t="shared" si="51"/>
        <v>2.6761684856799832E-3</v>
      </c>
      <c r="W133" s="9">
        <f t="shared" si="73"/>
        <v>327232.37999999989</v>
      </c>
      <c r="X133" s="12">
        <f t="shared" si="73"/>
        <v>0.27000046000000033</v>
      </c>
      <c r="Y133" s="11">
        <f t="shared" si="73"/>
        <v>0</v>
      </c>
      <c r="Z133" s="7">
        <f t="shared" si="77"/>
        <v>2573668.75</v>
      </c>
      <c r="AA133" s="7">
        <f t="shared" si="77"/>
        <v>2.4099998469999999</v>
      </c>
      <c r="AB133" s="7">
        <f t="shared" si="77"/>
        <v>0</v>
      </c>
    </row>
    <row r="134" spans="1:28" x14ac:dyDescent="0.25">
      <c r="A134" s="2">
        <v>130</v>
      </c>
      <c r="B134">
        <v>2</v>
      </c>
      <c r="C134">
        <v>1</v>
      </c>
      <c r="D134">
        <v>0</v>
      </c>
      <c r="E134">
        <v>3</v>
      </c>
      <c r="G134">
        <v>-510412.94</v>
      </c>
      <c r="H134">
        <v>11.630000109999999</v>
      </c>
      <c r="I134">
        <v>2.329999924</v>
      </c>
      <c r="J134" s="9">
        <f t="shared" si="56"/>
        <v>1010634.06</v>
      </c>
      <c r="K134" s="52"/>
      <c r="L134" s="9">
        <f t="shared" si="80"/>
        <v>0.82999991999999878</v>
      </c>
      <c r="M134" s="9">
        <f t="shared" si="80"/>
        <v>0</v>
      </c>
      <c r="N134" s="29">
        <f t="shared" si="43"/>
        <v>349682220.94</v>
      </c>
      <c r="O134" s="30">
        <f t="shared" si="44"/>
        <v>0.3338205938817756</v>
      </c>
      <c r="P134" s="30">
        <f t="shared" si="45"/>
        <v>1.1127353129392521</v>
      </c>
      <c r="Q134" s="29">
        <f t="shared" si="46"/>
        <v>58.249997140000005</v>
      </c>
      <c r="R134" s="30">
        <f t="shared" si="47"/>
        <v>0.27785727643733321</v>
      </c>
      <c r="S134" s="30">
        <f t="shared" si="48"/>
        <v>0.92619092145777726</v>
      </c>
      <c r="T134" s="37">
        <f t="shared" si="49"/>
        <v>0.16000008600000015</v>
      </c>
      <c r="U134" s="30">
        <f t="shared" si="50"/>
        <v>2.1419020797513993E-2</v>
      </c>
      <c r="V134" s="38">
        <f t="shared" si="51"/>
        <v>2.5440452250924134E-3</v>
      </c>
      <c r="W134" s="9">
        <f t="shared" si="73"/>
        <v>326887.37000000005</v>
      </c>
      <c r="X134" s="12">
        <f t="shared" si="73"/>
        <v>0.2700004499999995</v>
      </c>
      <c r="Y134" s="11">
        <f t="shared" si="73"/>
        <v>0</v>
      </c>
      <c r="Z134" s="7">
        <f t="shared" si="77"/>
        <v>2712233.31</v>
      </c>
      <c r="AA134" s="7">
        <f t="shared" si="77"/>
        <v>2.3900003389999984</v>
      </c>
      <c r="AB134" s="7">
        <f t="shared" si="77"/>
        <v>0</v>
      </c>
    </row>
    <row r="135" spans="1:28" x14ac:dyDescent="0.25">
      <c r="A135" s="2">
        <v>131</v>
      </c>
      <c r="B135">
        <v>2</v>
      </c>
      <c r="C135">
        <v>1</v>
      </c>
      <c r="D135">
        <v>0</v>
      </c>
      <c r="E135">
        <v>4</v>
      </c>
      <c r="G135">
        <v>-1349674.25</v>
      </c>
      <c r="H135">
        <v>10.93999958</v>
      </c>
      <c r="I135">
        <v>2.329999924</v>
      </c>
      <c r="J135" s="9">
        <f t="shared" si="56"/>
        <v>839261.31</v>
      </c>
      <c r="K135" s="52"/>
      <c r="L135" s="9">
        <f t="shared" si="80"/>
        <v>0.69000052999999895</v>
      </c>
      <c r="M135" s="9">
        <f t="shared" si="80"/>
        <v>0</v>
      </c>
      <c r="N135" s="29">
        <f t="shared" si="43"/>
        <v>333764842.25</v>
      </c>
      <c r="O135" s="30">
        <f t="shared" si="44"/>
        <v>0.33468673552425465</v>
      </c>
      <c r="P135" s="30">
        <f t="shared" si="45"/>
        <v>1.1156224517475155</v>
      </c>
      <c r="Q135" s="29">
        <f t="shared" si="46"/>
        <v>57.670001030000002</v>
      </c>
      <c r="R135" s="30">
        <f t="shared" si="47"/>
        <v>0.28018267753614973</v>
      </c>
      <c r="S135" s="30">
        <f t="shared" si="48"/>
        <v>0.9339422584538325</v>
      </c>
      <c r="T135" s="37">
        <f t="shared" si="49"/>
        <v>0.16000008600000015</v>
      </c>
      <c r="U135" s="30">
        <f t="shared" si="50"/>
        <v>2.1419020797513993E-2</v>
      </c>
      <c r="V135" s="38">
        <f t="shared" si="51"/>
        <v>2.5911364488083407E-3</v>
      </c>
      <c r="W135" s="9">
        <f t="shared" si="73"/>
        <v>313185</v>
      </c>
      <c r="X135" s="12">
        <f t="shared" si="73"/>
        <v>0.23999977000000072</v>
      </c>
      <c r="Y135" s="11">
        <f t="shared" si="73"/>
        <v>0</v>
      </c>
      <c r="Z135" s="7">
        <f t="shared" si="77"/>
        <v>2602578.75</v>
      </c>
      <c r="AA135" s="7">
        <f t="shared" si="77"/>
        <v>2.3699998850000004</v>
      </c>
      <c r="AB135" s="7">
        <f t="shared" si="77"/>
        <v>0</v>
      </c>
    </row>
    <row r="136" spans="1:28" x14ac:dyDescent="0.25">
      <c r="A136" s="2">
        <v>132</v>
      </c>
      <c r="B136">
        <v>2</v>
      </c>
      <c r="C136">
        <v>1</v>
      </c>
      <c r="D136">
        <v>0</v>
      </c>
      <c r="E136">
        <v>5</v>
      </c>
      <c r="G136">
        <v>-1982487.88</v>
      </c>
      <c r="H136">
        <v>10.40999985</v>
      </c>
      <c r="I136">
        <v>2.329999924</v>
      </c>
      <c r="J136" s="9">
        <f t="shared" si="56"/>
        <v>632813.62999999989</v>
      </c>
      <c r="K136" s="52"/>
      <c r="L136" s="9">
        <f t="shared" si="80"/>
        <v>0.52999973000000011</v>
      </c>
      <c r="M136" s="9">
        <f t="shared" si="80"/>
        <v>0</v>
      </c>
      <c r="N136" s="29">
        <f t="shared" si="43"/>
        <v>315318391.88</v>
      </c>
      <c r="O136" s="30">
        <f t="shared" si="44"/>
        <v>0.33544234569003195</v>
      </c>
      <c r="P136" s="30">
        <f t="shared" si="45"/>
        <v>1.1181411523001066</v>
      </c>
      <c r="Q136" s="29">
        <f t="shared" si="46"/>
        <v>58.179996490000001</v>
      </c>
      <c r="R136" s="30">
        <f t="shared" si="47"/>
        <v>0.28274286628039397</v>
      </c>
      <c r="S136" s="30">
        <f t="shared" si="48"/>
        <v>0.94247622093464656</v>
      </c>
      <c r="T136" s="37">
        <f t="shared" si="49"/>
        <v>0.16000008600000015</v>
      </c>
      <c r="U136" s="30">
        <f t="shared" si="50"/>
        <v>2.1419020797513993E-2</v>
      </c>
      <c r="V136" s="38">
        <f t="shared" si="51"/>
        <v>2.5918921536617406E-3</v>
      </c>
      <c r="W136" s="9">
        <f t="shared" si="73"/>
        <v>273206.37000000011</v>
      </c>
      <c r="X136" s="12">
        <f t="shared" si="73"/>
        <v>0.26000023000000105</v>
      </c>
      <c r="Y136" s="11">
        <f t="shared" si="73"/>
        <v>0</v>
      </c>
      <c r="Z136" s="7">
        <f t="shared" si="77"/>
        <v>2457768.62</v>
      </c>
      <c r="AA136" s="7">
        <f t="shared" si="77"/>
        <v>2.4200000790000002</v>
      </c>
      <c r="AB136" s="7">
        <f t="shared" si="77"/>
        <v>0</v>
      </c>
    </row>
    <row r="137" spans="1:28" x14ac:dyDescent="0.25">
      <c r="A137" s="2">
        <v>133</v>
      </c>
      <c r="B137">
        <v>2</v>
      </c>
      <c r="C137">
        <v>1</v>
      </c>
      <c r="D137">
        <v>0</v>
      </c>
      <c r="E137">
        <v>6</v>
      </c>
      <c r="G137">
        <v>-4122130.5</v>
      </c>
      <c r="H137">
        <v>8.4499998089999995</v>
      </c>
      <c r="I137">
        <v>2.329999924</v>
      </c>
      <c r="J137" s="9">
        <f t="shared" si="56"/>
        <v>2139642.62</v>
      </c>
      <c r="K137" s="52">
        <f t="shared" ref="K137" si="81">AVERAGE(J132:J137)</f>
        <v>958083.93666666665</v>
      </c>
      <c r="L137" s="9">
        <f t="shared" si="80"/>
        <v>1.9600000410000007</v>
      </c>
      <c r="M137" s="9">
        <f t="shared" si="80"/>
        <v>0</v>
      </c>
      <c r="N137" s="29">
        <f t="shared" si="43"/>
        <v>273405330.5</v>
      </c>
      <c r="O137" s="30">
        <f t="shared" si="44"/>
        <v>0.33843592978197923</v>
      </c>
      <c r="P137" s="30">
        <f t="shared" si="45"/>
        <v>1.1281197659399307</v>
      </c>
      <c r="Q137" s="29">
        <f t="shared" si="46"/>
        <v>56.350003241000003</v>
      </c>
      <c r="R137" s="30">
        <f t="shared" si="47"/>
        <v>0.28986625817244721</v>
      </c>
      <c r="S137" s="30">
        <f t="shared" si="48"/>
        <v>0.96622086057482404</v>
      </c>
      <c r="T137" s="37">
        <f t="shared" si="49"/>
        <v>0.170000076</v>
      </c>
      <c r="U137" s="30">
        <f t="shared" si="50"/>
        <v>2.2666676799999997E-2</v>
      </c>
      <c r="V137" s="38">
        <f t="shared" si="51"/>
        <v>2.9149531549803424E-3</v>
      </c>
      <c r="W137" s="9">
        <f t="shared" si="73"/>
        <v>228822.5</v>
      </c>
      <c r="X137" s="12">
        <f t="shared" si="73"/>
        <v>0.25</v>
      </c>
      <c r="Y137" s="11">
        <f t="shared" si="73"/>
        <v>0</v>
      </c>
      <c r="Z137" s="7">
        <f t="shared" si="77"/>
        <v>2139067</v>
      </c>
      <c r="AA137" s="7">
        <f t="shared" si="77"/>
        <v>97.519999499000008</v>
      </c>
      <c r="AB137" s="7">
        <f t="shared" si="77"/>
        <v>0</v>
      </c>
    </row>
    <row r="138" spans="1:28" x14ac:dyDescent="0.25">
      <c r="A138" s="2">
        <v>134</v>
      </c>
      <c r="B138">
        <v>2</v>
      </c>
      <c r="C138">
        <v>1</v>
      </c>
      <c r="D138">
        <v>1</v>
      </c>
      <c r="E138">
        <v>0</v>
      </c>
      <c r="G138">
        <v>86522368</v>
      </c>
      <c r="H138">
        <v>36.83000183</v>
      </c>
      <c r="I138">
        <v>2.369999886</v>
      </c>
      <c r="K138" s="52"/>
      <c r="N138" s="29">
        <f t="shared" si="43"/>
        <v>88403706</v>
      </c>
      <c r="O138" s="30">
        <f t="shared" si="44"/>
        <v>15.663268376017493</v>
      </c>
      <c r="P138" s="30">
        <f t="shared" si="45"/>
        <v>15.663268376017493</v>
      </c>
      <c r="Q138" s="29">
        <f t="shared" si="46"/>
        <v>26.320001600000001</v>
      </c>
      <c r="R138" s="30">
        <f t="shared" si="47"/>
        <v>0.83476057798969883</v>
      </c>
      <c r="S138" s="30">
        <f t="shared" si="48"/>
        <v>0.83476057798969883</v>
      </c>
      <c r="T138" s="37">
        <f t="shared" si="49"/>
        <v>3.9999962E-2</v>
      </c>
      <c r="U138" s="30">
        <f t="shared" si="50"/>
        <v>5.7224554084005482E-3</v>
      </c>
      <c r="V138" s="38">
        <f t="shared" si="51"/>
        <v>1.268631814926865E-3</v>
      </c>
      <c r="W138" s="9">
        <f t="shared" ref="W138:Y153" si="82">ABS(G138-G117)</f>
        <v>7809952</v>
      </c>
      <c r="X138" s="12">
        <f t="shared" si="82"/>
        <v>1.75</v>
      </c>
      <c r="Y138" s="11">
        <f t="shared" si="82"/>
        <v>0</v>
      </c>
      <c r="Z138" s="7">
        <f t="shared" si="77"/>
        <v>23037892</v>
      </c>
      <c r="AA138" s="7">
        <f t="shared" si="77"/>
        <v>3.2600021399999974</v>
      </c>
      <c r="AB138" s="7">
        <f t="shared" si="77"/>
        <v>0</v>
      </c>
    </row>
    <row r="139" spans="1:28" x14ac:dyDescent="0.25">
      <c r="A139" s="2">
        <v>135</v>
      </c>
      <c r="B139">
        <v>2</v>
      </c>
      <c r="C139">
        <v>1</v>
      </c>
      <c r="D139">
        <v>1</v>
      </c>
      <c r="E139">
        <v>1</v>
      </c>
      <c r="G139">
        <v>89549272</v>
      </c>
      <c r="H139">
        <v>37.619998930000001</v>
      </c>
      <c r="I139">
        <v>2.369999886</v>
      </c>
      <c r="J139" s="9">
        <f t="shared" ref="J139" si="83">ABS(G139-G138)</f>
        <v>3026904</v>
      </c>
      <c r="K139" s="52"/>
      <c r="L139" s="9">
        <f t="shared" ref="L139:M144" si="84">ABS(H139-H138)</f>
        <v>0.78999710000000078</v>
      </c>
      <c r="M139" s="9">
        <f t="shared" si="84"/>
        <v>0</v>
      </c>
      <c r="N139" s="29">
        <f t="shared" si="43"/>
        <v>90687388.5</v>
      </c>
      <c r="O139" s="30">
        <f t="shared" si="44"/>
        <v>26.560663605175744</v>
      </c>
      <c r="P139" s="30">
        <f t="shared" si="45"/>
        <v>26.560663605175744</v>
      </c>
      <c r="Q139" s="29">
        <f t="shared" si="46"/>
        <v>26.509999270000002</v>
      </c>
      <c r="R139" s="30">
        <f t="shared" si="47"/>
        <v>0.79537954039265324</v>
      </c>
      <c r="S139" s="30">
        <f t="shared" si="48"/>
        <v>0.79537954039265324</v>
      </c>
      <c r="T139" s="37">
        <f t="shared" si="49"/>
        <v>3.9999962E-2</v>
      </c>
      <c r="U139" s="30">
        <f t="shared" si="50"/>
        <v>5.7224554084005482E-3</v>
      </c>
      <c r="V139" s="38">
        <f t="shared" si="51"/>
        <v>1.2001189086145001E-3</v>
      </c>
      <c r="W139" s="9">
        <f t="shared" si="82"/>
        <v>7847968</v>
      </c>
      <c r="X139" s="12">
        <f t="shared" si="82"/>
        <v>1.7700004599999986</v>
      </c>
      <c r="Y139" s="11">
        <f t="shared" si="82"/>
        <v>0</v>
      </c>
      <c r="Z139" s="7">
        <f t="shared" si="77"/>
        <v>23370524</v>
      </c>
      <c r="AA139" s="7">
        <f t="shared" si="77"/>
        <v>3.2700004599999986</v>
      </c>
      <c r="AB139" s="7">
        <f t="shared" si="77"/>
        <v>0</v>
      </c>
    </row>
    <row r="140" spans="1:28" x14ac:dyDescent="0.25">
      <c r="A140" s="2">
        <v>136</v>
      </c>
      <c r="B140">
        <v>2</v>
      </c>
      <c r="C140">
        <v>1</v>
      </c>
      <c r="D140">
        <v>1</v>
      </c>
      <c r="E140">
        <v>2</v>
      </c>
      <c r="G140">
        <v>87834336</v>
      </c>
      <c r="H140">
        <v>37.200000760000002</v>
      </c>
      <c r="I140">
        <v>2.369999886</v>
      </c>
      <c r="J140" s="9">
        <f t="shared" si="60"/>
        <v>1714936</v>
      </c>
      <c r="K140" s="52"/>
      <c r="L140" s="9">
        <f t="shared" si="84"/>
        <v>0.4199981699999995</v>
      </c>
      <c r="M140" s="9">
        <f t="shared" si="84"/>
        <v>0</v>
      </c>
      <c r="N140" s="29">
        <f t="shared" si="43"/>
        <v>89355383</v>
      </c>
      <c r="O140" s="30">
        <f t="shared" si="44"/>
        <v>19.581990343931952</v>
      </c>
      <c r="P140" s="30">
        <f t="shared" si="45"/>
        <v>19.581990343931952</v>
      </c>
      <c r="Q140" s="29">
        <f t="shared" si="46"/>
        <v>26.400000570000003</v>
      </c>
      <c r="R140" s="30">
        <f t="shared" si="47"/>
        <v>0.81481481807270228</v>
      </c>
      <c r="S140" s="30">
        <f t="shared" si="48"/>
        <v>0.81481481807270228</v>
      </c>
      <c r="T140" s="37">
        <f t="shared" si="49"/>
        <v>3.9999962E-2</v>
      </c>
      <c r="U140" s="30">
        <f t="shared" si="50"/>
        <v>5.7224554084005482E-3</v>
      </c>
      <c r="V140" s="38">
        <f t="shared" si="51"/>
        <v>1.2345667066758325E-3</v>
      </c>
      <c r="W140" s="9">
        <f t="shared" si="82"/>
        <v>7827408</v>
      </c>
      <c r="X140" s="12">
        <f t="shared" si="82"/>
        <v>1.75</v>
      </c>
      <c r="Y140" s="11">
        <f t="shared" si="82"/>
        <v>0</v>
      </c>
      <c r="Z140" s="7">
        <f t="shared" si="77"/>
        <v>23166280</v>
      </c>
      <c r="AA140" s="7">
        <f t="shared" si="77"/>
        <v>3.2700004500000048</v>
      </c>
      <c r="AB140" s="7">
        <f t="shared" si="77"/>
        <v>0</v>
      </c>
    </row>
    <row r="141" spans="1:28" x14ac:dyDescent="0.25">
      <c r="A141" s="2">
        <v>137</v>
      </c>
      <c r="B141">
        <v>2</v>
      </c>
      <c r="C141">
        <v>1</v>
      </c>
      <c r="D141">
        <v>1</v>
      </c>
      <c r="E141">
        <v>3</v>
      </c>
      <c r="G141">
        <v>91467216</v>
      </c>
      <c r="H141">
        <v>38.25</v>
      </c>
      <c r="I141">
        <v>2.369999886</v>
      </c>
      <c r="J141" s="9">
        <f t="shared" si="60"/>
        <v>3632880</v>
      </c>
      <c r="K141" s="52"/>
      <c r="L141" s="9">
        <f t="shared" si="84"/>
        <v>1.0499992399999982</v>
      </c>
      <c r="M141" s="9">
        <f t="shared" si="84"/>
        <v>0</v>
      </c>
      <c r="N141" s="29">
        <f t="shared" ref="N141:N204" si="85">ABS(G141-G134)</f>
        <v>91977628.939999998</v>
      </c>
      <c r="O141" s="30">
        <f t="shared" ref="O141:O204" si="86">(N141/ABS(G134))/3</f>
        <v>60.067461547245777</v>
      </c>
      <c r="P141" s="30">
        <f t="shared" ref="P141:P204" si="87">(N141/ABS(G134))/(IF(AND(D141=1,D134=0),(2400-600)/600,IF(AND(D141=2,D134=1),(6000-2400)/2400,IF(AND(D141=0,D134=2),ABS(600-6000)/6000,"Not Valid"))))</f>
        <v>60.067461547245777</v>
      </c>
      <c r="Q141" s="29">
        <f t="shared" ref="Q141:Q204" si="88">ABS(H141-H134)</f>
        <v>26.619999890000003</v>
      </c>
      <c r="R141" s="30">
        <f t="shared" ref="R141:R204" si="89">(Q141/ABS(H134))/3</f>
        <v>0.76296932181771648</v>
      </c>
      <c r="S141" s="30">
        <f t="shared" ref="S141:S204" si="90">(Q141/ABS(H134))/(IF(AND(D141=1,D134=0),(2400-600)/600,IF(AND(D141=2,D134=1),(6000-2400)/2400,IF(AND(D141=0,D134=2),ABS(600-6000)/6000,"Not Valid"))))</f>
        <v>0.76296932181771648</v>
      </c>
      <c r="T141" s="37">
        <f t="shared" ref="T141:T204" si="91">ABS(I141-I134)</f>
        <v>3.9999962E-2</v>
      </c>
      <c r="U141" s="30">
        <f t="shared" ref="U141:U204" si="92">(T141/ABS(I134))/3</f>
        <v>5.7224554084005482E-3</v>
      </c>
      <c r="V141" s="38">
        <f t="shared" ref="V141:V204" si="93">(T141/ABS(H134))/(IF(AND(D141=1,D134=0),(2400-600)/600,IF(AND(D141=2,D134=1),(6000-2400)/2400,IF(AND(D141=0,D134=2),ABS(600-6000)/6000,"Not Valid"))))</f>
        <v>1.1464592038311397E-3</v>
      </c>
      <c r="W141" s="9">
        <f t="shared" si="82"/>
        <v>7731552</v>
      </c>
      <c r="X141" s="12">
        <f t="shared" si="82"/>
        <v>1.7700004599999986</v>
      </c>
      <c r="Y141" s="11">
        <f t="shared" si="82"/>
        <v>0</v>
      </c>
      <c r="Z141" s="7">
        <f t="shared" si="77"/>
        <v>23394968</v>
      </c>
      <c r="AA141" s="7">
        <f t="shared" si="77"/>
        <v>3.2799987799999997</v>
      </c>
      <c r="AB141" s="7">
        <f t="shared" si="77"/>
        <v>0</v>
      </c>
    </row>
    <row r="142" spans="1:28" x14ac:dyDescent="0.25">
      <c r="A142" s="2">
        <v>138</v>
      </c>
      <c r="B142">
        <v>2</v>
      </c>
      <c r="C142">
        <v>1</v>
      </c>
      <c r="D142">
        <v>1</v>
      </c>
      <c r="E142">
        <v>4</v>
      </c>
      <c r="G142">
        <v>86112464</v>
      </c>
      <c r="H142">
        <v>37.180000309999997</v>
      </c>
      <c r="I142">
        <v>2.380000114</v>
      </c>
      <c r="J142" s="9">
        <f t="shared" si="60"/>
        <v>5354752</v>
      </c>
      <c r="K142" s="52"/>
      <c r="L142" s="9">
        <f t="shared" si="84"/>
        <v>1.0699996900000031</v>
      </c>
      <c r="M142" s="9">
        <f t="shared" si="84"/>
        <v>1.0000228E-2</v>
      </c>
      <c r="N142" s="29">
        <f t="shared" si="85"/>
        <v>87462138.25</v>
      </c>
      <c r="O142" s="30">
        <f t="shared" si="86"/>
        <v>21.600801884849869</v>
      </c>
      <c r="P142" s="30">
        <f t="shared" si="87"/>
        <v>21.600801884849869</v>
      </c>
      <c r="Q142" s="29">
        <f t="shared" si="88"/>
        <v>26.240000729999998</v>
      </c>
      <c r="R142" s="30">
        <f t="shared" si="89"/>
        <v>0.79951254531949434</v>
      </c>
      <c r="S142" s="30">
        <f t="shared" si="90"/>
        <v>0.79951254531949434</v>
      </c>
      <c r="T142" s="37">
        <f t="shared" si="91"/>
        <v>5.000019E-2</v>
      </c>
      <c r="U142" s="30">
        <f t="shared" si="92"/>
        <v>7.153103237611951E-3</v>
      </c>
      <c r="V142" s="38">
        <f t="shared" si="93"/>
        <v>1.5234671517236019E-3</v>
      </c>
      <c r="W142" s="9">
        <f t="shared" si="82"/>
        <v>7088592</v>
      </c>
      <c r="X142" s="12">
        <f t="shared" si="82"/>
        <v>1.6899986299999981</v>
      </c>
      <c r="Y142" s="11">
        <f t="shared" si="82"/>
        <v>0</v>
      </c>
      <c r="Z142" s="7">
        <f t="shared" ref="Z142:AB157" si="94">ABS(G142-G37)</f>
        <v>21920680</v>
      </c>
      <c r="AA142" s="7">
        <f t="shared" si="94"/>
        <v>3.2299995499999952</v>
      </c>
      <c r="AB142" s="7">
        <f t="shared" si="94"/>
        <v>1.0000228E-2</v>
      </c>
    </row>
    <row r="143" spans="1:28" x14ac:dyDescent="0.25">
      <c r="A143" s="2">
        <v>139</v>
      </c>
      <c r="B143">
        <v>2</v>
      </c>
      <c r="C143">
        <v>1</v>
      </c>
      <c r="D143">
        <v>1</v>
      </c>
      <c r="E143">
        <v>5</v>
      </c>
      <c r="G143">
        <v>80276064</v>
      </c>
      <c r="H143">
        <v>36.659999849999998</v>
      </c>
      <c r="I143">
        <v>2.380000114</v>
      </c>
      <c r="J143" s="9">
        <f t="shared" si="60"/>
        <v>5836400</v>
      </c>
      <c r="K143" s="52"/>
      <c r="L143" s="9">
        <f t="shared" si="84"/>
        <v>0.52000045999999855</v>
      </c>
      <c r="M143" s="9">
        <f t="shared" si="84"/>
        <v>0</v>
      </c>
      <c r="N143" s="29">
        <f t="shared" si="85"/>
        <v>82258551.879999995</v>
      </c>
      <c r="O143" s="30">
        <f t="shared" si="86"/>
        <v>13.830862508644104</v>
      </c>
      <c r="P143" s="30">
        <f t="shared" si="87"/>
        <v>13.830862508644104</v>
      </c>
      <c r="Q143" s="29">
        <f t="shared" si="88"/>
        <v>26.25</v>
      </c>
      <c r="R143" s="30">
        <f t="shared" si="89"/>
        <v>0.84053795639583984</v>
      </c>
      <c r="S143" s="30">
        <f t="shared" si="90"/>
        <v>0.84053795639583984</v>
      </c>
      <c r="T143" s="37">
        <f t="shared" si="91"/>
        <v>5.000019E-2</v>
      </c>
      <c r="U143" s="30">
        <f t="shared" si="92"/>
        <v>7.153103237611951E-3</v>
      </c>
      <c r="V143" s="38">
        <f t="shared" si="93"/>
        <v>1.6010307627429986E-3</v>
      </c>
      <c r="W143" s="9">
        <f t="shared" si="82"/>
        <v>6641808</v>
      </c>
      <c r="X143" s="12">
        <f t="shared" si="82"/>
        <v>1.6899986299999981</v>
      </c>
      <c r="Y143" s="11">
        <f t="shared" si="82"/>
        <v>0</v>
      </c>
      <c r="Z143" s="7">
        <f t="shared" si="94"/>
        <v>20535056</v>
      </c>
      <c r="AA143" s="7">
        <f t="shared" si="94"/>
        <v>3.2000007699999955</v>
      </c>
      <c r="AB143" s="7">
        <f t="shared" si="94"/>
        <v>1.0000228E-2</v>
      </c>
    </row>
    <row r="144" spans="1:28" x14ac:dyDescent="0.25">
      <c r="A144" s="2">
        <v>140</v>
      </c>
      <c r="B144">
        <v>2</v>
      </c>
      <c r="C144">
        <v>1</v>
      </c>
      <c r="D144">
        <v>1</v>
      </c>
      <c r="E144">
        <v>6</v>
      </c>
      <c r="G144">
        <v>66540980</v>
      </c>
      <c r="H144">
        <v>33.97000122</v>
      </c>
      <c r="I144">
        <v>2.380000114</v>
      </c>
      <c r="J144" s="9">
        <f t="shared" si="60"/>
        <v>13735084</v>
      </c>
      <c r="K144" s="52">
        <f t="shared" ref="K144" si="95">AVERAGE(J139:J144)</f>
        <v>5550159.333333333</v>
      </c>
      <c r="L144" s="9">
        <f t="shared" si="84"/>
        <v>2.6899986299999981</v>
      </c>
      <c r="M144" s="9">
        <f t="shared" si="84"/>
        <v>0</v>
      </c>
      <c r="N144" s="29">
        <f t="shared" si="85"/>
        <v>70663110.5</v>
      </c>
      <c r="O144" s="30">
        <f t="shared" si="86"/>
        <v>5.7141252967771559</v>
      </c>
      <c r="P144" s="30">
        <f t="shared" si="87"/>
        <v>5.7141252967771559</v>
      </c>
      <c r="Q144" s="29">
        <f t="shared" si="88"/>
        <v>25.520001411000003</v>
      </c>
      <c r="R144" s="30">
        <f t="shared" si="89"/>
        <v>1.006706192814306</v>
      </c>
      <c r="S144" s="30">
        <f t="shared" si="90"/>
        <v>1.006706192814306</v>
      </c>
      <c r="T144" s="37">
        <f t="shared" si="91"/>
        <v>5.000019E-2</v>
      </c>
      <c r="U144" s="30">
        <f t="shared" si="92"/>
        <v>7.153103237611951E-3</v>
      </c>
      <c r="V144" s="38">
        <f t="shared" si="93"/>
        <v>1.9723941274233468E-3</v>
      </c>
      <c r="W144" s="9">
        <f t="shared" si="82"/>
        <v>5488916</v>
      </c>
      <c r="X144" s="12">
        <f t="shared" si="82"/>
        <v>1.5</v>
      </c>
      <c r="Y144" s="11">
        <f t="shared" si="82"/>
        <v>0</v>
      </c>
      <c r="Z144" s="7">
        <f t="shared" si="94"/>
        <v>17458440</v>
      </c>
      <c r="AA144" s="7">
        <f t="shared" si="94"/>
        <v>3.1000003800000009</v>
      </c>
      <c r="AB144" s="7">
        <f t="shared" si="94"/>
        <v>1.0000228E-2</v>
      </c>
    </row>
    <row r="145" spans="1:28" x14ac:dyDescent="0.25">
      <c r="A145" s="2">
        <v>141</v>
      </c>
      <c r="B145">
        <v>2</v>
      </c>
      <c r="C145">
        <v>1</v>
      </c>
      <c r="D145">
        <v>2</v>
      </c>
      <c r="E145">
        <v>0</v>
      </c>
      <c r="G145">
        <v>367135040</v>
      </c>
      <c r="H145">
        <v>72.599998470000003</v>
      </c>
      <c r="I145">
        <v>2.4900000100000002</v>
      </c>
      <c r="K145" s="52"/>
      <c r="N145" s="29">
        <f t="shared" si="85"/>
        <v>280612672</v>
      </c>
      <c r="O145" s="30">
        <f t="shared" si="86"/>
        <v>1.0810794884085158</v>
      </c>
      <c r="P145" s="30">
        <f t="shared" si="87"/>
        <v>2.1621589768170315</v>
      </c>
      <c r="Q145" s="29">
        <f t="shared" si="88"/>
        <v>35.769996640000002</v>
      </c>
      <c r="R145" s="30">
        <f t="shared" si="89"/>
        <v>0.32373965845478575</v>
      </c>
      <c r="S145" s="30">
        <f t="shared" si="90"/>
        <v>0.6474793169095715</v>
      </c>
      <c r="T145" s="37">
        <f t="shared" si="91"/>
        <v>0.12000012400000015</v>
      </c>
      <c r="U145" s="30">
        <f t="shared" si="92"/>
        <v>1.6877655382863333E-2</v>
      </c>
      <c r="V145" s="38">
        <f t="shared" si="93"/>
        <v>2.1721444119370756E-3</v>
      </c>
      <c r="W145" s="9">
        <f t="shared" si="82"/>
        <v>32415232</v>
      </c>
      <c r="X145" s="12">
        <f t="shared" si="82"/>
        <v>7.1899948100000017</v>
      </c>
      <c r="Y145" s="11">
        <f t="shared" si="82"/>
        <v>0</v>
      </c>
      <c r="Z145" s="7">
        <f t="shared" si="94"/>
        <v>80035968</v>
      </c>
      <c r="AA145" s="7">
        <f t="shared" si="94"/>
        <v>5.0899963300000053</v>
      </c>
      <c r="AB145" s="7">
        <f t="shared" si="94"/>
        <v>1.9999981000000222E-2</v>
      </c>
    </row>
    <row r="146" spans="1:28" x14ac:dyDescent="0.25">
      <c r="A146" s="2">
        <v>142</v>
      </c>
      <c r="B146">
        <v>2</v>
      </c>
      <c r="C146">
        <v>1</v>
      </c>
      <c r="D146">
        <v>2</v>
      </c>
      <c r="E146">
        <v>1</v>
      </c>
      <c r="G146">
        <v>375752704</v>
      </c>
      <c r="H146">
        <v>75</v>
      </c>
      <c r="I146">
        <v>2.4900000100000002</v>
      </c>
      <c r="J146" s="9">
        <f t="shared" ref="J146" si="96">ABS(G146-G145)</f>
        <v>8617664</v>
      </c>
      <c r="K146" s="52"/>
      <c r="L146" s="9">
        <f t="shared" ref="L146:M151" si="97">ABS(H146-H145)</f>
        <v>2.4000015299999973</v>
      </c>
      <c r="M146" s="9">
        <f t="shared" si="97"/>
        <v>0</v>
      </c>
      <c r="N146" s="29">
        <f t="shared" si="85"/>
        <v>286203432</v>
      </c>
      <c r="O146" s="30">
        <f t="shared" si="86"/>
        <v>1.0653480689379584</v>
      </c>
      <c r="P146" s="30">
        <f t="shared" si="87"/>
        <v>2.1306961378759168</v>
      </c>
      <c r="Q146" s="29">
        <f t="shared" si="88"/>
        <v>37.380001069999999</v>
      </c>
      <c r="R146" s="30">
        <f t="shared" si="89"/>
        <v>0.33120682379207783</v>
      </c>
      <c r="S146" s="30">
        <f t="shared" si="90"/>
        <v>0.66241364758415566</v>
      </c>
      <c r="T146" s="37">
        <f t="shared" si="91"/>
        <v>0.12000012400000015</v>
      </c>
      <c r="U146" s="30">
        <f t="shared" si="92"/>
        <v>1.6877655382863333E-2</v>
      </c>
      <c r="V146" s="38">
        <f t="shared" si="93"/>
        <v>2.1265307002141048E-3</v>
      </c>
      <c r="W146" s="9">
        <f t="shared" si="82"/>
        <v>32502464</v>
      </c>
      <c r="X146" s="12">
        <f t="shared" si="82"/>
        <v>7.4400024400000007</v>
      </c>
      <c r="Y146" s="11">
        <f t="shared" si="82"/>
        <v>0</v>
      </c>
      <c r="Z146" s="7">
        <f t="shared" si="94"/>
        <v>80619776</v>
      </c>
      <c r="AA146" s="7">
        <f t="shared" si="94"/>
        <v>5.2300033599999978</v>
      </c>
      <c r="AB146" s="7">
        <f t="shared" si="94"/>
        <v>1.9999981000000222E-2</v>
      </c>
    </row>
    <row r="147" spans="1:28" x14ac:dyDescent="0.25">
      <c r="A147" s="2">
        <v>143</v>
      </c>
      <c r="B147">
        <v>2</v>
      </c>
      <c r="C147">
        <v>1</v>
      </c>
      <c r="D147">
        <v>2</v>
      </c>
      <c r="E147">
        <v>2</v>
      </c>
      <c r="G147">
        <v>371182688</v>
      </c>
      <c r="H147">
        <v>73.760002139999997</v>
      </c>
      <c r="I147">
        <v>2.4900000100000002</v>
      </c>
      <c r="J147" s="9">
        <f t="shared" si="56"/>
        <v>4570016</v>
      </c>
      <c r="K147" s="52"/>
      <c r="L147" s="9">
        <f t="shared" si="97"/>
        <v>1.2399978600000026</v>
      </c>
      <c r="M147" s="9">
        <f t="shared" si="97"/>
        <v>0</v>
      </c>
      <c r="N147" s="29">
        <f t="shared" si="85"/>
        <v>283348352</v>
      </c>
      <c r="O147" s="30">
        <f t="shared" si="86"/>
        <v>1.0753135387357704</v>
      </c>
      <c r="P147" s="30">
        <f t="shared" si="87"/>
        <v>2.1506270774715408</v>
      </c>
      <c r="Q147" s="29">
        <f t="shared" si="88"/>
        <v>36.560001379999996</v>
      </c>
      <c r="R147" s="30">
        <f t="shared" si="89"/>
        <v>0.32759857198096104</v>
      </c>
      <c r="S147" s="30">
        <f t="shared" si="90"/>
        <v>0.65519714396192208</v>
      </c>
      <c r="T147" s="37">
        <f t="shared" si="91"/>
        <v>0.12000012400000015</v>
      </c>
      <c r="U147" s="30">
        <f t="shared" si="92"/>
        <v>1.6877655382863333E-2</v>
      </c>
      <c r="V147" s="38">
        <f t="shared" si="93"/>
        <v>2.1505398126950674E-3</v>
      </c>
      <c r="W147" s="9">
        <f t="shared" si="82"/>
        <v>32426176</v>
      </c>
      <c r="X147" s="12">
        <f t="shared" si="82"/>
        <v>7.3300018300000005</v>
      </c>
      <c r="Y147" s="11">
        <f t="shared" si="82"/>
        <v>0</v>
      </c>
      <c r="Z147" s="7">
        <f t="shared" si="94"/>
        <v>80358976</v>
      </c>
      <c r="AA147" s="7">
        <f t="shared" si="94"/>
        <v>5.1500015299999973</v>
      </c>
      <c r="AB147" s="7">
        <f t="shared" si="94"/>
        <v>1.9999981000000222E-2</v>
      </c>
    </row>
    <row r="148" spans="1:28" x14ac:dyDescent="0.25">
      <c r="A148" s="2">
        <v>144</v>
      </c>
      <c r="B148">
        <v>2</v>
      </c>
      <c r="C148">
        <v>1</v>
      </c>
      <c r="D148">
        <v>2</v>
      </c>
      <c r="E148">
        <v>3</v>
      </c>
      <c r="G148">
        <v>381005760</v>
      </c>
      <c r="H148">
        <v>77.540000919999997</v>
      </c>
      <c r="I148">
        <v>2.4900000100000002</v>
      </c>
      <c r="J148" s="9">
        <f t="shared" si="56"/>
        <v>9823072</v>
      </c>
      <c r="K148" s="52"/>
      <c r="L148" s="9">
        <f t="shared" si="97"/>
        <v>3.7799987799999997</v>
      </c>
      <c r="M148" s="9">
        <f t="shared" si="97"/>
        <v>0</v>
      </c>
      <c r="N148" s="29">
        <f t="shared" si="85"/>
        <v>289538544</v>
      </c>
      <c r="O148" s="30">
        <f t="shared" si="86"/>
        <v>1.0551632838589948</v>
      </c>
      <c r="P148" s="30">
        <f t="shared" si="87"/>
        <v>2.1103265677179897</v>
      </c>
      <c r="Q148" s="29">
        <f t="shared" si="88"/>
        <v>39.290000919999997</v>
      </c>
      <c r="R148" s="30">
        <f t="shared" si="89"/>
        <v>0.34239652217864919</v>
      </c>
      <c r="S148" s="30">
        <f t="shared" si="90"/>
        <v>0.68479304435729837</v>
      </c>
      <c r="T148" s="37">
        <f t="shared" si="91"/>
        <v>0.12000012400000015</v>
      </c>
      <c r="U148" s="30">
        <f t="shared" si="92"/>
        <v>1.6877655382863333E-2</v>
      </c>
      <c r="V148" s="38">
        <f t="shared" si="93"/>
        <v>2.0915054291939027E-3</v>
      </c>
      <c r="W148" s="9">
        <f t="shared" si="82"/>
        <v>31833952</v>
      </c>
      <c r="X148" s="12">
        <f t="shared" si="82"/>
        <v>7.6600036699999947</v>
      </c>
      <c r="Y148" s="11">
        <f t="shared" si="82"/>
        <v>0</v>
      </c>
      <c r="Z148" s="7">
        <f t="shared" si="94"/>
        <v>80340480</v>
      </c>
      <c r="AA148" s="7">
        <f t="shared" si="94"/>
        <v>5.4100036699999947</v>
      </c>
      <c r="AB148" s="7">
        <f t="shared" si="94"/>
        <v>1.9999981000000222E-2</v>
      </c>
    </row>
    <row r="149" spans="1:28" x14ac:dyDescent="0.25">
      <c r="A149" s="2">
        <v>145</v>
      </c>
      <c r="B149">
        <v>2</v>
      </c>
      <c r="C149">
        <v>1</v>
      </c>
      <c r="D149">
        <v>2</v>
      </c>
      <c r="E149">
        <v>4</v>
      </c>
      <c r="G149">
        <v>361215680</v>
      </c>
      <c r="H149">
        <v>75.730003359999998</v>
      </c>
      <c r="I149">
        <v>2.4900000100000002</v>
      </c>
      <c r="J149" s="9">
        <f t="shared" si="56"/>
        <v>19790080</v>
      </c>
      <c r="K149" s="52"/>
      <c r="L149" s="9">
        <f t="shared" si="97"/>
        <v>1.8099975599999993</v>
      </c>
      <c r="M149" s="9">
        <f t="shared" si="97"/>
        <v>0</v>
      </c>
      <c r="N149" s="29">
        <f t="shared" si="85"/>
        <v>275103216</v>
      </c>
      <c r="O149" s="30">
        <f t="shared" si="86"/>
        <v>1.0648989442457482</v>
      </c>
      <c r="P149" s="30">
        <f t="shared" si="87"/>
        <v>2.1297978884914963</v>
      </c>
      <c r="Q149" s="29">
        <f t="shared" si="88"/>
        <v>38.550003050000001</v>
      </c>
      <c r="R149" s="30">
        <f t="shared" si="89"/>
        <v>0.34561594700176773</v>
      </c>
      <c r="S149" s="30">
        <f t="shared" si="90"/>
        <v>0.69123189400353546</v>
      </c>
      <c r="T149" s="37">
        <f t="shared" si="91"/>
        <v>0.10999989600000015</v>
      </c>
      <c r="U149" s="30">
        <f t="shared" si="92"/>
        <v>1.5406147161218181E-2</v>
      </c>
      <c r="V149" s="38">
        <f t="shared" si="93"/>
        <v>1.9723847065239602E-3</v>
      </c>
      <c r="W149" s="9">
        <f t="shared" si="82"/>
        <v>28800512</v>
      </c>
      <c r="X149" s="12">
        <f t="shared" si="82"/>
        <v>7.1200027499999976</v>
      </c>
      <c r="Y149" s="11">
        <f t="shared" si="82"/>
        <v>0</v>
      </c>
      <c r="Z149" s="7">
        <f t="shared" si="94"/>
        <v>75062752</v>
      </c>
      <c r="AA149" s="7">
        <f t="shared" si="94"/>
        <v>5.3000030500000008</v>
      </c>
      <c r="AB149" s="7">
        <f t="shared" si="94"/>
        <v>9.9999909999999304E-3</v>
      </c>
    </row>
    <row r="150" spans="1:28" x14ac:dyDescent="0.25">
      <c r="A150" s="2">
        <v>146</v>
      </c>
      <c r="B150">
        <v>2</v>
      </c>
      <c r="C150">
        <v>1</v>
      </c>
      <c r="D150">
        <v>2</v>
      </c>
      <c r="E150">
        <v>5</v>
      </c>
      <c r="G150">
        <v>340191744</v>
      </c>
      <c r="H150">
        <v>75.680000309999997</v>
      </c>
      <c r="I150">
        <v>2.4900000100000002</v>
      </c>
      <c r="J150" s="9">
        <f t="shared" si="56"/>
        <v>21023936</v>
      </c>
      <c r="K150" s="52"/>
      <c r="L150" s="9">
        <f t="shared" si="97"/>
        <v>5.0003050000000826E-2</v>
      </c>
      <c r="M150" s="9">
        <f t="shared" si="97"/>
        <v>0</v>
      </c>
      <c r="N150" s="29">
        <f t="shared" si="85"/>
        <v>259915680</v>
      </c>
      <c r="O150" s="30">
        <f t="shared" si="86"/>
        <v>1.079257697537338</v>
      </c>
      <c r="P150" s="30">
        <f t="shared" si="87"/>
        <v>2.158515395074676</v>
      </c>
      <c r="Q150" s="29">
        <f t="shared" si="88"/>
        <v>39.020000459999999</v>
      </c>
      <c r="R150" s="30">
        <f t="shared" si="89"/>
        <v>0.35479178595795874</v>
      </c>
      <c r="S150" s="30">
        <f t="shared" si="90"/>
        <v>0.70958357191591748</v>
      </c>
      <c r="T150" s="37">
        <f t="shared" si="91"/>
        <v>0.10999989600000015</v>
      </c>
      <c r="U150" s="30">
        <f t="shared" si="92"/>
        <v>1.5406147161218181E-2</v>
      </c>
      <c r="V150" s="38">
        <f t="shared" si="93"/>
        <v>2.0003618194231964E-3</v>
      </c>
      <c r="W150" s="9">
        <f t="shared" si="82"/>
        <v>26855840</v>
      </c>
      <c r="X150" s="12">
        <f t="shared" si="82"/>
        <v>7.0900039699999979</v>
      </c>
      <c r="Y150" s="11">
        <f t="shared" si="82"/>
        <v>0</v>
      </c>
      <c r="Z150" s="7">
        <f t="shared" si="94"/>
        <v>70327040</v>
      </c>
      <c r="AA150" s="7">
        <f t="shared" si="94"/>
        <v>5.3099975599999993</v>
      </c>
      <c r="AB150" s="7">
        <f t="shared" si="94"/>
        <v>9.9999909999999304E-3</v>
      </c>
    </row>
    <row r="151" spans="1:28" x14ac:dyDescent="0.25">
      <c r="A151" s="2">
        <v>147</v>
      </c>
      <c r="B151">
        <v>2</v>
      </c>
      <c r="C151">
        <v>1</v>
      </c>
      <c r="D151">
        <v>2</v>
      </c>
      <c r="E151">
        <v>6</v>
      </c>
      <c r="G151">
        <v>291047488</v>
      </c>
      <c r="H151">
        <v>70.86000061</v>
      </c>
      <c r="I151">
        <v>2.5</v>
      </c>
      <c r="J151" s="9">
        <f t="shared" si="56"/>
        <v>49144256</v>
      </c>
      <c r="K151" s="52">
        <f t="shared" ref="K151" si="98">AVERAGE(J146:J151)</f>
        <v>18828170.666666668</v>
      </c>
      <c r="L151" s="9">
        <f t="shared" si="97"/>
        <v>4.8199996999999968</v>
      </c>
      <c r="M151" s="9">
        <f t="shared" si="97"/>
        <v>9.9999899999998476E-3</v>
      </c>
      <c r="N151" s="29">
        <f t="shared" si="85"/>
        <v>224506508</v>
      </c>
      <c r="O151" s="30">
        <f t="shared" si="86"/>
        <v>1.1246528480143614</v>
      </c>
      <c r="P151" s="30">
        <f t="shared" si="87"/>
        <v>2.2493056960287228</v>
      </c>
      <c r="Q151" s="29">
        <f t="shared" si="88"/>
        <v>36.88999939</v>
      </c>
      <c r="R151" s="30">
        <f t="shared" si="89"/>
        <v>0.36198604715073168</v>
      </c>
      <c r="S151" s="30">
        <f t="shared" si="90"/>
        <v>0.72397209430146336</v>
      </c>
      <c r="T151" s="37">
        <f t="shared" si="91"/>
        <v>0.119999886</v>
      </c>
      <c r="U151" s="30">
        <f t="shared" si="92"/>
        <v>1.6806705917661986E-2</v>
      </c>
      <c r="V151" s="38">
        <f t="shared" si="93"/>
        <v>2.3550168126841181E-3</v>
      </c>
      <c r="W151" s="9">
        <f t="shared" si="82"/>
        <v>21764288</v>
      </c>
      <c r="X151" s="12">
        <f t="shared" si="82"/>
        <v>6.0599975599999993</v>
      </c>
      <c r="Y151" s="11">
        <f t="shared" si="82"/>
        <v>0</v>
      </c>
      <c r="Z151" s="7">
        <f t="shared" si="94"/>
        <v>59606016</v>
      </c>
      <c r="AA151" s="7">
        <f t="shared" si="94"/>
        <v>5.0200042700000012</v>
      </c>
      <c r="AB151" s="7">
        <f t="shared" si="94"/>
        <v>1.9999980999999778E-2</v>
      </c>
    </row>
    <row r="152" spans="1:28" x14ac:dyDescent="0.25">
      <c r="A152" s="2">
        <v>148</v>
      </c>
      <c r="B152">
        <v>2</v>
      </c>
      <c r="C152">
        <v>2</v>
      </c>
      <c r="D152">
        <v>0</v>
      </c>
      <c r="E152">
        <v>0</v>
      </c>
      <c r="G152">
        <v>40856456</v>
      </c>
      <c r="H152">
        <v>34.61000061</v>
      </c>
      <c r="I152">
        <v>2.880000114</v>
      </c>
      <c r="K152" s="52"/>
      <c r="N152" s="29">
        <f t="shared" si="85"/>
        <v>326278584</v>
      </c>
      <c r="O152" s="30">
        <f t="shared" si="86"/>
        <v>0.29623848489100907</v>
      </c>
      <c r="P152" s="30">
        <f t="shared" si="87"/>
        <v>0.98746161630336349</v>
      </c>
      <c r="Q152" s="29">
        <f t="shared" si="88"/>
        <v>37.989997860000003</v>
      </c>
      <c r="R152" s="30">
        <f t="shared" si="89"/>
        <v>0.17442607282192688</v>
      </c>
      <c r="S152" s="30">
        <f t="shared" si="90"/>
        <v>0.58142024273975623</v>
      </c>
      <c r="T152" s="37">
        <f t="shared" si="91"/>
        <v>0.39000010399999985</v>
      </c>
      <c r="U152" s="30">
        <f t="shared" si="92"/>
        <v>5.2208849054047435E-2</v>
      </c>
      <c r="V152" s="38">
        <f t="shared" si="93"/>
        <v>5.9687804135140875E-3</v>
      </c>
      <c r="W152" s="9">
        <f t="shared" si="82"/>
        <v>42737794</v>
      </c>
      <c r="X152" s="12">
        <f t="shared" si="82"/>
        <v>24.100000380000001</v>
      </c>
      <c r="Y152" s="11">
        <f t="shared" si="82"/>
        <v>0.55000019</v>
      </c>
      <c r="Z152" s="7">
        <f t="shared" si="94"/>
        <v>7786724</v>
      </c>
      <c r="AA152" s="7">
        <f t="shared" si="94"/>
        <v>2.5800018300000005</v>
      </c>
      <c r="AB152" s="7">
        <f t="shared" si="94"/>
        <v>0</v>
      </c>
    </row>
    <row r="153" spans="1:28" x14ac:dyDescent="0.25">
      <c r="A153" s="2">
        <v>149</v>
      </c>
      <c r="B153">
        <v>2</v>
      </c>
      <c r="C153">
        <v>2</v>
      </c>
      <c r="D153">
        <v>0</v>
      </c>
      <c r="E153">
        <v>1</v>
      </c>
      <c r="G153">
        <v>42185176</v>
      </c>
      <c r="H153">
        <v>35.630001069999999</v>
      </c>
      <c r="I153">
        <v>2.880000114</v>
      </c>
      <c r="J153" s="9">
        <f t="shared" ref="J153" si="99">ABS(G153-G152)</f>
        <v>1328720</v>
      </c>
      <c r="K153" s="52"/>
      <c r="L153" s="9">
        <f t="shared" ref="L153:M158" si="100">ABS(H153-H152)</f>
        <v>1.0200004599999986</v>
      </c>
      <c r="M153" s="9">
        <f t="shared" si="100"/>
        <v>0</v>
      </c>
      <c r="N153" s="29">
        <f t="shared" si="85"/>
        <v>333567528</v>
      </c>
      <c r="O153" s="30">
        <f t="shared" si="86"/>
        <v>0.2959105145920653</v>
      </c>
      <c r="P153" s="30">
        <f t="shared" si="87"/>
        <v>0.98636838197355092</v>
      </c>
      <c r="Q153" s="29">
        <f t="shared" si="88"/>
        <v>39.369998930000001</v>
      </c>
      <c r="R153" s="30">
        <f t="shared" si="89"/>
        <v>0.17497777302222225</v>
      </c>
      <c r="S153" s="30">
        <f t="shared" si="90"/>
        <v>0.58325924340740742</v>
      </c>
      <c r="T153" s="37">
        <f t="shared" si="91"/>
        <v>0.39000010399999985</v>
      </c>
      <c r="U153" s="30">
        <f t="shared" si="92"/>
        <v>5.2208849054047435E-2</v>
      </c>
      <c r="V153" s="38">
        <f t="shared" si="93"/>
        <v>5.7777793185185165E-3</v>
      </c>
      <c r="W153" s="9">
        <f t="shared" si="82"/>
        <v>43323292.5</v>
      </c>
      <c r="X153" s="12">
        <f t="shared" si="82"/>
        <v>24.520001409999999</v>
      </c>
      <c r="Y153" s="11">
        <f t="shared" si="82"/>
        <v>0.55000019</v>
      </c>
      <c r="Z153" s="7">
        <f t="shared" si="94"/>
        <v>7883800</v>
      </c>
      <c r="AA153" s="7">
        <f t="shared" si="94"/>
        <v>2.6300010699999987</v>
      </c>
      <c r="AB153" s="7">
        <f t="shared" si="94"/>
        <v>0</v>
      </c>
    </row>
    <row r="154" spans="1:28" x14ac:dyDescent="0.25">
      <c r="A154" s="2">
        <v>150</v>
      </c>
      <c r="B154">
        <v>2</v>
      </c>
      <c r="C154">
        <v>2</v>
      </c>
      <c r="D154">
        <v>0</v>
      </c>
      <c r="E154">
        <v>2</v>
      </c>
      <c r="G154">
        <v>41395372</v>
      </c>
      <c r="H154">
        <v>35.11000061</v>
      </c>
      <c r="I154">
        <v>2.880000114</v>
      </c>
      <c r="J154" s="9">
        <f t="shared" si="60"/>
        <v>789804</v>
      </c>
      <c r="K154" s="52"/>
      <c r="L154" s="9">
        <f t="shared" si="100"/>
        <v>0.52000045999999855</v>
      </c>
      <c r="M154" s="9">
        <f t="shared" si="100"/>
        <v>0</v>
      </c>
      <c r="N154" s="29">
        <f t="shared" si="85"/>
        <v>329787316</v>
      </c>
      <c r="O154" s="30">
        <f t="shared" si="86"/>
        <v>0.29615903135367488</v>
      </c>
      <c r="P154" s="30">
        <f t="shared" si="87"/>
        <v>0.98719677117891635</v>
      </c>
      <c r="Q154" s="29">
        <f t="shared" si="88"/>
        <v>38.650001529999997</v>
      </c>
      <c r="R154" s="30">
        <f t="shared" si="89"/>
        <v>0.17466558391470965</v>
      </c>
      <c r="S154" s="30">
        <f t="shared" si="90"/>
        <v>0.58221861304903222</v>
      </c>
      <c r="T154" s="37">
        <f t="shared" si="91"/>
        <v>0.39000010399999985</v>
      </c>
      <c r="U154" s="30">
        <f t="shared" si="92"/>
        <v>5.2208849054047435E-2</v>
      </c>
      <c r="V154" s="38">
        <f t="shared" si="93"/>
        <v>5.8749110129688066E-3</v>
      </c>
      <c r="W154" s="9">
        <f t="shared" ref="W154:Y169" si="101">ABS(G154-G133)</f>
        <v>42916419</v>
      </c>
      <c r="X154" s="12">
        <f t="shared" si="101"/>
        <v>24.310000420000001</v>
      </c>
      <c r="Y154" s="11">
        <f t="shared" si="101"/>
        <v>0.55000019</v>
      </c>
      <c r="Z154" s="7">
        <f t="shared" si="94"/>
        <v>7818380</v>
      </c>
      <c r="AA154" s="7">
        <f t="shared" si="94"/>
        <v>2.5800018300000005</v>
      </c>
      <c r="AB154" s="7">
        <f t="shared" si="94"/>
        <v>0</v>
      </c>
    </row>
    <row r="155" spans="1:28" x14ac:dyDescent="0.25">
      <c r="A155" s="2">
        <v>151</v>
      </c>
      <c r="B155">
        <v>2</v>
      </c>
      <c r="C155">
        <v>2</v>
      </c>
      <c r="D155">
        <v>0</v>
      </c>
      <c r="E155">
        <v>3</v>
      </c>
      <c r="G155">
        <v>42700544</v>
      </c>
      <c r="H155">
        <v>36.540000919999997</v>
      </c>
      <c r="I155">
        <v>2.880000114</v>
      </c>
      <c r="J155" s="9">
        <f t="shared" si="60"/>
        <v>1305172</v>
      </c>
      <c r="K155" s="52"/>
      <c r="L155" s="9">
        <f t="shared" si="100"/>
        <v>1.4300003099999969</v>
      </c>
      <c r="M155" s="9">
        <f t="shared" si="100"/>
        <v>0</v>
      </c>
      <c r="N155" s="29">
        <f t="shared" si="85"/>
        <v>338305216</v>
      </c>
      <c r="O155" s="30">
        <f t="shared" si="86"/>
        <v>0.29597559190006295</v>
      </c>
      <c r="P155" s="30">
        <f t="shared" si="87"/>
        <v>0.98658530633354313</v>
      </c>
      <c r="Q155" s="29">
        <f t="shared" si="88"/>
        <v>41</v>
      </c>
      <c r="R155" s="30">
        <f t="shared" si="89"/>
        <v>0.17625311457974982</v>
      </c>
      <c r="S155" s="30">
        <f t="shared" si="90"/>
        <v>0.58751038193249938</v>
      </c>
      <c r="T155" s="37">
        <f t="shared" si="91"/>
        <v>0.39000010399999985</v>
      </c>
      <c r="U155" s="30">
        <f t="shared" si="92"/>
        <v>5.2208849054047435E-2</v>
      </c>
      <c r="V155" s="38">
        <f t="shared" si="93"/>
        <v>5.5885148793842531E-3</v>
      </c>
      <c r="W155" s="9">
        <f t="shared" si="101"/>
        <v>43210956.939999998</v>
      </c>
      <c r="X155" s="12">
        <f t="shared" si="101"/>
        <v>24.91000081</v>
      </c>
      <c r="Y155" s="11">
        <f t="shared" si="101"/>
        <v>0.55000019</v>
      </c>
      <c r="Z155" s="7">
        <f t="shared" si="94"/>
        <v>7859448</v>
      </c>
      <c r="AA155" s="7">
        <f t="shared" si="94"/>
        <v>2.6700019899999958</v>
      </c>
      <c r="AB155" s="7">
        <f t="shared" si="94"/>
        <v>0</v>
      </c>
    </row>
    <row r="156" spans="1:28" x14ac:dyDescent="0.25">
      <c r="A156" s="2">
        <v>152</v>
      </c>
      <c r="B156">
        <v>2</v>
      </c>
      <c r="C156">
        <v>2</v>
      </c>
      <c r="D156">
        <v>0</v>
      </c>
      <c r="E156">
        <v>4</v>
      </c>
      <c r="G156">
        <v>39550100</v>
      </c>
      <c r="H156">
        <v>35.38999939</v>
      </c>
      <c r="I156">
        <v>2.880000114</v>
      </c>
      <c r="J156" s="9">
        <f t="shared" si="60"/>
        <v>3150444</v>
      </c>
      <c r="K156" s="52"/>
      <c r="L156" s="9">
        <f t="shared" si="100"/>
        <v>1.1500015299999973</v>
      </c>
      <c r="M156" s="9">
        <f t="shared" si="100"/>
        <v>0</v>
      </c>
      <c r="N156" s="29">
        <f t="shared" si="85"/>
        <v>321665580</v>
      </c>
      <c r="O156" s="30">
        <f t="shared" si="86"/>
        <v>0.29683611741328614</v>
      </c>
      <c r="P156" s="30">
        <f t="shared" si="87"/>
        <v>0.98945372471095383</v>
      </c>
      <c r="Q156" s="29">
        <f t="shared" si="88"/>
        <v>40.340003969999998</v>
      </c>
      <c r="R156" s="30">
        <f t="shared" si="89"/>
        <v>0.17756064166639698</v>
      </c>
      <c r="S156" s="30">
        <f t="shared" si="90"/>
        <v>0.5918688055546566</v>
      </c>
      <c r="T156" s="37">
        <f t="shared" si="91"/>
        <v>0.39000010399999985</v>
      </c>
      <c r="U156" s="30">
        <f t="shared" si="92"/>
        <v>5.2208849054047435E-2</v>
      </c>
      <c r="V156" s="38">
        <f t="shared" si="93"/>
        <v>5.7220841101635568E-3</v>
      </c>
      <c r="W156" s="9">
        <f t="shared" si="101"/>
        <v>40899774.25</v>
      </c>
      <c r="X156" s="12">
        <f t="shared" si="101"/>
        <v>24.449999810000001</v>
      </c>
      <c r="Y156" s="11">
        <f t="shared" si="101"/>
        <v>0.55000019</v>
      </c>
      <c r="Z156" s="7">
        <f t="shared" si="94"/>
        <v>7385384</v>
      </c>
      <c r="AA156" s="7">
        <f t="shared" si="94"/>
        <v>2.6300010699999987</v>
      </c>
      <c r="AB156" s="7">
        <f t="shared" si="94"/>
        <v>0</v>
      </c>
    </row>
    <row r="157" spans="1:28" x14ac:dyDescent="0.25">
      <c r="A157" s="2">
        <v>153</v>
      </c>
      <c r="B157">
        <v>2</v>
      </c>
      <c r="C157">
        <v>2</v>
      </c>
      <c r="D157">
        <v>0</v>
      </c>
      <c r="E157">
        <v>5</v>
      </c>
      <c r="G157">
        <v>35555440</v>
      </c>
      <c r="H157">
        <v>33.930000309999997</v>
      </c>
      <c r="I157">
        <v>2.880000114</v>
      </c>
      <c r="J157" s="9">
        <f t="shared" si="60"/>
        <v>3994660</v>
      </c>
      <c r="K157" s="52"/>
      <c r="L157" s="9">
        <f t="shared" si="100"/>
        <v>1.4599990800000029</v>
      </c>
      <c r="M157" s="9">
        <f t="shared" si="100"/>
        <v>0</v>
      </c>
      <c r="N157" s="29">
        <f t="shared" si="85"/>
        <v>304636304</v>
      </c>
      <c r="O157" s="30">
        <f t="shared" si="86"/>
        <v>0.29849470616978485</v>
      </c>
      <c r="P157" s="30">
        <f t="shared" si="87"/>
        <v>0.9949823538992828</v>
      </c>
      <c r="Q157" s="29">
        <f t="shared" si="88"/>
        <v>41.75</v>
      </c>
      <c r="R157" s="30">
        <f t="shared" si="89"/>
        <v>0.18388830086761754</v>
      </c>
      <c r="S157" s="30">
        <f t="shared" si="90"/>
        <v>0.61296100289205846</v>
      </c>
      <c r="T157" s="37">
        <f t="shared" si="91"/>
        <v>0.39000010399999985</v>
      </c>
      <c r="U157" s="30">
        <f t="shared" si="92"/>
        <v>5.2208849054047435E-2</v>
      </c>
      <c r="V157" s="38">
        <f t="shared" si="93"/>
        <v>5.7258647874454368E-3</v>
      </c>
      <c r="W157" s="9">
        <f t="shared" si="101"/>
        <v>37537927.880000003</v>
      </c>
      <c r="X157" s="12">
        <f t="shared" si="101"/>
        <v>23.520000459999999</v>
      </c>
      <c r="Y157" s="11">
        <f t="shared" si="101"/>
        <v>0.55000019</v>
      </c>
      <c r="Z157" s="7">
        <f t="shared" si="94"/>
        <v>6838450</v>
      </c>
      <c r="AA157" s="7">
        <f t="shared" si="94"/>
        <v>2.5900001599999953</v>
      </c>
      <c r="AB157" s="7">
        <f t="shared" si="94"/>
        <v>0</v>
      </c>
    </row>
    <row r="158" spans="1:28" x14ac:dyDescent="0.25">
      <c r="A158" s="2">
        <v>154</v>
      </c>
      <c r="B158">
        <v>2</v>
      </c>
      <c r="C158">
        <v>2</v>
      </c>
      <c r="D158">
        <v>0</v>
      </c>
      <c r="E158">
        <v>6</v>
      </c>
      <c r="G158">
        <v>27637430</v>
      </c>
      <c r="H158">
        <v>30.350000380000001</v>
      </c>
      <c r="I158">
        <v>2.880000114</v>
      </c>
      <c r="J158" s="9">
        <f t="shared" si="60"/>
        <v>7918010</v>
      </c>
      <c r="K158" s="52">
        <f t="shared" ref="K158" si="102">AVERAGE(J153:J158)</f>
        <v>3081135</v>
      </c>
      <c r="L158" s="9">
        <f t="shared" si="100"/>
        <v>3.5799999299999961</v>
      </c>
      <c r="M158" s="9">
        <f t="shared" si="100"/>
        <v>0</v>
      </c>
      <c r="N158" s="29">
        <f t="shared" si="85"/>
        <v>263410058</v>
      </c>
      <c r="O158" s="30">
        <f t="shared" si="86"/>
        <v>0.30168050330902246</v>
      </c>
      <c r="P158" s="30">
        <f t="shared" si="87"/>
        <v>1.0056016776967414</v>
      </c>
      <c r="Q158" s="29">
        <f t="shared" si="88"/>
        <v>40.510000230000003</v>
      </c>
      <c r="R158" s="30">
        <f t="shared" si="89"/>
        <v>0.19056355198639899</v>
      </c>
      <c r="S158" s="30">
        <f t="shared" si="90"/>
        <v>0.63521183995466335</v>
      </c>
      <c r="T158" s="37">
        <f t="shared" si="91"/>
        <v>0.380000114</v>
      </c>
      <c r="U158" s="30">
        <f t="shared" si="92"/>
        <v>5.0666681866666667E-2</v>
      </c>
      <c r="V158" s="38">
        <f t="shared" si="93"/>
        <v>5.9585428345212783E-3</v>
      </c>
      <c r="W158" s="9">
        <f t="shared" si="101"/>
        <v>31759560.5</v>
      </c>
      <c r="X158" s="12">
        <f t="shared" si="101"/>
        <v>21.900000571</v>
      </c>
      <c r="Y158" s="11">
        <f t="shared" si="101"/>
        <v>0.55000019</v>
      </c>
      <c r="Z158" s="7">
        <f t="shared" ref="Z158:AB173" si="103">ABS(G158-G53)</f>
        <v>5764666</v>
      </c>
      <c r="AA158" s="7">
        <f t="shared" si="103"/>
        <v>2.5100002299999993</v>
      </c>
      <c r="AB158" s="7">
        <f t="shared" si="103"/>
        <v>0</v>
      </c>
    </row>
    <row r="159" spans="1:28" x14ac:dyDescent="0.25">
      <c r="A159" s="2">
        <v>155</v>
      </c>
      <c r="B159">
        <v>2</v>
      </c>
      <c r="C159">
        <v>2</v>
      </c>
      <c r="D159">
        <v>1</v>
      </c>
      <c r="E159">
        <v>0</v>
      </c>
      <c r="G159">
        <v>298012608</v>
      </c>
      <c r="H159">
        <v>117.5299988</v>
      </c>
      <c r="I159">
        <v>2.9500000480000002</v>
      </c>
      <c r="K159" s="52"/>
      <c r="N159" s="29">
        <f t="shared" si="85"/>
        <v>257156152</v>
      </c>
      <c r="O159" s="30">
        <f t="shared" si="86"/>
        <v>2.0980458347472264</v>
      </c>
      <c r="P159" s="30">
        <f t="shared" si="87"/>
        <v>2.0980458347472264</v>
      </c>
      <c r="Q159" s="29">
        <f t="shared" si="88"/>
        <v>82.919998190000001</v>
      </c>
      <c r="R159" s="30">
        <f t="shared" si="89"/>
        <v>0.79861308608820236</v>
      </c>
      <c r="S159" s="30">
        <f t="shared" si="90"/>
        <v>0.79861308608820236</v>
      </c>
      <c r="T159" s="37">
        <f t="shared" si="91"/>
        <v>6.9999934000000152E-2</v>
      </c>
      <c r="U159" s="30">
        <f t="shared" si="92"/>
        <v>8.1018438922649937E-3</v>
      </c>
      <c r="V159" s="38">
        <f t="shared" si="93"/>
        <v>6.7417829881781619E-4</v>
      </c>
      <c r="W159" s="9">
        <f t="shared" si="101"/>
        <v>211490240</v>
      </c>
      <c r="X159" s="12">
        <f t="shared" si="101"/>
        <v>80.699996970000001</v>
      </c>
      <c r="Y159" s="11">
        <f t="shared" si="101"/>
        <v>0.58000016200000015</v>
      </c>
      <c r="Z159" s="7">
        <f t="shared" si="103"/>
        <v>45325456</v>
      </c>
      <c r="AA159" s="7">
        <f t="shared" si="103"/>
        <v>7</v>
      </c>
      <c r="AB159" s="7">
        <f t="shared" si="103"/>
        <v>0</v>
      </c>
    </row>
    <row r="160" spans="1:28" x14ac:dyDescent="0.25">
      <c r="A160" s="2">
        <v>156</v>
      </c>
      <c r="B160">
        <v>2</v>
      </c>
      <c r="C160">
        <v>2</v>
      </c>
      <c r="D160">
        <v>1</v>
      </c>
      <c r="E160">
        <v>1</v>
      </c>
      <c r="G160">
        <v>302252224</v>
      </c>
      <c r="H160">
        <v>122.7099991</v>
      </c>
      <c r="I160">
        <v>2.9500000480000002</v>
      </c>
      <c r="J160" s="9">
        <f t="shared" ref="J160:J221" si="104">ABS(G160-G159)</f>
        <v>4239616</v>
      </c>
      <c r="K160" s="52"/>
      <c r="L160" s="9">
        <f t="shared" ref="L160:M165" si="105">ABS(H160-H159)</f>
        <v>5.1800003000000032</v>
      </c>
      <c r="M160" s="9">
        <f t="shared" si="105"/>
        <v>0</v>
      </c>
      <c r="N160" s="29">
        <f t="shared" si="85"/>
        <v>260067048</v>
      </c>
      <c r="O160" s="30">
        <f t="shared" si="86"/>
        <v>2.0549639522660756</v>
      </c>
      <c r="P160" s="30">
        <f t="shared" si="87"/>
        <v>2.0549639522660756</v>
      </c>
      <c r="Q160" s="29">
        <f t="shared" si="88"/>
        <v>87.079998030000013</v>
      </c>
      <c r="R160" s="30">
        <f t="shared" si="89"/>
        <v>0.81466924328666612</v>
      </c>
      <c r="S160" s="30">
        <f t="shared" si="90"/>
        <v>0.81466924328666612</v>
      </c>
      <c r="T160" s="37">
        <f t="shared" si="91"/>
        <v>6.9999934000000152E-2</v>
      </c>
      <c r="U160" s="30">
        <f t="shared" si="92"/>
        <v>8.1018438922649937E-3</v>
      </c>
      <c r="V160" s="38">
        <f t="shared" si="93"/>
        <v>6.5487821028946673E-4</v>
      </c>
      <c r="W160" s="9">
        <f t="shared" si="101"/>
        <v>212702952</v>
      </c>
      <c r="X160" s="12">
        <f t="shared" si="101"/>
        <v>85.090000169999996</v>
      </c>
      <c r="Y160" s="11">
        <f t="shared" si="101"/>
        <v>0.58000016200000015</v>
      </c>
      <c r="Z160" s="7">
        <f t="shared" si="103"/>
        <v>45473472</v>
      </c>
      <c r="AA160" s="7">
        <f t="shared" si="103"/>
        <v>7.2799988000000013</v>
      </c>
      <c r="AB160" s="7">
        <f t="shared" si="103"/>
        <v>0</v>
      </c>
    </row>
    <row r="161" spans="1:28" x14ac:dyDescent="0.25">
      <c r="A161" s="2">
        <v>157</v>
      </c>
      <c r="B161">
        <v>2</v>
      </c>
      <c r="C161">
        <v>2</v>
      </c>
      <c r="D161">
        <v>1</v>
      </c>
      <c r="E161">
        <v>2</v>
      </c>
      <c r="G161">
        <v>299577664</v>
      </c>
      <c r="H161">
        <v>120.3799973</v>
      </c>
      <c r="I161">
        <v>2.9500000480000002</v>
      </c>
      <c r="J161" s="9">
        <f t="shared" si="104"/>
        <v>2674560</v>
      </c>
      <c r="K161" s="52"/>
      <c r="L161" s="9">
        <f t="shared" si="105"/>
        <v>2.3300018000000051</v>
      </c>
      <c r="M161" s="9">
        <f t="shared" si="105"/>
        <v>0</v>
      </c>
      <c r="N161" s="29">
        <f t="shared" si="85"/>
        <v>258182292</v>
      </c>
      <c r="O161" s="30">
        <f t="shared" si="86"/>
        <v>2.0789948209669427</v>
      </c>
      <c r="P161" s="30">
        <f t="shared" si="87"/>
        <v>2.0789948209669427</v>
      </c>
      <c r="Q161" s="29">
        <f t="shared" si="88"/>
        <v>85.269996689999999</v>
      </c>
      <c r="R161" s="30">
        <f t="shared" si="89"/>
        <v>0.80955088966601985</v>
      </c>
      <c r="S161" s="30">
        <f t="shared" si="90"/>
        <v>0.80955088966601985</v>
      </c>
      <c r="T161" s="37">
        <f t="shared" si="91"/>
        <v>6.9999934000000152E-2</v>
      </c>
      <c r="U161" s="30">
        <f t="shared" si="92"/>
        <v>8.1018438922649937E-3</v>
      </c>
      <c r="V161" s="38">
        <f t="shared" si="93"/>
        <v>6.6457735482600968E-4</v>
      </c>
      <c r="W161" s="9">
        <f t="shared" si="101"/>
        <v>211743328</v>
      </c>
      <c r="X161" s="12">
        <f t="shared" si="101"/>
        <v>83.179996539999991</v>
      </c>
      <c r="Y161" s="11">
        <f t="shared" si="101"/>
        <v>0.58000016200000015</v>
      </c>
      <c r="Z161" s="7">
        <f t="shared" si="103"/>
        <v>45339920</v>
      </c>
      <c r="AA161" s="7">
        <f t="shared" si="103"/>
        <v>7.1499938999999983</v>
      </c>
      <c r="AB161" s="7">
        <f t="shared" si="103"/>
        <v>0</v>
      </c>
    </row>
    <row r="162" spans="1:28" x14ac:dyDescent="0.25">
      <c r="A162" s="2">
        <v>158</v>
      </c>
      <c r="B162">
        <v>2</v>
      </c>
      <c r="C162">
        <v>2</v>
      </c>
      <c r="D162">
        <v>1</v>
      </c>
      <c r="E162">
        <v>3</v>
      </c>
      <c r="G162">
        <v>301254368</v>
      </c>
      <c r="H162">
        <v>128.2599945</v>
      </c>
      <c r="I162">
        <v>2.9500000480000002</v>
      </c>
      <c r="J162" s="9">
        <f t="shared" si="104"/>
        <v>1676704</v>
      </c>
      <c r="K162" s="52"/>
      <c r="L162" s="9">
        <f t="shared" si="105"/>
        <v>7.8799972000000054</v>
      </c>
      <c r="M162" s="9">
        <f t="shared" si="105"/>
        <v>0</v>
      </c>
      <c r="N162" s="29">
        <f t="shared" si="85"/>
        <v>258553824</v>
      </c>
      <c r="O162" s="30">
        <f t="shared" si="86"/>
        <v>2.0183491807504841</v>
      </c>
      <c r="P162" s="30">
        <f t="shared" si="87"/>
        <v>2.0183491807504841</v>
      </c>
      <c r="Q162" s="29">
        <f t="shared" si="88"/>
        <v>91.719993580000008</v>
      </c>
      <c r="R162" s="30">
        <f t="shared" si="89"/>
        <v>0.83670855017956958</v>
      </c>
      <c r="S162" s="30">
        <f t="shared" si="90"/>
        <v>0.83670855017956958</v>
      </c>
      <c r="T162" s="37">
        <f t="shared" si="91"/>
        <v>6.9999934000000152E-2</v>
      </c>
      <c r="U162" s="30">
        <f t="shared" si="92"/>
        <v>8.1018438922649937E-3</v>
      </c>
      <c r="V162" s="38">
        <f t="shared" si="93"/>
        <v>6.3856898592911662E-4</v>
      </c>
      <c r="W162" s="9">
        <f t="shared" si="101"/>
        <v>209787152</v>
      </c>
      <c r="X162" s="12">
        <f t="shared" si="101"/>
        <v>90.009994500000005</v>
      </c>
      <c r="Y162" s="11">
        <f t="shared" si="101"/>
        <v>0.58000016200000015</v>
      </c>
      <c r="Z162" s="7">
        <f t="shared" si="103"/>
        <v>44790528</v>
      </c>
      <c r="AA162" s="7">
        <f t="shared" si="103"/>
        <v>7.5899963000000099</v>
      </c>
      <c r="AB162" s="7">
        <f t="shared" si="103"/>
        <v>0</v>
      </c>
    </row>
    <row r="163" spans="1:28" x14ac:dyDescent="0.25">
      <c r="A163" s="2">
        <v>159</v>
      </c>
      <c r="B163">
        <v>2</v>
      </c>
      <c r="C163">
        <v>2</v>
      </c>
      <c r="D163">
        <v>1</v>
      </c>
      <c r="E163">
        <v>4</v>
      </c>
      <c r="G163">
        <v>281797376</v>
      </c>
      <c r="H163">
        <v>124.0899963</v>
      </c>
      <c r="I163">
        <v>2.9500000480000002</v>
      </c>
      <c r="J163" s="9">
        <f t="shared" si="104"/>
        <v>19456992</v>
      </c>
      <c r="K163" s="52"/>
      <c r="L163" s="9">
        <f t="shared" si="105"/>
        <v>4.1699982000000091</v>
      </c>
      <c r="M163" s="9">
        <f t="shared" si="105"/>
        <v>0</v>
      </c>
      <c r="N163" s="29">
        <f t="shared" si="85"/>
        <v>242247276</v>
      </c>
      <c r="O163" s="30">
        <f t="shared" si="86"/>
        <v>2.0416912220196664</v>
      </c>
      <c r="P163" s="30">
        <f t="shared" si="87"/>
        <v>2.0416912220196664</v>
      </c>
      <c r="Q163" s="29">
        <f t="shared" si="88"/>
        <v>88.699996909999996</v>
      </c>
      <c r="R163" s="30">
        <f t="shared" si="89"/>
        <v>0.83545256135328427</v>
      </c>
      <c r="S163" s="30">
        <f t="shared" si="90"/>
        <v>0.83545256135328427</v>
      </c>
      <c r="T163" s="37">
        <f t="shared" si="91"/>
        <v>6.9999934000000152E-2</v>
      </c>
      <c r="U163" s="30">
        <f t="shared" si="92"/>
        <v>8.1018438922649937E-3</v>
      </c>
      <c r="V163" s="38">
        <f t="shared" si="93"/>
        <v>6.5931934827686319E-4</v>
      </c>
      <c r="W163" s="9">
        <f t="shared" si="101"/>
        <v>195684912</v>
      </c>
      <c r="X163" s="12">
        <f t="shared" si="101"/>
        <v>86.909995989999999</v>
      </c>
      <c r="Y163" s="11">
        <f t="shared" si="101"/>
        <v>0.56999993400000015</v>
      </c>
      <c r="Z163" s="7">
        <f t="shared" si="103"/>
        <v>41485232</v>
      </c>
      <c r="AA163" s="7">
        <f t="shared" si="103"/>
        <v>7.369995099999997</v>
      </c>
      <c r="AB163" s="7">
        <f t="shared" si="103"/>
        <v>0</v>
      </c>
    </row>
    <row r="164" spans="1:28" x14ac:dyDescent="0.25">
      <c r="A164" s="2">
        <v>160</v>
      </c>
      <c r="B164">
        <v>2</v>
      </c>
      <c r="C164">
        <v>2</v>
      </c>
      <c r="D164">
        <v>1</v>
      </c>
      <c r="E164">
        <v>5</v>
      </c>
      <c r="G164">
        <v>260644400</v>
      </c>
      <c r="H164">
        <v>120.0999985</v>
      </c>
      <c r="I164">
        <v>2.9500000480000002</v>
      </c>
      <c r="J164" s="9">
        <f t="shared" si="104"/>
        <v>21152976</v>
      </c>
      <c r="K164" s="52"/>
      <c r="L164" s="9">
        <f t="shared" si="105"/>
        <v>3.9899977999999976</v>
      </c>
      <c r="M164" s="9">
        <f t="shared" si="105"/>
        <v>0</v>
      </c>
      <c r="N164" s="29">
        <f t="shared" si="85"/>
        <v>225088960</v>
      </c>
      <c r="O164" s="30">
        <f t="shared" si="86"/>
        <v>2.1102158582015389</v>
      </c>
      <c r="P164" s="30">
        <f t="shared" si="87"/>
        <v>2.1102158582015389</v>
      </c>
      <c r="Q164" s="29">
        <f t="shared" si="88"/>
        <v>86.169998190000001</v>
      </c>
      <c r="R164" s="30">
        <f t="shared" si="89"/>
        <v>0.84654678654790738</v>
      </c>
      <c r="S164" s="30">
        <f t="shared" si="90"/>
        <v>0.84654678654790738</v>
      </c>
      <c r="T164" s="37">
        <f t="shared" si="91"/>
        <v>6.9999934000000152E-2</v>
      </c>
      <c r="U164" s="30">
        <f t="shared" si="92"/>
        <v>8.1018438922649937E-3</v>
      </c>
      <c r="V164" s="38">
        <f t="shared" si="93"/>
        <v>6.8768968818595886E-4</v>
      </c>
      <c r="W164" s="9">
        <f t="shared" si="101"/>
        <v>180368336</v>
      </c>
      <c r="X164" s="12">
        <f t="shared" si="101"/>
        <v>83.439998650000007</v>
      </c>
      <c r="Y164" s="11">
        <f t="shared" si="101"/>
        <v>0.56999993400000015</v>
      </c>
      <c r="Z164" s="7">
        <f t="shared" si="103"/>
        <v>38530608</v>
      </c>
      <c r="AA164" s="7">
        <f t="shared" si="103"/>
        <v>7.150001599999996</v>
      </c>
      <c r="AB164" s="7">
        <f t="shared" si="103"/>
        <v>0</v>
      </c>
    </row>
    <row r="165" spans="1:28" x14ac:dyDescent="0.25">
      <c r="A165" s="2">
        <v>161</v>
      </c>
      <c r="B165">
        <v>2</v>
      </c>
      <c r="C165">
        <v>2</v>
      </c>
      <c r="D165">
        <v>1</v>
      </c>
      <c r="E165">
        <v>6</v>
      </c>
      <c r="G165">
        <v>216971072</v>
      </c>
      <c r="H165">
        <v>107.5899963</v>
      </c>
      <c r="I165">
        <v>2.9500000480000002</v>
      </c>
      <c r="J165" s="9">
        <f t="shared" si="104"/>
        <v>43673328</v>
      </c>
      <c r="K165" s="52">
        <f t="shared" ref="K165" si="106">AVERAGE(J160:J165)</f>
        <v>15479029.333333334</v>
      </c>
      <c r="L165" s="9">
        <f t="shared" si="105"/>
        <v>12.510002200000002</v>
      </c>
      <c r="M165" s="9">
        <f t="shared" si="105"/>
        <v>0</v>
      </c>
      <c r="N165" s="29">
        <f t="shared" si="85"/>
        <v>189333642</v>
      </c>
      <c r="O165" s="30">
        <f t="shared" si="86"/>
        <v>2.2835413423028119</v>
      </c>
      <c r="P165" s="30">
        <f t="shared" si="87"/>
        <v>2.2835413423028119</v>
      </c>
      <c r="Q165" s="29">
        <f t="shared" si="88"/>
        <v>77.239995919999998</v>
      </c>
      <c r="R165" s="30">
        <f t="shared" si="89"/>
        <v>0.84832504066896697</v>
      </c>
      <c r="S165" s="30">
        <f t="shared" si="90"/>
        <v>0.84832504066896697</v>
      </c>
      <c r="T165" s="37">
        <f t="shared" si="91"/>
        <v>6.9999934000000152E-2</v>
      </c>
      <c r="U165" s="30">
        <f t="shared" si="92"/>
        <v>8.1018438922649937E-3</v>
      </c>
      <c r="V165" s="38">
        <f t="shared" si="93"/>
        <v>7.6880761255968672E-4</v>
      </c>
      <c r="W165" s="9">
        <f t="shared" si="101"/>
        <v>150430092</v>
      </c>
      <c r="X165" s="12">
        <f t="shared" si="101"/>
        <v>73.619995079999995</v>
      </c>
      <c r="Y165" s="11">
        <f t="shared" si="101"/>
        <v>0.56999993400000015</v>
      </c>
      <c r="Z165" s="7">
        <f t="shared" si="103"/>
        <v>32092816</v>
      </c>
      <c r="AA165" s="7">
        <f t="shared" si="103"/>
        <v>6.4799956999999893</v>
      </c>
      <c r="AB165" s="7">
        <f t="shared" si="103"/>
        <v>0</v>
      </c>
    </row>
    <row r="166" spans="1:28" x14ac:dyDescent="0.25">
      <c r="A166" s="2">
        <v>162</v>
      </c>
      <c r="B166">
        <v>2</v>
      </c>
      <c r="C166">
        <v>2</v>
      </c>
      <c r="D166">
        <v>2</v>
      </c>
      <c r="E166">
        <v>0</v>
      </c>
      <c r="G166">
        <v>1126790784</v>
      </c>
      <c r="H166">
        <v>318.5</v>
      </c>
      <c r="I166">
        <v>3.0899999139999998</v>
      </c>
      <c r="K166" s="52"/>
      <c r="N166" s="29">
        <f t="shared" si="85"/>
        <v>828778176</v>
      </c>
      <c r="O166" s="30">
        <f t="shared" si="86"/>
        <v>0.92700571916742536</v>
      </c>
      <c r="P166" s="30">
        <f t="shared" si="87"/>
        <v>1.8540114383348507</v>
      </c>
      <c r="Q166" s="29">
        <f t="shared" si="88"/>
        <v>200.97000120000001</v>
      </c>
      <c r="R166" s="30">
        <f t="shared" si="89"/>
        <v>0.56998214144455528</v>
      </c>
      <c r="S166" s="30">
        <f t="shared" si="90"/>
        <v>1.1399642828891106</v>
      </c>
      <c r="T166" s="37">
        <f t="shared" si="91"/>
        <v>0.1399998659999997</v>
      </c>
      <c r="U166" s="30">
        <f t="shared" si="92"/>
        <v>1.5819193640907999E-2</v>
      </c>
      <c r="V166" s="38">
        <f t="shared" si="93"/>
        <v>7.9412273422059965E-4</v>
      </c>
      <c r="W166" s="9">
        <f t="shared" si="101"/>
        <v>759655744</v>
      </c>
      <c r="X166" s="12">
        <f t="shared" si="101"/>
        <v>245.90000153</v>
      </c>
      <c r="Y166" s="11">
        <f t="shared" si="101"/>
        <v>0.5999999039999997</v>
      </c>
      <c r="Z166" s="7">
        <f t="shared" si="103"/>
        <v>156989632</v>
      </c>
      <c r="AA166" s="7">
        <f t="shared" si="103"/>
        <v>18.75</v>
      </c>
      <c r="AB166" s="7">
        <f t="shared" si="103"/>
        <v>9.9999899999998476E-3</v>
      </c>
    </row>
    <row r="167" spans="1:28" x14ac:dyDescent="0.25">
      <c r="A167" s="2">
        <v>163</v>
      </c>
      <c r="B167">
        <v>2</v>
      </c>
      <c r="C167">
        <v>2</v>
      </c>
      <c r="D167">
        <v>2</v>
      </c>
      <c r="E167">
        <v>1</v>
      </c>
      <c r="G167">
        <v>1130811520</v>
      </c>
      <c r="H167">
        <v>333.5899963</v>
      </c>
      <c r="I167">
        <v>3.0899999139999998</v>
      </c>
      <c r="J167" s="9">
        <f t="shared" ref="J167:J228" si="107">ABS(G167-G166)</f>
        <v>4020736</v>
      </c>
      <c r="K167" s="52"/>
      <c r="L167" s="9">
        <f t="shared" ref="L167:M172" si="108">ABS(H167-H166)</f>
        <v>15.089996299999996</v>
      </c>
      <c r="M167" s="9">
        <f t="shared" si="108"/>
        <v>0</v>
      </c>
      <c r="N167" s="29">
        <f t="shared" si="85"/>
        <v>828559296</v>
      </c>
      <c r="O167" s="30">
        <f t="shared" si="86"/>
        <v>0.91376145506873085</v>
      </c>
      <c r="P167" s="30">
        <f t="shared" si="87"/>
        <v>1.8275229101374617</v>
      </c>
      <c r="Q167" s="29">
        <f t="shared" si="88"/>
        <v>210.87999719999999</v>
      </c>
      <c r="R167" s="30">
        <f t="shared" si="89"/>
        <v>0.5728411125055578</v>
      </c>
      <c r="S167" s="30">
        <f t="shared" si="90"/>
        <v>1.1456822250111156</v>
      </c>
      <c r="T167" s="37">
        <f t="shared" si="91"/>
        <v>0.1399998659999997</v>
      </c>
      <c r="U167" s="30">
        <f t="shared" si="92"/>
        <v>1.5819193640907999E-2</v>
      </c>
      <c r="V167" s="38">
        <f t="shared" si="93"/>
        <v>7.6060015226582945E-4</v>
      </c>
      <c r="W167" s="9">
        <f t="shared" si="101"/>
        <v>755058816</v>
      </c>
      <c r="X167" s="12">
        <f t="shared" si="101"/>
        <v>258.5899963</v>
      </c>
      <c r="Y167" s="11">
        <f t="shared" si="101"/>
        <v>0.5999999039999997</v>
      </c>
      <c r="Z167" s="7">
        <f t="shared" si="103"/>
        <v>156268096</v>
      </c>
      <c r="AA167" s="7">
        <f t="shared" si="103"/>
        <v>19.51998900000001</v>
      </c>
      <c r="AB167" s="7">
        <f t="shared" si="103"/>
        <v>9.9999899999998476E-3</v>
      </c>
    </row>
    <row r="168" spans="1:28" x14ac:dyDescent="0.25">
      <c r="A168" s="2">
        <v>164</v>
      </c>
      <c r="B168">
        <v>2</v>
      </c>
      <c r="C168">
        <v>2</v>
      </c>
      <c r="D168">
        <v>2</v>
      </c>
      <c r="E168">
        <v>2</v>
      </c>
      <c r="G168">
        <v>1127917696</v>
      </c>
      <c r="H168">
        <v>326.26998900000001</v>
      </c>
      <c r="I168">
        <v>3.0899999139999998</v>
      </c>
      <c r="J168" s="9">
        <f t="shared" si="107"/>
        <v>2893824</v>
      </c>
      <c r="K168" s="52"/>
      <c r="L168" s="9">
        <f t="shared" si="108"/>
        <v>7.3200072999999861</v>
      </c>
      <c r="M168" s="9">
        <f t="shared" si="108"/>
        <v>0</v>
      </c>
      <c r="N168" s="29">
        <f t="shared" si="85"/>
        <v>828340032</v>
      </c>
      <c r="O168" s="30">
        <f t="shared" si="86"/>
        <v>0.92167533558176096</v>
      </c>
      <c r="P168" s="30">
        <f t="shared" si="87"/>
        <v>1.8433506711635219</v>
      </c>
      <c r="Q168" s="29">
        <f t="shared" si="88"/>
        <v>205.8899917</v>
      </c>
      <c r="R168" s="30">
        <f t="shared" si="89"/>
        <v>0.57011130397602472</v>
      </c>
      <c r="S168" s="30">
        <f t="shared" si="90"/>
        <v>1.1402226079520494</v>
      </c>
      <c r="T168" s="37">
        <f t="shared" si="91"/>
        <v>0.1399998659999997</v>
      </c>
      <c r="U168" s="30">
        <f t="shared" si="92"/>
        <v>1.5819193640907999E-2</v>
      </c>
      <c r="V168" s="38">
        <f t="shared" si="93"/>
        <v>7.7532186487264349E-4</v>
      </c>
      <c r="W168" s="9">
        <f t="shared" si="101"/>
        <v>756735008</v>
      </c>
      <c r="X168" s="12">
        <f t="shared" si="101"/>
        <v>252.50998686000003</v>
      </c>
      <c r="Y168" s="11">
        <f t="shared" si="101"/>
        <v>0.5999999039999997</v>
      </c>
      <c r="Z168" s="7">
        <f t="shared" si="103"/>
        <v>156664832</v>
      </c>
      <c r="AA168" s="7">
        <f t="shared" si="103"/>
        <v>19.099975599999993</v>
      </c>
      <c r="AB168" s="7">
        <f t="shared" si="103"/>
        <v>9.9999899999998476E-3</v>
      </c>
    </row>
    <row r="169" spans="1:28" x14ac:dyDescent="0.25">
      <c r="A169" s="2">
        <v>165</v>
      </c>
      <c r="B169">
        <v>2</v>
      </c>
      <c r="C169">
        <v>2</v>
      </c>
      <c r="D169">
        <v>2</v>
      </c>
      <c r="E169">
        <v>3</v>
      </c>
      <c r="G169">
        <v>1112762240</v>
      </c>
      <c r="H169">
        <v>349.1600037</v>
      </c>
      <c r="I169">
        <v>3.0899999139999998</v>
      </c>
      <c r="J169" s="9">
        <f t="shared" si="107"/>
        <v>15155456</v>
      </c>
      <c r="K169" s="52"/>
      <c r="L169" s="9">
        <f t="shared" si="108"/>
        <v>22.890014699999995</v>
      </c>
      <c r="M169" s="9">
        <f t="shared" si="108"/>
        <v>0</v>
      </c>
      <c r="N169" s="29">
        <f t="shared" si="85"/>
        <v>811507872</v>
      </c>
      <c r="O169" s="30">
        <f t="shared" si="86"/>
        <v>0.8979210020948144</v>
      </c>
      <c r="P169" s="30">
        <f t="shared" si="87"/>
        <v>1.7958420041896288</v>
      </c>
      <c r="Q169" s="29">
        <f t="shared" si="88"/>
        <v>220.9000092</v>
      </c>
      <c r="R169" s="30">
        <f t="shared" si="89"/>
        <v>0.57409433617276506</v>
      </c>
      <c r="S169" s="30">
        <f t="shared" si="90"/>
        <v>1.1481886723455301</v>
      </c>
      <c r="T169" s="37">
        <f t="shared" si="91"/>
        <v>0.1399998659999997</v>
      </c>
      <c r="U169" s="30">
        <f t="shared" si="92"/>
        <v>1.5819193640907999E-2</v>
      </c>
      <c r="V169" s="38">
        <f t="shared" si="93"/>
        <v>7.2768788400345505E-4</v>
      </c>
      <c r="W169" s="9">
        <f t="shared" si="101"/>
        <v>731756480</v>
      </c>
      <c r="X169" s="12">
        <f t="shared" si="101"/>
        <v>271.62000277999999</v>
      </c>
      <c r="Y169" s="11">
        <f t="shared" si="101"/>
        <v>0.5999999039999997</v>
      </c>
      <c r="Z169" s="7">
        <f t="shared" si="103"/>
        <v>152582144</v>
      </c>
      <c r="AA169" s="7">
        <f t="shared" si="103"/>
        <v>20.25</v>
      </c>
      <c r="AB169" s="7">
        <f t="shared" si="103"/>
        <v>9.9999899999998476E-3</v>
      </c>
    </row>
    <row r="170" spans="1:28" x14ac:dyDescent="0.25">
      <c r="A170" s="2">
        <v>166</v>
      </c>
      <c r="B170">
        <v>2</v>
      </c>
      <c r="C170">
        <v>2</v>
      </c>
      <c r="D170">
        <v>2</v>
      </c>
      <c r="E170">
        <v>4</v>
      </c>
      <c r="G170">
        <v>1031216192</v>
      </c>
      <c r="H170">
        <v>338.36999509999998</v>
      </c>
      <c r="I170">
        <v>3.0899999139999998</v>
      </c>
      <c r="J170" s="9">
        <f t="shared" si="107"/>
        <v>81546048</v>
      </c>
      <c r="K170" s="52"/>
      <c r="L170" s="9">
        <f t="shared" si="108"/>
        <v>10.790008600000021</v>
      </c>
      <c r="M170" s="9">
        <f t="shared" si="108"/>
        <v>0</v>
      </c>
      <c r="N170" s="29">
        <f t="shared" si="85"/>
        <v>749418816</v>
      </c>
      <c r="O170" s="30">
        <f t="shared" si="86"/>
        <v>0.88647479811877306</v>
      </c>
      <c r="P170" s="30">
        <f t="shared" si="87"/>
        <v>1.7729495962375461</v>
      </c>
      <c r="Q170" s="29">
        <f t="shared" si="88"/>
        <v>214.27999879999999</v>
      </c>
      <c r="R170" s="30">
        <f t="shared" si="89"/>
        <v>0.57560374241599255</v>
      </c>
      <c r="S170" s="30">
        <f t="shared" si="90"/>
        <v>1.1512074848319851</v>
      </c>
      <c r="T170" s="37">
        <f t="shared" si="91"/>
        <v>0.1399998659999997</v>
      </c>
      <c r="U170" s="30">
        <f t="shared" si="92"/>
        <v>1.5819193640907999E-2</v>
      </c>
      <c r="V170" s="38">
        <f t="shared" si="93"/>
        <v>7.5214156485553703E-4</v>
      </c>
      <c r="W170" s="9">
        <f t="shared" ref="W170:Y185" si="109">ABS(G170-G149)</f>
        <v>670000512</v>
      </c>
      <c r="X170" s="12">
        <f t="shared" si="109"/>
        <v>262.63999173999997</v>
      </c>
      <c r="Y170" s="11">
        <f t="shared" si="109"/>
        <v>0.5999999039999997</v>
      </c>
      <c r="Z170" s="7">
        <f t="shared" si="103"/>
        <v>139856064</v>
      </c>
      <c r="AA170" s="7">
        <f t="shared" si="103"/>
        <v>19.699981699999967</v>
      </c>
      <c r="AB170" s="7">
        <f t="shared" si="103"/>
        <v>9.9999899999998476E-3</v>
      </c>
    </row>
    <row r="171" spans="1:28" x14ac:dyDescent="0.25">
      <c r="A171" s="2">
        <v>167</v>
      </c>
      <c r="B171">
        <v>2</v>
      </c>
      <c r="C171">
        <v>2</v>
      </c>
      <c r="D171">
        <v>2</v>
      </c>
      <c r="E171">
        <v>5</v>
      </c>
      <c r="G171">
        <v>958498624</v>
      </c>
      <c r="H171">
        <v>325.10000609999997</v>
      </c>
      <c r="I171">
        <v>3.0899999139999998</v>
      </c>
      <c r="J171" s="9">
        <f t="shared" si="107"/>
        <v>72717568</v>
      </c>
      <c r="K171" s="52"/>
      <c r="L171" s="9">
        <f t="shared" si="108"/>
        <v>13.26998900000001</v>
      </c>
      <c r="M171" s="9">
        <f t="shared" si="108"/>
        <v>0</v>
      </c>
      <c r="N171" s="29">
        <f t="shared" si="85"/>
        <v>697854224</v>
      </c>
      <c r="O171" s="30">
        <f t="shared" si="86"/>
        <v>0.89247294270149924</v>
      </c>
      <c r="P171" s="30">
        <f t="shared" si="87"/>
        <v>1.7849458854029985</v>
      </c>
      <c r="Q171" s="29">
        <f t="shared" si="88"/>
        <v>205.00000759999998</v>
      </c>
      <c r="R171" s="30">
        <f t="shared" si="89"/>
        <v>0.56897033072541348</v>
      </c>
      <c r="S171" s="30">
        <f t="shared" si="90"/>
        <v>1.137940661450827</v>
      </c>
      <c r="T171" s="37">
        <f t="shared" si="91"/>
        <v>0.1399998659999997</v>
      </c>
      <c r="U171" s="30">
        <f t="shared" si="92"/>
        <v>1.5819193640907999E-2</v>
      </c>
      <c r="V171" s="38">
        <f t="shared" si="93"/>
        <v>7.7712943518479553E-4</v>
      </c>
      <c r="W171" s="9">
        <f t="shared" si="109"/>
        <v>618306880</v>
      </c>
      <c r="X171" s="12">
        <f t="shared" si="109"/>
        <v>249.42000578999998</v>
      </c>
      <c r="Y171" s="11">
        <f t="shared" si="109"/>
        <v>0.5999999039999997</v>
      </c>
      <c r="Z171" s="7">
        <f t="shared" si="103"/>
        <v>130406592</v>
      </c>
      <c r="AA171" s="7">
        <f t="shared" si="103"/>
        <v>18.790008499999999</v>
      </c>
      <c r="AB171" s="7">
        <f t="shared" si="103"/>
        <v>9.9999899999998476E-3</v>
      </c>
    </row>
    <row r="172" spans="1:28" x14ac:dyDescent="0.25">
      <c r="A172" s="2">
        <v>168</v>
      </c>
      <c r="B172">
        <v>2</v>
      </c>
      <c r="C172">
        <v>2</v>
      </c>
      <c r="D172">
        <v>2</v>
      </c>
      <c r="E172">
        <v>6</v>
      </c>
      <c r="G172">
        <v>795916736</v>
      </c>
      <c r="H172">
        <v>290.13000490000002</v>
      </c>
      <c r="I172">
        <v>3.0899999139999998</v>
      </c>
      <c r="J172" s="9">
        <f t="shared" si="107"/>
        <v>162581888</v>
      </c>
      <c r="K172" s="52">
        <f t="shared" ref="K172" si="110">AVERAGE(J167:J172)</f>
        <v>56485920</v>
      </c>
      <c r="L172" s="9">
        <f t="shared" si="108"/>
        <v>34.970001199999956</v>
      </c>
      <c r="M172" s="9">
        <f t="shared" si="108"/>
        <v>0</v>
      </c>
      <c r="N172" s="29">
        <f t="shared" si="85"/>
        <v>578945664</v>
      </c>
      <c r="O172" s="30">
        <f t="shared" si="86"/>
        <v>0.88943602583113013</v>
      </c>
      <c r="P172" s="30">
        <f t="shared" si="87"/>
        <v>1.7788720516622603</v>
      </c>
      <c r="Q172" s="29">
        <f t="shared" si="88"/>
        <v>182.54000860000002</v>
      </c>
      <c r="R172" s="30">
        <f t="shared" si="89"/>
        <v>0.56554207292349667</v>
      </c>
      <c r="S172" s="30">
        <f t="shared" si="90"/>
        <v>1.1310841458469933</v>
      </c>
      <c r="T172" s="37">
        <f t="shared" si="91"/>
        <v>0.1399998659999997</v>
      </c>
      <c r="U172" s="30">
        <f t="shared" si="92"/>
        <v>1.5819193640907999E-2</v>
      </c>
      <c r="V172" s="38">
        <f t="shared" si="93"/>
        <v>8.6748998243064165E-4</v>
      </c>
      <c r="W172" s="9">
        <f t="shared" si="109"/>
        <v>504869248</v>
      </c>
      <c r="X172" s="12">
        <f t="shared" si="109"/>
        <v>219.27000429000003</v>
      </c>
      <c r="Y172" s="11">
        <f t="shared" si="109"/>
        <v>0.58999991399999985</v>
      </c>
      <c r="Z172" s="7">
        <f t="shared" si="103"/>
        <v>107670400</v>
      </c>
      <c r="AA172" s="7">
        <f t="shared" si="103"/>
        <v>16.86999510000004</v>
      </c>
      <c r="AB172" s="7">
        <f t="shared" si="103"/>
        <v>9.9999899999998476E-3</v>
      </c>
    </row>
    <row r="173" spans="1:28" x14ac:dyDescent="0.25">
      <c r="A173" s="2">
        <v>169</v>
      </c>
      <c r="B173">
        <v>2</v>
      </c>
      <c r="C173">
        <v>3</v>
      </c>
      <c r="D173">
        <v>0</v>
      </c>
      <c r="E173">
        <v>0</v>
      </c>
      <c r="G173">
        <v>98558224</v>
      </c>
      <c r="H173">
        <v>67.300003050000001</v>
      </c>
      <c r="I173">
        <v>3.4300000669999999</v>
      </c>
      <c r="K173" s="52"/>
      <c r="N173" s="29">
        <f t="shared" si="85"/>
        <v>1028232560</v>
      </c>
      <c r="O173" s="30">
        <f t="shared" si="86"/>
        <v>0.30417730738794069</v>
      </c>
      <c r="P173" s="30">
        <f t="shared" si="87"/>
        <v>1.0139243579598023</v>
      </c>
      <c r="Q173" s="29">
        <f t="shared" si="88"/>
        <v>251.19999695000001</v>
      </c>
      <c r="R173" s="30">
        <f t="shared" si="89"/>
        <v>0.26289900256410259</v>
      </c>
      <c r="S173" s="30">
        <f t="shared" si="90"/>
        <v>0.8763300085470086</v>
      </c>
      <c r="T173" s="37">
        <f t="shared" si="91"/>
        <v>0.34000015300000008</v>
      </c>
      <c r="U173" s="30">
        <f t="shared" si="92"/>
        <v>3.6677471678833638E-2</v>
      </c>
      <c r="V173" s="38">
        <f t="shared" si="93"/>
        <v>1.1861160055817201E-3</v>
      </c>
      <c r="W173" s="9">
        <f t="shared" si="109"/>
        <v>57701768</v>
      </c>
      <c r="X173" s="12">
        <f t="shared" si="109"/>
        <v>32.690002440000001</v>
      </c>
      <c r="Y173" s="11">
        <f t="shared" si="109"/>
        <v>0.54999995299999993</v>
      </c>
      <c r="Z173" s="7">
        <f t="shared" si="103"/>
        <v>13705088</v>
      </c>
      <c r="AA173" s="7">
        <f t="shared" si="103"/>
        <v>3.9800033599999978</v>
      </c>
      <c r="AB173" s="7">
        <f t="shared" si="103"/>
        <v>0</v>
      </c>
    </row>
    <row r="174" spans="1:28" x14ac:dyDescent="0.25">
      <c r="A174" s="2">
        <v>170</v>
      </c>
      <c r="B174">
        <v>2</v>
      </c>
      <c r="C174">
        <v>3</v>
      </c>
      <c r="D174">
        <v>0</v>
      </c>
      <c r="E174">
        <v>1</v>
      </c>
      <c r="G174">
        <v>99012528</v>
      </c>
      <c r="H174">
        <v>68.58000183</v>
      </c>
      <c r="I174">
        <v>3.4300000669999999</v>
      </c>
      <c r="J174" s="9">
        <f t="shared" ref="J174" si="111">ABS(G174-G173)</f>
        <v>454304</v>
      </c>
      <c r="K174" s="52"/>
      <c r="L174" s="9">
        <f t="shared" ref="L174:M179" si="112">ABS(H174-H173)</f>
        <v>1.2799987799999997</v>
      </c>
      <c r="M174" s="9">
        <f t="shared" si="112"/>
        <v>0</v>
      </c>
      <c r="N174" s="29">
        <f t="shared" si="85"/>
        <v>1031798992</v>
      </c>
      <c r="O174" s="30">
        <f t="shared" si="86"/>
        <v>0.30414705832969702</v>
      </c>
      <c r="P174" s="30">
        <f t="shared" si="87"/>
        <v>1.0138235277656567</v>
      </c>
      <c r="Q174" s="29">
        <f t="shared" si="88"/>
        <v>265.00999446999998</v>
      </c>
      <c r="R174" s="30">
        <f t="shared" si="89"/>
        <v>0.2648060967148772</v>
      </c>
      <c r="S174" s="30">
        <f t="shared" si="90"/>
        <v>0.88268698904959064</v>
      </c>
      <c r="T174" s="37">
        <f t="shared" si="91"/>
        <v>0.34000015300000008</v>
      </c>
      <c r="U174" s="30">
        <f t="shared" si="92"/>
        <v>3.6677471678833638E-2</v>
      </c>
      <c r="V174" s="38">
        <f t="shared" si="93"/>
        <v>1.1324618602712513E-3</v>
      </c>
      <c r="W174" s="9">
        <f t="shared" si="109"/>
        <v>56827352</v>
      </c>
      <c r="X174" s="12">
        <f t="shared" si="109"/>
        <v>32.950000760000002</v>
      </c>
      <c r="Y174" s="11">
        <f t="shared" si="109"/>
        <v>0.54999995299999993</v>
      </c>
      <c r="Z174" s="7">
        <f t="shared" ref="Z174:AB189" si="113">ABS(G174-G69)</f>
        <v>13697176</v>
      </c>
      <c r="AA174" s="7">
        <f t="shared" si="113"/>
        <v>4.0600051899999983</v>
      </c>
      <c r="AB174" s="7">
        <f t="shared" si="113"/>
        <v>0</v>
      </c>
    </row>
    <row r="175" spans="1:28" x14ac:dyDescent="0.25">
      <c r="A175" s="2">
        <v>171</v>
      </c>
      <c r="B175">
        <v>2</v>
      </c>
      <c r="C175">
        <v>3</v>
      </c>
      <c r="D175">
        <v>0</v>
      </c>
      <c r="E175">
        <v>2</v>
      </c>
      <c r="G175">
        <v>98553208</v>
      </c>
      <c r="H175">
        <v>67.599998470000003</v>
      </c>
      <c r="I175">
        <v>3.4300000669999999</v>
      </c>
      <c r="J175" s="9">
        <f t="shared" si="104"/>
        <v>459320</v>
      </c>
      <c r="K175" s="52"/>
      <c r="L175" s="9">
        <f t="shared" si="112"/>
        <v>0.98000335999999777</v>
      </c>
      <c r="M175" s="9">
        <f t="shared" si="112"/>
        <v>0</v>
      </c>
      <c r="N175" s="29">
        <f t="shared" si="85"/>
        <v>1029364488</v>
      </c>
      <c r="O175" s="30">
        <f t="shared" si="86"/>
        <v>0.30420791979488543</v>
      </c>
      <c r="P175" s="30">
        <f t="shared" si="87"/>
        <v>1.0140263993162848</v>
      </c>
      <c r="Q175" s="29">
        <f t="shared" si="88"/>
        <v>258.66999053000001</v>
      </c>
      <c r="R175" s="30">
        <f t="shared" si="89"/>
        <v>0.26426987796498397</v>
      </c>
      <c r="S175" s="30">
        <f t="shared" si="90"/>
        <v>0.88089959321661326</v>
      </c>
      <c r="T175" s="37">
        <f t="shared" si="91"/>
        <v>0.34000015300000008</v>
      </c>
      <c r="U175" s="30">
        <f t="shared" si="92"/>
        <v>3.6677471678833638E-2</v>
      </c>
      <c r="V175" s="38">
        <f t="shared" si="93"/>
        <v>1.1578691283732438E-3</v>
      </c>
      <c r="W175" s="9">
        <f t="shared" si="109"/>
        <v>57157836</v>
      </c>
      <c r="X175" s="12">
        <f t="shared" si="109"/>
        <v>32.489997860000003</v>
      </c>
      <c r="Y175" s="11">
        <f t="shared" si="109"/>
        <v>0.54999995299999993</v>
      </c>
      <c r="Z175" s="7">
        <f t="shared" si="113"/>
        <v>13688176</v>
      </c>
      <c r="AA175" s="7">
        <f t="shared" si="113"/>
        <v>4</v>
      </c>
      <c r="AB175" s="7">
        <f t="shared" si="113"/>
        <v>0</v>
      </c>
    </row>
    <row r="176" spans="1:28" x14ac:dyDescent="0.25">
      <c r="A176" s="2">
        <v>172</v>
      </c>
      <c r="B176">
        <v>2</v>
      </c>
      <c r="C176">
        <v>3</v>
      </c>
      <c r="D176">
        <v>0</v>
      </c>
      <c r="E176">
        <v>3</v>
      </c>
      <c r="G176">
        <v>97084736</v>
      </c>
      <c r="H176">
        <v>68.769996640000002</v>
      </c>
      <c r="I176">
        <v>3.4300000669999999</v>
      </c>
      <c r="J176" s="9">
        <f t="shared" si="104"/>
        <v>1468472</v>
      </c>
      <c r="K176" s="52"/>
      <c r="L176" s="9">
        <f t="shared" si="112"/>
        <v>1.1699981699999995</v>
      </c>
      <c r="M176" s="9">
        <f t="shared" si="112"/>
        <v>0</v>
      </c>
      <c r="N176" s="29">
        <f t="shared" si="85"/>
        <v>1015677504</v>
      </c>
      <c r="O176" s="30">
        <f t="shared" si="86"/>
        <v>0.304251129154059</v>
      </c>
      <c r="P176" s="30">
        <f t="shared" si="87"/>
        <v>1.01417043051353</v>
      </c>
      <c r="Q176" s="29">
        <f t="shared" si="88"/>
        <v>280.39000706000002</v>
      </c>
      <c r="R176" s="30">
        <f t="shared" si="89"/>
        <v>0.26768053240992296</v>
      </c>
      <c r="S176" s="30">
        <f t="shared" si="90"/>
        <v>0.89226844136640981</v>
      </c>
      <c r="T176" s="37">
        <f t="shared" si="91"/>
        <v>0.34000015300000008</v>
      </c>
      <c r="U176" s="30">
        <f t="shared" si="92"/>
        <v>3.6677471678833638E-2</v>
      </c>
      <c r="V176" s="38">
        <f t="shared" si="93"/>
        <v>1.0819622630728533E-3</v>
      </c>
      <c r="W176" s="9">
        <f t="shared" si="109"/>
        <v>54384192</v>
      </c>
      <c r="X176" s="12">
        <f t="shared" si="109"/>
        <v>32.229995720000005</v>
      </c>
      <c r="Y176" s="11">
        <f t="shared" si="109"/>
        <v>0.54999995299999993</v>
      </c>
      <c r="Z176" s="7">
        <f t="shared" si="113"/>
        <v>13399920</v>
      </c>
      <c r="AA176" s="7">
        <f t="shared" si="113"/>
        <v>4.0699996900000031</v>
      </c>
      <c r="AB176" s="7">
        <f t="shared" si="113"/>
        <v>0</v>
      </c>
    </row>
    <row r="177" spans="1:28" x14ac:dyDescent="0.25">
      <c r="A177" s="2">
        <v>173</v>
      </c>
      <c r="B177">
        <v>2</v>
      </c>
      <c r="C177">
        <v>3</v>
      </c>
      <c r="D177">
        <v>0</v>
      </c>
      <c r="E177">
        <v>4</v>
      </c>
      <c r="G177">
        <v>89186256</v>
      </c>
      <c r="H177">
        <v>66.47000122</v>
      </c>
      <c r="I177">
        <v>3.4300000669999999</v>
      </c>
      <c r="J177" s="9">
        <f t="shared" si="104"/>
        <v>7898480</v>
      </c>
      <c r="K177" s="52"/>
      <c r="L177" s="9">
        <f t="shared" si="112"/>
        <v>2.2999954200000019</v>
      </c>
      <c r="M177" s="9">
        <f t="shared" si="112"/>
        <v>0</v>
      </c>
      <c r="N177" s="29">
        <f t="shared" si="85"/>
        <v>942029936</v>
      </c>
      <c r="O177" s="30">
        <f t="shared" si="86"/>
        <v>0.30450450749581198</v>
      </c>
      <c r="P177" s="30">
        <f t="shared" si="87"/>
        <v>1.0150150249860399</v>
      </c>
      <c r="Q177" s="29">
        <f t="shared" si="88"/>
        <v>271.89999388000001</v>
      </c>
      <c r="R177" s="30">
        <f t="shared" si="89"/>
        <v>0.26785274287262989</v>
      </c>
      <c r="S177" s="30">
        <f t="shared" si="90"/>
        <v>0.89284247624209967</v>
      </c>
      <c r="T177" s="37">
        <f t="shared" si="91"/>
        <v>0.34000015300000008</v>
      </c>
      <c r="U177" s="30">
        <f t="shared" si="92"/>
        <v>3.6677471678833638E-2</v>
      </c>
      <c r="V177" s="38">
        <f t="shared" si="93"/>
        <v>1.1164640873849688E-3</v>
      </c>
      <c r="W177" s="9">
        <f t="shared" si="109"/>
        <v>49636156</v>
      </c>
      <c r="X177" s="12">
        <f t="shared" si="109"/>
        <v>31.08000183</v>
      </c>
      <c r="Y177" s="11">
        <f t="shared" si="109"/>
        <v>0.54999995299999993</v>
      </c>
      <c r="Z177" s="7">
        <f t="shared" si="113"/>
        <v>12366504</v>
      </c>
      <c r="AA177" s="7">
        <f t="shared" si="113"/>
        <v>3.9900016799999989</v>
      </c>
      <c r="AB177" s="7">
        <f t="shared" si="113"/>
        <v>0</v>
      </c>
    </row>
    <row r="178" spans="1:28" x14ac:dyDescent="0.25">
      <c r="A178" s="2">
        <v>174</v>
      </c>
      <c r="B178">
        <v>2</v>
      </c>
      <c r="C178">
        <v>3</v>
      </c>
      <c r="D178">
        <v>0</v>
      </c>
      <c r="E178">
        <v>5</v>
      </c>
      <c r="G178">
        <v>80959760</v>
      </c>
      <c r="H178">
        <v>61.509998320000001</v>
      </c>
      <c r="I178">
        <v>3.4300000669999999</v>
      </c>
      <c r="J178" s="9">
        <f t="shared" si="104"/>
        <v>8226496</v>
      </c>
      <c r="K178" s="52"/>
      <c r="L178" s="9">
        <f t="shared" si="112"/>
        <v>4.9600028999999992</v>
      </c>
      <c r="M178" s="9">
        <f t="shared" si="112"/>
        <v>0</v>
      </c>
      <c r="N178" s="29">
        <f t="shared" si="85"/>
        <v>877538864</v>
      </c>
      <c r="O178" s="30">
        <f t="shared" si="86"/>
        <v>0.30517827291807015</v>
      </c>
      <c r="P178" s="30">
        <f t="shared" si="87"/>
        <v>1.0172609097269003</v>
      </c>
      <c r="Q178" s="29">
        <f t="shared" si="88"/>
        <v>263.59000777999995</v>
      </c>
      <c r="R178" s="30">
        <f t="shared" si="89"/>
        <v>0.27026556222099885</v>
      </c>
      <c r="S178" s="30">
        <f t="shared" si="90"/>
        <v>0.90088520740332945</v>
      </c>
      <c r="T178" s="37">
        <f t="shared" si="91"/>
        <v>0.34000015300000008</v>
      </c>
      <c r="U178" s="30">
        <f t="shared" si="92"/>
        <v>3.6677471678833638E-2</v>
      </c>
      <c r="V178" s="38">
        <f t="shared" si="93"/>
        <v>1.1620361140859969E-3</v>
      </c>
      <c r="W178" s="9">
        <f t="shared" si="109"/>
        <v>45404320</v>
      </c>
      <c r="X178" s="12">
        <f t="shared" si="109"/>
        <v>27.579998010000004</v>
      </c>
      <c r="Y178" s="11">
        <f t="shared" si="109"/>
        <v>0.54999995299999993</v>
      </c>
      <c r="Z178" s="7">
        <f t="shared" si="113"/>
        <v>11486296</v>
      </c>
      <c r="AA178" s="7">
        <f t="shared" si="113"/>
        <v>3.7699966400000022</v>
      </c>
      <c r="AB178" s="7">
        <f t="shared" si="113"/>
        <v>0</v>
      </c>
    </row>
    <row r="179" spans="1:28" x14ac:dyDescent="0.25">
      <c r="A179" s="2">
        <v>175</v>
      </c>
      <c r="B179">
        <v>2</v>
      </c>
      <c r="C179">
        <v>3</v>
      </c>
      <c r="D179">
        <v>0</v>
      </c>
      <c r="E179">
        <v>6</v>
      </c>
      <c r="G179">
        <v>64311596</v>
      </c>
      <c r="H179">
        <v>54.069999690000003</v>
      </c>
      <c r="I179">
        <v>3.4300000669999999</v>
      </c>
      <c r="J179" s="9">
        <f t="shared" si="104"/>
        <v>16648164</v>
      </c>
      <c r="K179" s="52">
        <f t="shared" ref="K179" si="114">AVERAGE(J174:J179)</f>
        <v>5859206</v>
      </c>
      <c r="L179" s="9">
        <f t="shared" si="112"/>
        <v>7.4399986299999981</v>
      </c>
      <c r="M179" s="9">
        <f t="shared" si="112"/>
        <v>0</v>
      </c>
      <c r="N179" s="29">
        <f t="shared" si="85"/>
        <v>731605140</v>
      </c>
      <c r="O179" s="30">
        <f t="shared" si="86"/>
        <v>0.30639936185485611</v>
      </c>
      <c r="P179" s="30">
        <f t="shared" si="87"/>
        <v>1.0213312061828537</v>
      </c>
      <c r="Q179" s="29">
        <f t="shared" si="88"/>
        <v>236.06000521000001</v>
      </c>
      <c r="R179" s="30">
        <f t="shared" si="89"/>
        <v>0.27121175705509848</v>
      </c>
      <c r="S179" s="30">
        <f t="shared" si="90"/>
        <v>0.90403919018366152</v>
      </c>
      <c r="T179" s="37">
        <f t="shared" si="91"/>
        <v>0.34000015300000008</v>
      </c>
      <c r="U179" s="30">
        <f t="shared" si="92"/>
        <v>3.6677471678833638E-2</v>
      </c>
      <c r="V179" s="38">
        <f t="shared" si="93"/>
        <v>1.3020988570554353E-3</v>
      </c>
      <c r="W179" s="9">
        <f t="shared" si="109"/>
        <v>36674166</v>
      </c>
      <c r="X179" s="12">
        <f t="shared" si="109"/>
        <v>23.719999310000002</v>
      </c>
      <c r="Y179" s="11">
        <f t="shared" si="109"/>
        <v>0.54999995299999993</v>
      </c>
      <c r="Z179" s="7">
        <f t="shared" si="113"/>
        <v>9486784</v>
      </c>
      <c r="AA179" s="7">
        <f t="shared" si="113"/>
        <v>3.4500007600000018</v>
      </c>
      <c r="AB179" s="7">
        <f t="shared" si="113"/>
        <v>0</v>
      </c>
    </row>
    <row r="180" spans="1:28" x14ac:dyDescent="0.25">
      <c r="A180" s="2">
        <v>176</v>
      </c>
      <c r="B180">
        <v>2</v>
      </c>
      <c r="C180">
        <v>3</v>
      </c>
      <c r="D180">
        <v>1</v>
      </c>
      <c r="E180">
        <v>0</v>
      </c>
      <c r="G180">
        <v>544158272</v>
      </c>
      <c r="H180">
        <v>281.73999020000002</v>
      </c>
      <c r="I180">
        <v>3.5699999330000001</v>
      </c>
      <c r="K180" s="52"/>
      <c r="N180" s="29">
        <f t="shared" si="85"/>
        <v>445600048</v>
      </c>
      <c r="O180" s="30">
        <f t="shared" si="86"/>
        <v>1.5070619508457594</v>
      </c>
      <c r="P180" s="30">
        <f t="shared" si="87"/>
        <v>1.5070619508457594</v>
      </c>
      <c r="Q180" s="29">
        <f t="shared" si="88"/>
        <v>214.43998715000004</v>
      </c>
      <c r="R180" s="30">
        <f t="shared" si="89"/>
        <v>1.0621098436438581</v>
      </c>
      <c r="S180" s="30">
        <f t="shared" si="90"/>
        <v>1.0621098436438581</v>
      </c>
      <c r="T180" s="37">
        <f t="shared" si="91"/>
        <v>0.13999986600000014</v>
      </c>
      <c r="U180" s="30">
        <f t="shared" si="92"/>
        <v>1.3605428888756941E-2</v>
      </c>
      <c r="V180" s="38">
        <f t="shared" si="93"/>
        <v>6.9341188536543527E-4</v>
      </c>
      <c r="W180" s="9">
        <f t="shared" si="109"/>
        <v>246145664</v>
      </c>
      <c r="X180" s="12">
        <f t="shared" si="109"/>
        <v>164.20999140000004</v>
      </c>
      <c r="Y180" s="11">
        <f t="shared" si="109"/>
        <v>0.61999988499999992</v>
      </c>
      <c r="Z180" s="7">
        <f t="shared" si="113"/>
        <v>65440576</v>
      </c>
      <c r="AA180" s="7">
        <f t="shared" si="113"/>
        <v>16.36999510000004</v>
      </c>
      <c r="AB180" s="7">
        <f t="shared" si="113"/>
        <v>9.9999899999998476E-3</v>
      </c>
    </row>
    <row r="181" spans="1:28" x14ac:dyDescent="0.25">
      <c r="A181" s="2">
        <v>177</v>
      </c>
      <c r="B181">
        <v>2</v>
      </c>
      <c r="C181">
        <v>3</v>
      </c>
      <c r="D181">
        <v>1</v>
      </c>
      <c r="E181">
        <v>1</v>
      </c>
      <c r="G181">
        <v>543508672</v>
      </c>
      <c r="H181">
        <v>287.48999020000002</v>
      </c>
      <c r="I181">
        <v>3.5699999330000001</v>
      </c>
      <c r="J181" s="9">
        <f t="shared" ref="J181" si="115">ABS(G181-G180)</f>
        <v>649600</v>
      </c>
      <c r="K181" s="52"/>
      <c r="L181" s="9">
        <f t="shared" ref="L181:M186" si="116">ABS(H181-H180)</f>
        <v>5.75</v>
      </c>
      <c r="M181" s="9">
        <f t="shared" si="116"/>
        <v>0</v>
      </c>
      <c r="N181" s="29">
        <f t="shared" si="85"/>
        <v>444496144</v>
      </c>
      <c r="O181" s="30">
        <f t="shared" si="86"/>
        <v>1.4964306469715967</v>
      </c>
      <c r="P181" s="30">
        <f t="shared" si="87"/>
        <v>1.4964306469715967</v>
      </c>
      <c r="Q181" s="29">
        <f t="shared" si="88"/>
        <v>218.90998837000001</v>
      </c>
      <c r="R181" s="30">
        <f t="shared" si="89"/>
        <v>1.0640127468094198</v>
      </c>
      <c r="S181" s="30">
        <f t="shared" si="90"/>
        <v>1.0640127468094198</v>
      </c>
      <c r="T181" s="37">
        <f t="shared" si="91"/>
        <v>0.13999986600000014</v>
      </c>
      <c r="U181" s="30">
        <f t="shared" si="92"/>
        <v>1.3605428888756941E-2</v>
      </c>
      <c r="V181" s="38">
        <f t="shared" si="93"/>
        <v>6.8046982727821908E-4</v>
      </c>
      <c r="W181" s="9">
        <f t="shared" si="109"/>
        <v>241256448</v>
      </c>
      <c r="X181" s="12">
        <f t="shared" si="109"/>
        <v>164.77999110000002</v>
      </c>
      <c r="Y181" s="11">
        <f t="shared" si="109"/>
        <v>0.61999988499999992</v>
      </c>
      <c r="Z181" s="7">
        <f t="shared" si="113"/>
        <v>65069472</v>
      </c>
      <c r="AA181" s="7">
        <f t="shared" si="113"/>
        <v>16.630004799999995</v>
      </c>
      <c r="AB181" s="7">
        <f t="shared" si="113"/>
        <v>9.9999899999998476E-3</v>
      </c>
    </row>
    <row r="182" spans="1:28" x14ac:dyDescent="0.25">
      <c r="A182" s="2">
        <v>178</v>
      </c>
      <c r="B182">
        <v>2</v>
      </c>
      <c r="C182">
        <v>3</v>
      </c>
      <c r="D182">
        <v>1</v>
      </c>
      <c r="E182">
        <v>2</v>
      </c>
      <c r="G182">
        <v>543396544</v>
      </c>
      <c r="H182">
        <v>282.77999879999999</v>
      </c>
      <c r="I182">
        <v>3.5699999330000001</v>
      </c>
      <c r="J182" s="9">
        <f t="shared" si="107"/>
        <v>112128</v>
      </c>
      <c r="K182" s="52"/>
      <c r="L182" s="9">
        <f t="shared" si="116"/>
        <v>4.7099914000000354</v>
      </c>
      <c r="M182" s="9">
        <f t="shared" si="116"/>
        <v>0</v>
      </c>
      <c r="N182" s="29">
        <f t="shared" si="85"/>
        <v>444843336</v>
      </c>
      <c r="O182" s="30">
        <f t="shared" si="86"/>
        <v>1.5045792522552892</v>
      </c>
      <c r="P182" s="30">
        <f t="shared" si="87"/>
        <v>1.5045792522552892</v>
      </c>
      <c r="Q182" s="29">
        <f t="shared" si="88"/>
        <v>215.18000032999998</v>
      </c>
      <c r="R182" s="30">
        <f t="shared" si="89"/>
        <v>1.0610453905335222</v>
      </c>
      <c r="S182" s="30">
        <f t="shared" si="90"/>
        <v>1.0610453905335222</v>
      </c>
      <c r="T182" s="37">
        <f t="shared" si="91"/>
        <v>0.13999986600000014</v>
      </c>
      <c r="U182" s="30">
        <f t="shared" si="92"/>
        <v>1.3605428888756941E-2</v>
      </c>
      <c r="V182" s="38">
        <f t="shared" si="93"/>
        <v>6.9033466059485315E-4</v>
      </c>
      <c r="W182" s="9">
        <f t="shared" si="109"/>
        <v>243818880</v>
      </c>
      <c r="X182" s="12">
        <f t="shared" si="109"/>
        <v>162.40000149999997</v>
      </c>
      <c r="Y182" s="11">
        <f t="shared" si="109"/>
        <v>0.61999988499999992</v>
      </c>
      <c r="Z182" s="7">
        <f t="shared" si="113"/>
        <v>65266944</v>
      </c>
      <c r="AA182" s="7">
        <f t="shared" si="113"/>
        <v>16.39999389999997</v>
      </c>
      <c r="AB182" s="7">
        <f t="shared" si="113"/>
        <v>9.9999899999998476E-3</v>
      </c>
    </row>
    <row r="183" spans="1:28" x14ac:dyDescent="0.25">
      <c r="A183" s="2">
        <v>179</v>
      </c>
      <c r="B183">
        <v>2</v>
      </c>
      <c r="C183">
        <v>3</v>
      </c>
      <c r="D183">
        <v>1</v>
      </c>
      <c r="E183">
        <v>3</v>
      </c>
      <c r="G183">
        <v>531298880</v>
      </c>
      <c r="H183">
        <v>287.52999879999999</v>
      </c>
      <c r="I183">
        <v>3.5699999330000001</v>
      </c>
      <c r="J183" s="9">
        <f t="shared" si="107"/>
        <v>12097664</v>
      </c>
      <c r="K183" s="52"/>
      <c r="L183" s="9">
        <f t="shared" si="116"/>
        <v>4.75</v>
      </c>
      <c r="M183" s="9">
        <f t="shared" si="116"/>
        <v>0</v>
      </c>
      <c r="N183" s="29">
        <f t="shared" si="85"/>
        <v>434214144</v>
      </c>
      <c r="O183" s="30">
        <f t="shared" si="86"/>
        <v>1.4908424739394668</v>
      </c>
      <c r="P183" s="30">
        <f t="shared" si="87"/>
        <v>1.4908424739394668</v>
      </c>
      <c r="Q183" s="29">
        <f t="shared" si="88"/>
        <v>218.76000216</v>
      </c>
      <c r="R183" s="30">
        <f t="shared" si="89"/>
        <v>1.0603461434166503</v>
      </c>
      <c r="S183" s="30">
        <f t="shared" si="90"/>
        <v>1.0603461434166503</v>
      </c>
      <c r="T183" s="37">
        <f t="shared" si="91"/>
        <v>0.13999986600000014</v>
      </c>
      <c r="U183" s="30">
        <f t="shared" si="92"/>
        <v>1.3605428888756941E-2</v>
      </c>
      <c r="V183" s="38">
        <f t="shared" si="93"/>
        <v>6.7858985429783273E-4</v>
      </c>
      <c r="W183" s="9">
        <f t="shared" si="109"/>
        <v>230044512</v>
      </c>
      <c r="X183" s="12">
        <f t="shared" si="109"/>
        <v>159.27000429999998</v>
      </c>
      <c r="Y183" s="11">
        <f t="shared" si="109"/>
        <v>0.61999988499999992</v>
      </c>
      <c r="Z183" s="7">
        <f t="shared" si="113"/>
        <v>63428032</v>
      </c>
      <c r="AA183" s="7">
        <f t="shared" si="113"/>
        <v>16.540008599999965</v>
      </c>
      <c r="AB183" s="7">
        <f t="shared" si="113"/>
        <v>9.9999899999998476E-3</v>
      </c>
    </row>
    <row r="184" spans="1:28" x14ac:dyDescent="0.25">
      <c r="A184" s="2">
        <v>180</v>
      </c>
      <c r="B184">
        <v>2</v>
      </c>
      <c r="C184">
        <v>3</v>
      </c>
      <c r="D184">
        <v>1</v>
      </c>
      <c r="E184">
        <v>4</v>
      </c>
      <c r="G184">
        <v>489633280</v>
      </c>
      <c r="H184">
        <v>277.5</v>
      </c>
      <c r="I184">
        <v>3.5699999330000001</v>
      </c>
      <c r="J184" s="9">
        <f t="shared" si="107"/>
        <v>41665600</v>
      </c>
      <c r="K184" s="52"/>
      <c r="L184" s="9">
        <f t="shared" si="116"/>
        <v>10.029998799999987</v>
      </c>
      <c r="M184" s="9">
        <f t="shared" si="116"/>
        <v>0</v>
      </c>
      <c r="N184" s="29">
        <f t="shared" si="85"/>
        <v>400447024</v>
      </c>
      <c r="O184" s="30">
        <f t="shared" si="86"/>
        <v>1.4966694120822084</v>
      </c>
      <c r="P184" s="30">
        <f t="shared" si="87"/>
        <v>1.4966694120822084</v>
      </c>
      <c r="Q184" s="29">
        <f t="shared" si="88"/>
        <v>211.02999878</v>
      </c>
      <c r="R184" s="30">
        <f t="shared" si="89"/>
        <v>1.0582718765695047</v>
      </c>
      <c r="S184" s="30">
        <f t="shared" si="90"/>
        <v>1.0582718765695047</v>
      </c>
      <c r="T184" s="37">
        <f t="shared" si="91"/>
        <v>0.13999986600000014</v>
      </c>
      <c r="U184" s="30">
        <f t="shared" si="92"/>
        <v>1.3605428888756941E-2</v>
      </c>
      <c r="V184" s="38">
        <f t="shared" si="93"/>
        <v>7.0207042490558333E-4</v>
      </c>
      <c r="W184" s="9">
        <f t="shared" si="109"/>
        <v>207835904</v>
      </c>
      <c r="X184" s="12">
        <f t="shared" si="109"/>
        <v>153.4100037</v>
      </c>
      <c r="Y184" s="11">
        <f t="shared" si="109"/>
        <v>0.61999988499999992</v>
      </c>
      <c r="Z184" s="7">
        <f t="shared" si="113"/>
        <v>58050560</v>
      </c>
      <c r="AA184" s="7">
        <f t="shared" si="113"/>
        <v>15.950012200000003</v>
      </c>
      <c r="AB184" s="7">
        <f t="shared" si="113"/>
        <v>9.9999899999998476E-3</v>
      </c>
    </row>
    <row r="185" spans="1:28" x14ac:dyDescent="0.25">
      <c r="A185" s="2">
        <v>181</v>
      </c>
      <c r="B185">
        <v>2</v>
      </c>
      <c r="C185">
        <v>3</v>
      </c>
      <c r="D185">
        <v>1</v>
      </c>
      <c r="E185">
        <v>5</v>
      </c>
      <c r="G185">
        <v>452760736</v>
      </c>
      <c r="H185">
        <v>251.6999969</v>
      </c>
      <c r="I185">
        <v>3.5699999330000001</v>
      </c>
      <c r="J185" s="9">
        <f t="shared" si="107"/>
        <v>36872544</v>
      </c>
      <c r="K185" s="52"/>
      <c r="L185" s="9">
        <f t="shared" si="116"/>
        <v>25.800003099999998</v>
      </c>
      <c r="M185" s="9">
        <f t="shared" si="116"/>
        <v>0</v>
      </c>
      <c r="N185" s="29">
        <f t="shared" si="85"/>
        <v>371800976</v>
      </c>
      <c r="O185" s="30">
        <f t="shared" si="86"/>
        <v>1.5308056578560345</v>
      </c>
      <c r="P185" s="30">
        <f t="shared" si="87"/>
        <v>1.5308056578560345</v>
      </c>
      <c r="Q185" s="29">
        <f t="shared" si="88"/>
        <v>190.18999858000001</v>
      </c>
      <c r="R185" s="30">
        <f t="shared" si="89"/>
        <v>1.0306725398286978</v>
      </c>
      <c r="S185" s="30">
        <f t="shared" si="90"/>
        <v>1.0306725398286978</v>
      </c>
      <c r="T185" s="37">
        <f t="shared" si="91"/>
        <v>0.13999986600000014</v>
      </c>
      <c r="U185" s="30">
        <f t="shared" si="92"/>
        <v>1.3605428888756941E-2</v>
      </c>
      <c r="V185" s="38">
        <f t="shared" si="93"/>
        <v>7.5868351933975535E-4</v>
      </c>
      <c r="W185" s="9">
        <f t="shared" si="109"/>
        <v>192116336</v>
      </c>
      <c r="X185" s="12">
        <f t="shared" si="109"/>
        <v>131.5999984</v>
      </c>
      <c r="Y185" s="11">
        <f t="shared" si="109"/>
        <v>0.61999988499999992</v>
      </c>
      <c r="Z185" s="7">
        <f t="shared" si="113"/>
        <v>54119840</v>
      </c>
      <c r="AA185" s="7">
        <f t="shared" si="113"/>
        <v>14.440002399999997</v>
      </c>
      <c r="AB185" s="7">
        <f t="shared" si="113"/>
        <v>9.9999899999998476E-3</v>
      </c>
    </row>
    <row r="186" spans="1:28" x14ac:dyDescent="0.25">
      <c r="A186" s="2">
        <v>182</v>
      </c>
      <c r="B186">
        <v>2</v>
      </c>
      <c r="C186">
        <v>3</v>
      </c>
      <c r="D186">
        <v>1</v>
      </c>
      <c r="E186">
        <v>6</v>
      </c>
      <c r="G186">
        <v>370770144</v>
      </c>
      <c r="H186">
        <v>217.8099976</v>
      </c>
      <c r="I186">
        <v>3.5699999330000001</v>
      </c>
      <c r="J186" s="9">
        <f t="shared" si="107"/>
        <v>81990592</v>
      </c>
      <c r="K186" s="52">
        <f t="shared" ref="K186" si="117">AVERAGE(J181:J186)</f>
        <v>28898021.333333332</v>
      </c>
      <c r="L186" s="9">
        <f t="shared" si="116"/>
        <v>33.889999299999999</v>
      </c>
      <c r="M186" s="9">
        <f t="shared" si="116"/>
        <v>0</v>
      </c>
      <c r="N186" s="29">
        <f t="shared" si="85"/>
        <v>306458548</v>
      </c>
      <c r="O186" s="30">
        <f t="shared" si="86"/>
        <v>1.5884048241211948</v>
      </c>
      <c r="P186" s="30">
        <f t="shared" si="87"/>
        <v>1.5884048241211948</v>
      </c>
      <c r="Q186" s="29">
        <f t="shared" si="88"/>
        <v>163.73999791</v>
      </c>
      <c r="R186" s="30">
        <f t="shared" si="89"/>
        <v>1.0094322103986928</v>
      </c>
      <c r="S186" s="30">
        <f t="shared" si="90"/>
        <v>1.0094322103986928</v>
      </c>
      <c r="T186" s="37">
        <f t="shared" si="91"/>
        <v>0.13999986600000014</v>
      </c>
      <c r="U186" s="30">
        <f t="shared" si="92"/>
        <v>1.3605428888756941E-2</v>
      </c>
      <c r="V186" s="38">
        <f t="shared" si="93"/>
        <v>8.6307790396808199E-4</v>
      </c>
      <c r="W186" s="9">
        <f t="shared" ref="W186:Y201" si="118">ABS(G186-G165)</f>
        <v>153799072</v>
      </c>
      <c r="X186" s="12">
        <f t="shared" si="118"/>
        <v>110.22000130000001</v>
      </c>
      <c r="Y186" s="11">
        <f t="shared" si="118"/>
        <v>0.61999988499999992</v>
      </c>
      <c r="Z186" s="7">
        <f t="shared" si="113"/>
        <v>44500064</v>
      </c>
      <c r="AA186" s="7">
        <f t="shared" si="113"/>
        <v>12.5</v>
      </c>
      <c r="AB186" s="7">
        <f t="shared" si="113"/>
        <v>9.9999899999998476E-3</v>
      </c>
    </row>
    <row r="187" spans="1:28" x14ac:dyDescent="0.25">
      <c r="A187" s="2">
        <v>183</v>
      </c>
      <c r="B187">
        <v>2</v>
      </c>
      <c r="C187">
        <v>3</v>
      </c>
      <c r="D187">
        <v>2</v>
      </c>
      <c r="E187">
        <v>0</v>
      </c>
      <c r="G187">
        <v>1639195264</v>
      </c>
      <c r="H187">
        <v>-9999.9902340000008</v>
      </c>
      <c r="I187">
        <v>3.8199999330000001</v>
      </c>
      <c r="K187" s="52"/>
      <c r="N187" s="29">
        <f t="shared" si="85"/>
        <v>1095036992</v>
      </c>
      <c r="O187" s="30">
        <f t="shared" si="86"/>
        <v>0.6707833905108157</v>
      </c>
      <c r="P187" s="30">
        <f t="shared" si="87"/>
        <v>1.3415667810216314</v>
      </c>
      <c r="Q187" s="29">
        <f t="shared" si="88"/>
        <v>10281.730224200001</v>
      </c>
      <c r="R187" s="30">
        <f t="shared" si="89"/>
        <v>12.164561394474935</v>
      </c>
      <c r="S187" s="30">
        <f t="shared" si="90"/>
        <v>24.329122788949871</v>
      </c>
      <c r="T187" s="37">
        <f t="shared" si="91"/>
        <v>0.25</v>
      </c>
      <c r="U187" s="30">
        <f t="shared" si="92"/>
        <v>2.3342670839577667E-2</v>
      </c>
      <c r="V187" s="38">
        <f t="shared" si="93"/>
        <v>5.9156198077651046E-4</v>
      </c>
      <c r="W187" s="9">
        <f t="shared" si="118"/>
        <v>512404480</v>
      </c>
      <c r="X187" s="12">
        <f t="shared" si="118"/>
        <v>10318.490234000001</v>
      </c>
      <c r="Y187" s="11">
        <f t="shared" si="118"/>
        <v>0.73000001900000022</v>
      </c>
      <c r="Z187" s="7">
        <f t="shared" si="113"/>
        <v>179332352</v>
      </c>
      <c r="AA187" s="7">
        <f t="shared" si="113"/>
        <v>0</v>
      </c>
      <c r="AB187" s="7">
        <f t="shared" si="113"/>
        <v>9.9999899999998476E-3</v>
      </c>
    </row>
    <row r="188" spans="1:28" x14ac:dyDescent="0.25">
      <c r="A188" s="2">
        <v>184</v>
      </c>
      <c r="B188">
        <v>2</v>
      </c>
      <c r="C188">
        <v>3</v>
      </c>
      <c r="D188">
        <v>2</v>
      </c>
      <c r="E188">
        <v>1</v>
      </c>
      <c r="G188">
        <v>1630996992</v>
      </c>
      <c r="H188">
        <v>-9999.9902340000008</v>
      </c>
      <c r="I188">
        <v>3.8199999330000001</v>
      </c>
      <c r="J188" s="9">
        <f t="shared" ref="J188" si="119">ABS(G188-G187)</f>
        <v>8198272</v>
      </c>
      <c r="K188" s="52"/>
      <c r="L188" s="9">
        <f t="shared" ref="L188:M193" si="120">ABS(H188-H187)</f>
        <v>0</v>
      </c>
      <c r="M188" s="9">
        <f t="shared" si="120"/>
        <v>0</v>
      </c>
      <c r="N188" s="29">
        <f t="shared" si="85"/>
        <v>1087488320</v>
      </c>
      <c r="O188" s="30">
        <f t="shared" si="86"/>
        <v>0.66695551578368673</v>
      </c>
      <c r="P188" s="30">
        <f t="shared" si="87"/>
        <v>1.3339110315673735</v>
      </c>
      <c r="Q188" s="29">
        <f t="shared" si="88"/>
        <v>10287.480224200001</v>
      </c>
      <c r="R188" s="30">
        <f t="shared" si="89"/>
        <v>11.927928594479924</v>
      </c>
      <c r="S188" s="30">
        <f t="shared" si="90"/>
        <v>23.855857188959849</v>
      </c>
      <c r="T188" s="37">
        <f t="shared" si="91"/>
        <v>0.25</v>
      </c>
      <c r="U188" s="30">
        <f t="shared" si="92"/>
        <v>2.3342670839577667E-2</v>
      </c>
      <c r="V188" s="38">
        <f t="shared" si="93"/>
        <v>5.7973032922196911E-4</v>
      </c>
      <c r="W188" s="9">
        <f t="shared" si="118"/>
        <v>500185472</v>
      </c>
      <c r="X188" s="12">
        <f t="shared" si="118"/>
        <v>10333.5802303</v>
      </c>
      <c r="Y188" s="11">
        <f t="shared" si="118"/>
        <v>0.73000001900000022</v>
      </c>
      <c r="Z188" s="7">
        <f t="shared" si="113"/>
        <v>177816832</v>
      </c>
      <c r="AA188" s="7">
        <f t="shared" si="113"/>
        <v>0</v>
      </c>
      <c r="AB188" s="7">
        <f t="shared" si="113"/>
        <v>9.9999899999998476E-3</v>
      </c>
    </row>
    <row r="189" spans="1:28" x14ac:dyDescent="0.25">
      <c r="A189" s="2">
        <v>185</v>
      </c>
      <c r="B189">
        <v>2</v>
      </c>
      <c r="C189">
        <v>3</v>
      </c>
      <c r="D189">
        <v>2</v>
      </c>
      <c r="E189">
        <v>2</v>
      </c>
      <c r="G189">
        <v>1635720576</v>
      </c>
      <c r="H189">
        <v>-9999.9902340000008</v>
      </c>
      <c r="I189">
        <v>3.8199999330000001</v>
      </c>
      <c r="J189" s="9">
        <f t="shared" si="104"/>
        <v>4723584</v>
      </c>
      <c r="K189" s="52"/>
      <c r="L189" s="9">
        <f t="shared" si="120"/>
        <v>0</v>
      </c>
      <c r="M189" s="9">
        <f t="shared" si="120"/>
        <v>0</v>
      </c>
      <c r="N189" s="29">
        <f t="shared" si="85"/>
        <v>1092324032</v>
      </c>
      <c r="O189" s="30">
        <f t="shared" si="86"/>
        <v>0.67005948912819491</v>
      </c>
      <c r="P189" s="30">
        <f t="shared" si="87"/>
        <v>1.3401189782563898</v>
      </c>
      <c r="Q189" s="29">
        <f t="shared" si="88"/>
        <v>10282.770232800001</v>
      </c>
      <c r="R189" s="30">
        <f t="shared" si="89"/>
        <v>12.121048490505901</v>
      </c>
      <c r="S189" s="30">
        <f t="shared" si="90"/>
        <v>24.242096981011802</v>
      </c>
      <c r="T189" s="37">
        <f t="shared" si="91"/>
        <v>0.25</v>
      </c>
      <c r="U189" s="30">
        <f t="shared" si="92"/>
        <v>2.3342670839577667E-2</v>
      </c>
      <c r="V189" s="38">
        <f t="shared" si="93"/>
        <v>5.8938633345332161E-4</v>
      </c>
      <c r="W189" s="9">
        <f t="shared" si="118"/>
        <v>507802880</v>
      </c>
      <c r="X189" s="12">
        <f t="shared" si="118"/>
        <v>10326.260223000001</v>
      </c>
      <c r="Y189" s="11">
        <f t="shared" si="118"/>
        <v>0.73000001900000022</v>
      </c>
      <c r="Z189" s="7">
        <f t="shared" si="113"/>
        <v>178894080</v>
      </c>
      <c r="AA189" s="7">
        <f t="shared" si="113"/>
        <v>0</v>
      </c>
      <c r="AB189" s="7">
        <f t="shared" si="113"/>
        <v>9.9999899999998476E-3</v>
      </c>
    </row>
    <row r="190" spans="1:28" x14ac:dyDescent="0.25">
      <c r="A190" s="2">
        <v>186</v>
      </c>
      <c r="B190">
        <v>2</v>
      </c>
      <c r="C190">
        <v>3</v>
      </c>
      <c r="D190">
        <v>2</v>
      </c>
      <c r="E190">
        <v>3</v>
      </c>
      <c r="G190">
        <v>1588363392</v>
      </c>
      <c r="H190">
        <v>-9999.9902340000008</v>
      </c>
      <c r="I190">
        <v>3.829999924</v>
      </c>
      <c r="J190" s="9">
        <f t="shared" si="104"/>
        <v>47357184</v>
      </c>
      <c r="K190" s="52"/>
      <c r="L190" s="9">
        <f t="shared" si="120"/>
        <v>0</v>
      </c>
      <c r="M190" s="9">
        <f t="shared" si="120"/>
        <v>9.9999909999999304E-3</v>
      </c>
      <c r="N190" s="29">
        <f t="shared" si="85"/>
        <v>1057064512</v>
      </c>
      <c r="O190" s="30">
        <f t="shared" si="86"/>
        <v>0.66319514419705405</v>
      </c>
      <c r="P190" s="30">
        <f t="shared" si="87"/>
        <v>1.3263902883941081</v>
      </c>
      <c r="Q190" s="29">
        <f t="shared" si="88"/>
        <v>10287.520232800001</v>
      </c>
      <c r="R190" s="30">
        <f t="shared" si="89"/>
        <v>11.926315254912225</v>
      </c>
      <c r="S190" s="30">
        <f t="shared" si="90"/>
        <v>23.852630509824451</v>
      </c>
      <c r="T190" s="37">
        <f t="shared" si="91"/>
        <v>0.25999999099999993</v>
      </c>
      <c r="U190" s="30">
        <f t="shared" si="92"/>
        <v>2.4276376832824617E-2</v>
      </c>
      <c r="V190" s="38">
        <f t="shared" si="93"/>
        <v>6.0283562778400883E-4</v>
      </c>
      <c r="W190" s="9">
        <f t="shared" si="118"/>
        <v>475601152</v>
      </c>
      <c r="X190" s="12">
        <f t="shared" si="118"/>
        <v>10349.150237700002</v>
      </c>
      <c r="Y190" s="11">
        <f t="shared" si="118"/>
        <v>0.74000001000000015</v>
      </c>
      <c r="Z190" s="7">
        <f t="shared" ref="Z190:AB205" si="121">ABS(G190-G85)</f>
        <v>172939520</v>
      </c>
      <c r="AA190" s="7">
        <f t="shared" si="121"/>
        <v>0</v>
      </c>
      <c r="AB190" s="7">
        <f t="shared" si="121"/>
        <v>1.9999980999999778E-2</v>
      </c>
    </row>
    <row r="191" spans="1:28" x14ac:dyDescent="0.25">
      <c r="A191" s="2">
        <v>187</v>
      </c>
      <c r="B191">
        <v>2</v>
      </c>
      <c r="C191">
        <v>3</v>
      </c>
      <c r="D191">
        <v>2</v>
      </c>
      <c r="E191">
        <v>4</v>
      </c>
      <c r="G191">
        <v>1455600768</v>
      </c>
      <c r="H191">
        <v>-9999.9902340000008</v>
      </c>
      <c r="I191">
        <v>3.829999924</v>
      </c>
      <c r="J191" s="9">
        <f t="shared" si="104"/>
        <v>132762624</v>
      </c>
      <c r="K191" s="52"/>
      <c r="L191" s="9">
        <f t="shared" si="120"/>
        <v>0</v>
      </c>
      <c r="M191" s="9">
        <f t="shared" si="120"/>
        <v>0</v>
      </c>
      <c r="N191" s="29">
        <f t="shared" si="85"/>
        <v>965967488</v>
      </c>
      <c r="O191" s="30">
        <f t="shared" si="86"/>
        <v>0.65761290300092889</v>
      </c>
      <c r="P191" s="30">
        <f t="shared" si="87"/>
        <v>1.3152258060018578</v>
      </c>
      <c r="Q191" s="29">
        <f t="shared" si="88"/>
        <v>10277.490234000001</v>
      </c>
      <c r="R191" s="30">
        <f t="shared" si="89"/>
        <v>12.345333614414415</v>
      </c>
      <c r="S191" s="30">
        <f t="shared" si="90"/>
        <v>24.690667228828829</v>
      </c>
      <c r="T191" s="37">
        <f t="shared" si="91"/>
        <v>0.25999999099999993</v>
      </c>
      <c r="U191" s="30">
        <f t="shared" si="92"/>
        <v>2.4276376832824617E-2</v>
      </c>
      <c r="V191" s="38">
        <f t="shared" si="93"/>
        <v>6.2462460300300284E-4</v>
      </c>
      <c r="W191" s="9">
        <f t="shared" si="118"/>
        <v>424384576</v>
      </c>
      <c r="X191" s="12">
        <f t="shared" si="118"/>
        <v>10338.360229100001</v>
      </c>
      <c r="Y191" s="11">
        <f t="shared" si="118"/>
        <v>0.74000001000000015</v>
      </c>
      <c r="Z191" s="7">
        <f t="shared" si="121"/>
        <v>157807360</v>
      </c>
      <c r="AA191" s="7">
        <f t="shared" si="121"/>
        <v>10866.730224200001</v>
      </c>
      <c r="AB191" s="7">
        <f t="shared" si="121"/>
        <v>1.9999980999999778E-2</v>
      </c>
    </row>
    <row r="192" spans="1:28" x14ac:dyDescent="0.25">
      <c r="A192" s="2">
        <v>188</v>
      </c>
      <c r="B192">
        <v>2</v>
      </c>
      <c r="C192">
        <v>3</v>
      </c>
      <c r="D192">
        <v>2</v>
      </c>
      <c r="E192">
        <v>5</v>
      </c>
      <c r="G192">
        <v>1356557184</v>
      </c>
      <c r="H192">
        <v>836.60998540000003</v>
      </c>
      <c r="I192">
        <v>3.829999924</v>
      </c>
      <c r="J192" s="9">
        <f t="shared" si="104"/>
        <v>99043584</v>
      </c>
      <c r="K192" s="52"/>
      <c r="L192" s="9">
        <f t="shared" si="120"/>
        <v>10836.600219400001</v>
      </c>
      <c r="M192" s="9">
        <f t="shared" si="120"/>
        <v>0</v>
      </c>
      <c r="N192" s="29">
        <f t="shared" si="85"/>
        <v>903796448</v>
      </c>
      <c r="O192" s="30">
        <f t="shared" si="86"/>
        <v>0.6653966625468748</v>
      </c>
      <c r="P192" s="30">
        <f t="shared" si="87"/>
        <v>1.3307933250937496</v>
      </c>
      <c r="Q192" s="29">
        <f t="shared" si="88"/>
        <v>584.90998850000005</v>
      </c>
      <c r="R192" s="30">
        <f t="shared" si="89"/>
        <v>0.77461262839875189</v>
      </c>
      <c r="S192" s="30">
        <f t="shared" si="90"/>
        <v>1.5492252567975038</v>
      </c>
      <c r="T192" s="37">
        <f t="shared" si="91"/>
        <v>0.25999999099999993</v>
      </c>
      <c r="U192" s="30">
        <f t="shared" si="92"/>
        <v>2.4276376832824617E-2</v>
      </c>
      <c r="V192" s="38">
        <f t="shared" si="93"/>
        <v>6.8865049450993166E-4</v>
      </c>
      <c r="W192" s="9">
        <f t="shared" si="118"/>
        <v>398058560</v>
      </c>
      <c r="X192" s="12">
        <f t="shared" si="118"/>
        <v>511.50997930000005</v>
      </c>
      <c r="Y192" s="11">
        <f t="shared" si="118"/>
        <v>0.74000001000000015</v>
      </c>
      <c r="Z192" s="7">
        <f t="shared" si="121"/>
        <v>147604224</v>
      </c>
      <c r="AA192" s="7">
        <f t="shared" si="121"/>
        <v>51.479980500000011</v>
      </c>
      <c r="AB192" s="7">
        <f t="shared" si="121"/>
        <v>1.9999980999999778E-2</v>
      </c>
    </row>
    <row r="193" spans="1:28" x14ac:dyDescent="0.25">
      <c r="A193" s="2">
        <v>189</v>
      </c>
      <c r="B193">
        <v>2</v>
      </c>
      <c r="C193">
        <v>3</v>
      </c>
      <c r="D193">
        <v>2</v>
      </c>
      <c r="E193">
        <v>6</v>
      </c>
      <c r="G193">
        <v>1110798848</v>
      </c>
      <c r="H193">
        <v>701.52001949999999</v>
      </c>
      <c r="I193">
        <v>3.829999924</v>
      </c>
      <c r="J193" s="9">
        <f t="shared" si="104"/>
        <v>245758336</v>
      </c>
      <c r="K193" s="52">
        <f t="shared" ref="K193" si="122">AVERAGE(J188:J193)</f>
        <v>89640597.333333328</v>
      </c>
      <c r="L193" s="9">
        <f t="shared" si="120"/>
        <v>135.08996590000004</v>
      </c>
      <c r="M193" s="9">
        <f t="shared" si="120"/>
        <v>0</v>
      </c>
      <c r="N193" s="29">
        <f t="shared" si="85"/>
        <v>740028704</v>
      </c>
      <c r="O193" s="30">
        <f t="shared" si="86"/>
        <v>0.6653077079115266</v>
      </c>
      <c r="P193" s="30">
        <f t="shared" si="87"/>
        <v>1.3306154158230532</v>
      </c>
      <c r="Q193" s="29">
        <f t="shared" si="88"/>
        <v>483.71002190000002</v>
      </c>
      <c r="R193" s="30">
        <f t="shared" si="89"/>
        <v>0.74026296195444552</v>
      </c>
      <c r="S193" s="30">
        <f t="shared" si="90"/>
        <v>1.480525923908891</v>
      </c>
      <c r="T193" s="37">
        <f t="shared" si="91"/>
        <v>0.25999999099999993</v>
      </c>
      <c r="U193" s="30">
        <f t="shared" si="92"/>
        <v>2.4276376832824617E-2</v>
      </c>
      <c r="V193" s="38">
        <f t="shared" si="93"/>
        <v>7.9580060255844427E-4</v>
      </c>
      <c r="W193" s="9">
        <f t="shared" si="118"/>
        <v>314882112</v>
      </c>
      <c r="X193" s="12">
        <f t="shared" si="118"/>
        <v>411.39001459999997</v>
      </c>
      <c r="Y193" s="11">
        <f t="shared" si="118"/>
        <v>0.74000001000000015</v>
      </c>
      <c r="Z193" s="7">
        <f t="shared" si="121"/>
        <v>121128832</v>
      </c>
      <c r="AA193" s="7">
        <f t="shared" si="121"/>
        <v>42.590026800000032</v>
      </c>
      <c r="AB193" s="7">
        <f t="shared" si="121"/>
        <v>1.9999980999999778E-2</v>
      </c>
    </row>
    <row r="194" spans="1:28" x14ac:dyDescent="0.25">
      <c r="A194" s="2">
        <v>190</v>
      </c>
      <c r="B194">
        <v>2</v>
      </c>
      <c r="C194">
        <v>4</v>
      </c>
      <c r="D194">
        <v>0</v>
      </c>
      <c r="E194">
        <v>0</v>
      </c>
      <c r="G194">
        <v>138079264</v>
      </c>
      <c r="H194">
        <v>108.0899963</v>
      </c>
      <c r="I194">
        <v>3.960000038</v>
      </c>
      <c r="K194" s="52"/>
      <c r="N194" s="29">
        <f t="shared" si="85"/>
        <v>1501116000</v>
      </c>
      <c r="O194" s="30">
        <f t="shared" si="86"/>
        <v>0.30525466427897147</v>
      </c>
      <c r="P194" s="30">
        <f t="shared" si="87"/>
        <v>1.0175155475965714</v>
      </c>
      <c r="Q194" s="29">
        <f t="shared" si="88"/>
        <v>10108.0802303</v>
      </c>
      <c r="R194" s="30">
        <f t="shared" si="89"/>
        <v>0.33693633672869311</v>
      </c>
      <c r="S194" s="30">
        <f t="shared" si="90"/>
        <v>1.123121122428977</v>
      </c>
      <c r="T194" s="37">
        <f t="shared" si="91"/>
        <v>0.14000010499999993</v>
      </c>
      <c r="U194" s="30">
        <f t="shared" si="92"/>
        <v>1.2216414263132564E-2</v>
      </c>
      <c r="V194" s="38">
        <f t="shared" si="93"/>
        <v>1.5555582413803999E-5</v>
      </c>
      <c r="W194" s="9">
        <f t="shared" si="118"/>
        <v>39521040</v>
      </c>
      <c r="X194" s="12">
        <f t="shared" si="118"/>
        <v>40.789993249999995</v>
      </c>
      <c r="Y194" s="11">
        <f t="shared" si="118"/>
        <v>0.52999997100000007</v>
      </c>
      <c r="Z194" s="7">
        <f t="shared" si="121"/>
        <v>16563688</v>
      </c>
      <c r="AA194" s="7">
        <f t="shared" si="121"/>
        <v>5.9599989999999963</v>
      </c>
      <c r="AB194" s="7">
        <f t="shared" si="121"/>
        <v>0</v>
      </c>
    </row>
    <row r="195" spans="1:28" x14ac:dyDescent="0.25">
      <c r="A195" s="2">
        <v>191</v>
      </c>
      <c r="B195">
        <v>2</v>
      </c>
      <c r="C195">
        <v>4</v>
      </c>
      <c r="D195">
        <v>0</v>
      </c>
      <c r="E195">
        <v>1</v>
      </c>
      <c r="G195">
        <v>137525792</v>
      </c>
      <c r="H195">
        <v>108.6299973</v>
      </c>
      <c r="I195">
        <v>3.960000038</v>
      </c>
      <c r="J195" s="9">
        <f t="shared" ref="J195" si="123">ABS(G195-G194)</f>
        <v>553472</v>
      </c>
      <c r="K195" s="52"/>
      <c r="L195" s="9">
        <f t="shared" ref="L195:M200" si="124">ABS(H195-H194)</f>
        <v>0.54000100000000373</v>
      </c>
      <c r="M195" s="9">
        <f t="shared" si="124"/>
        <v>0</v>
      </c>
      <c r="N195" s="29">
        <f t="shared" si="85"/>
        <v>1493471200</v>
      </c>
      <c r="O195" s="30">
        <f t="shared" si="86"/>
        <v>0.30522664099023261</v>
      </c>
      <c r="P195" s="30">
        <f t="shared" si="87"/>
        <v>1.0174221366341087</v>
      </c>
      <c r="Q195" s="29">
        <f t="shared" si="88"/>
        <v>10108.620231300001</v>
      </c>
      <c r="R195" s="30">
        <f t="shared" si="89"/>
        <v>0.33695433677960529</v>
      </c>
      <c r="S195" s="30">
        <f t="shared" si="90"/>
        <v>1.1231811225986843</v>
      </c>
      <c r="T195" s="37">
        <f t="shared" si="91"/>
        <v>0.14000010499999993</v>
      </c>
      <c r="U195" s="30">
        <f t="shared" si="92"/>
        <v>1.2216414263132564E-2</v>
      </c>
      <c r="V195" s="38">
        <f t="shared" si="93"/>
        <v>1.5555582413803999E-5</v>
      </c>
      <c r="W195" s="9">
        <f t="shared" si="118"/>
        <v>38513264</v>
      </c>
      <c r="X195" s="12">
        <f t="shared" si="118"/>
        <v>40.049995469999999</v>
      </c>
      <c r="Y195" s="11">
        <f t="shared" si="118"/>
        <v>0.52999997100000007</v>
      </c>
      <c r="Z195" s="7">
        <f t="shared" si="121"/>
        <v>16470632</v>
      </c>
      <c r="AA195" s="7">
        <f t="shared" si="121"/>
        <v>5.9899979000000059</v>
      </c>
      <c r="AB195" s="7">
        <f t="shared" si="121"/>
        <v>0</v>
      </c>
    </row>
    <row r="196" spans="1:28" x14ac:dyDescent="0.25">
      <c r="A196" s="2">
        <v>192</v>
      </c>
      <c r="B196">
        <v>2</v>
      </c>
      <c r="C196">
        <v>4</v>
      </c>
      <c r="D196">
        <v>0</v>
      </c>
      <c r="E196">
        <v>2</v>
      </c>
      <c r="G196">
        <v>137780800</v>
      </c>
      <c r="H196">
        <v>108.0400009</v>
      </c>
      <c r="I196">
        <v>3.960000038</v>
      </c>
      <c r="J196" s="9">
        <f t="shared" si="107"/>
        <v>255008</v>
      </c>
      <c r="K196" s="52"/>
      <c r="L196" s="9">
        <f t="shared" si="124"/>
        <v>0.58999640000000397</v>
      </c>
      <c r="M196" s="9">
        <f t="shared" si="124"/>
        <v>0</v>
      </c>
      <c r="N196" s="29">
        <f t="shared" si="85"/>
        <v>1497939776</v>
      </c>
      <c r="O196" s="30">
        <f t="shared" si="86"/>
        <v>0.30525584014336365</v>
      </c>
      <c r="P196" s="30">
        <f t="shared" si="87"/>
        <v>1.0175194671445453</v>
      </c>
      <c r="Q196" s="29">
        <f t="shared" si="88"/>
        <v>10108.030234900001</v>
      </c>
      <c r="R196" s="30">
        <f t="shared" si="89"/>
        <v>0.3369346702137323</v>
      </c>
      <c r="S196" s="30">
        <f t="shared" si="90"/>
        <v>1.1231155673791076</v>
      </c>
      <c r="T196" s="37">
        <f t="shared" si="91"/>
        <v>0.14000010499999993</v>
      </c>
      <c r="U196" s="30">
        <f t="shared" si="92"/>
        <v>1.2216414263132564E-2</v>
      </c>
      <c r="V196" s="38">
        <f t="shared" si="93"/>
        <v>1.5555582413803999E-5</v>
      </c>
      <c r="W196" s="9">
        <f t="shared" si="118"/>
        <v>39227592</v>
      </c>
      <c r="X196" s="12">
        <f t="shared" si="118"/>
        <v>40.440002429999993</v>
      </c>
      <c r="Y196" s="11">
        <f t="shared" si="118"/>
        <v>0.52999997100000007</v>
      </c>
      <c r="Z196" s="7">
        <f t="shared" si="121"/>
        <v>16523184</v>
      </c>
      <c r="AA196" s="7">
        <f t="shared" si="121"/>
        <v>5.9500045999999998</v>
      </c>
      <c r="AB196" s="7">
        <f t="shared" si="121"/>
        <v>0</v>
      </c>
    </row>
    <row r="197" spans="1:28" x14ac:dyDescent="0.25">
      <c r="A197" s="2">
        <v>193</v>
      </c>
      <c r="B197">
        <v>2</v>
      </c>
      <c r="C197">
        <v>4</v>
      </c>
      <c r="D197">
        <v>0</v>
      </c>
      <c r="E197">
        <v>3</v>
      </c>
      <c r="G197">
        <v>133787984</v>
      </c>
      <c r="H197">
        <v>107.1900024</v>
      </c>
      <c r="I197">
        <v>3.960000038</v>
      </c>
      <c r="J197" s="9">
        <f t="shared" si="107"/>
        <v>3992816</v>
      </c>
      <c r="K197" s="52"/>
      <c r="L197" s="9">
        <f t="shared" si="124"/>
        <v>0.8499984999999981</v>
      </c>
      <c r="M197" s="9">
        <f t="shared" si="124"/>
        <v>0</v>
      </c>
      <c r="N197" s="29">
        <f t="shared" si="85"/>
        <v>1454575408</v>
      </c>
      <c r="O197" s="30">
        <f t="shared" si="86"/>
        <v>0.30525663823240101</v>
      </c>
      <c r="P197" s="30">
        <f t="shared" si="87"/>
        <v>1.0175221274413366</v>
      </c>
      <c r="Q197" s="29">
        <f t="shared" si="88"/>
        <v>10107.180236400001</v>
      </c>
      <c r="R197" s="30">
        <f t="shared" si="89"/>
        <v>0.33690633690272859</v>
      </c>
      <c r="S197" s="30">
        <f t="shared" si="90"/>
        <v>1.1230211230090954</v>
      </c>
      <c r="T197" s="37">
        <f t="shared" si="91"/>
        <v>0.130000114</v>
      </c>
      <c r="U197" s="30">
        <f t="shared" si="92"/>
        <v>1.1314196395094586E-2</v>
      </c>
      <c r="V197" s="38">
        <f t="shared" si="93"/>
        <v>1.4444471217581701E-5</v>
      </c>
      <c r="W197" s="9">
        <f t="shared" si="118"/>
        <v>36703248</v>
      </c>
      <c r="X197" s="12">
        <f t="shared" si="118"/>
        <v>38.420005759999995</v>
      </c>
      <c r="Y197" s="11">
        <f t="shared" si="118"/>
        <v>0.52999997100000007</v>
      </c>
      <c r="Z197" s="7">
        <f t="shared" si="121"/>
        <v>16042496</v>
      </c>
      <c r="AA197" s="7">
        <f t="shared" si="121"/>
        <v>5.9300003000000032</v>
      </c>
      <c r="AB197" s="7">
        <f t="shared" si="121"/>
        <v>0</v>
      </c>
    </row>
    <row r="198" spans="1:28" x14ac:dyDescent="0.25">
      <c r="A198" s="2">
        <v>194</v>
      </c>
      <c r="B198">
        <v>2</v>
      </c>
      <c r="C198">
        <v>4</v>
      </c>
      <c r="D198">
        <v>0</v>
      </c>
      <c r="E198">
        <v>4</v>
      </c>
      <c r="G198">
        <v>121580232</v>
      </c>
      <c r="H198">
        <v>101.4800034</v>
      </c>
      <c r="I198">
        <v>3.960000038</v>
      </c>
      <c r="J198" s="9">
        <f t="shared" si="107"/>
        <v>12207752</v>
      </c>
      <c r="K198" s="52"/>
      <c r="L198" s="9">
        <f t="shared" si="124"/>
        <v>5.7099989999999963</v>
      </c>
      <c r="M198" s="9">
        <f t="shared" si="124"/>
        <v>0</v>
      </c>
      <c r="N198" s="29">
        <f t="shared" si="85"/>
        <v>1334020536</v>
      </c>
      <c r="O198" s="30">
        <f t="shared" si="86"/>
        <v>0.30549139693776256</v>
      </c>
      <c r="P198" s="30">
        <f t="shared" si="87"/>
        <v>1.0183046564592084</v>
      </c>
      <c r="Q198" s="29">
        <f t="shared" si="88"/>
        <v>10101.470237400001</v>
      </c>
      <c r="R198" s="30">
        <f t="shared" si="89"/>
        <v>0.33671600341684899</v>
      </c>
      <c r="S198" s="30">
        <f t="shared" si="90"/>
        <v>1.1223866780561631</v>
      </c>
      <c r="T198" s="37">
        <f t="shared" si="91"/>
        <v>0.130000114</v>
      </c>
      <c r="U198" s="30">
        <f t="shared" si="92"/>
        <v>1.1314196395094586E-2</v>
      </c>
      <c r="V198" s="38">
        <f t="shared" si="93"/>
        <v>1.4444471217581701E-5</v>
      </c>
      <c r="W198" s="9">
        <f t="shared" si="118"/>
        <v>32393976</v>
      </c>
      <c r="X198" s="12">
        <f t="shared" si="118"/>
        <v>35.010002180000001</v>
      </c>
      <c r="Y198" s="11">
        <f t="shared" si="118"/>
        <v>0.52999997100000007</v>
      </c>
      <c r="Z198" s="7">
        <f t="shared" si="121"/>
        <v>14683904</v>
      </c>
      <c r="AA198" s="7">
        <f t="shared" si="121"/>
        <v>5.6800003500000003</v>
      </c>
      <c r="AB198" s="7">
        <f t="shared" si="121"/>
        <v>0</v>
      </c>
    </row>
    <row r="199" spans="1:28" x14ac:dyDescent="0.25">
      <c r="A199" s="2">
        <v>195</v>
      </c>
      <c r="B199">
        <v>2</v>
      </c>
      <c r="C199">
        <v>4</v>
      </c>
      <c r="D199">
        <v>0</v>
      </c>
      <c r="E199">
        <v>5</v>
      </c>
      <c r="G199">
        <v>111906368</v>
      </c>
      <c r="H199">
        <v>93.620002749999998</v>
      </c>
      <c r="I199">
        <v>3.960000038</v>
      </c>
      <c r="J199" s="9">
        <f t="shared" si="107"/>
        <v>9673864</v>
      </c>
      <c r="K199" s="52"/>
      <c r="L199" s="9">
        <f t="shared" si="124"/>
        <v>7.8600006500000035</v>
      </c>
      <c r="M199" s="9">
        <f t="shared" si="124"/>
        <v>0</v>
      </c>
      <c r="N199" s="29">
        <f t="shared" si="85"/>
        <v>1244650816</v>
      </c>
      <c r="O199" s="30">
        <f t="shared" si="86"/>
        <v>0.30583569216742529</v>
      </c>
      <c r="P199" s="30">
        <f t="shared" si="87"/>
        <v>1.019452307224751</v>
      </c>
      <c r="Q199" s="29">
        <f t="shared" si="88"/>
        <v>742.98998265</v>
      </c>
      <c r="R199" s="30">
        <f t="shared" si="89"/>
        <v>0.29603200042082595</v>
      </c>
      <c r="S199" s="30">
        <f t="shared" si="90"/>
        <v>0.98677333473608653</v>
      </c>
      <c r="T199" s="37">
        <f t="shared" si="91"/>
        <v>0.130000114</v>
      </c>
      <c r="U199" s="30">
        <f t="shared" si="92"/>
        <v>1.1314196395094586E-2</v>
      </c>
      <c r="V199" s="38">
        <f t="shared" si="93"/>
        <v>1.7265461043003123E-4</v>
      </c>
      <c r="W199" s="9">
        <f t="shared" si="118"/>
        <v>30946608</v>
      </c>
      <c r="X199" s="12">
        <f t="shared" si="118"/>
        <v>32.110004429999996</v>
      </c>
      <c r="Y199" s="11">
        <f t="shared" si="118"/>
        <v>0.52999997100000007</v>
      </c>
      <c r="Z199" s="7">
        <f t="shared" si="121"/>
        <v>13715280</v>
      </c>
      <c r="AA199" s="7">
        <f t="shared" si="121"/>
        <v>5.2900009199999971</v>
      </c>
      <c r="AB199" s="7">
        <f t="shared" si="121"/>
        <v>0</v>
      </c>
    </row>
    <row r="200" spans="1:28" x14ac:dyDescent="0.25">
      <c r="A200" s="2">
        <v>196</v>
      </c>
      <c r="B200">
        <v>2</v>
      </c>
      <c r="C200">
        <v>4</v>
      </c>
      <c r="D200">
        <v>0</v>
      </c>
      <c r="E200">
        <v>6</v>
      </c>
      <c r="G200">
        <v>88705680</v>
      </c>
      <c r="H200">
        <v>79.269996640000002</v>
      </c>
      <c r="I200">
        <v>3.960000038</v>
      </c>
      <c r="J200" s="9">
        <f t="shared" si="107"/>
        <v>23200688</v>
      </c>
      <c r="K200" s="52">
        <f t="shared" ref="K200" si="125">AVERAGE(J195:J200)</f>
        <v>8313933.333333333</v>
      </c>
      <c r="L200" s="9">
        <f t="shared" si="124"/>
        <v>14.350006109999995</v>
      </c>
      <c r="M200" s="9">
        <f t="shared" si="124"/>
        <v>0</v>
      </c>
      <c r="N200" s="29">
        <f t="shared" si="85"/>
        <v>1022093168</v>
      </c>
      <c r="O200" s="30">
        <f t="shared" si="86"/>
        <v>0.30671414836277061</v>
      </c>
      <c r="P200" s="30">
        <f t="shared" si="87"/>
        <v>1.0223804945425685</v>
      </c>
      <c r="Q200" s="29">
        <f t="shared" si="88"/>
        <v>622.25002285999994</v>
      </c>
      <c r="R200" s="30">
        <f t="shared" si="89"/>
        <v>0.29566750558950605</v>
      </c>
      <c r="S200" s="30">
        <f t="shared" si="90"/>
        <v>0.98555835196502017</v>
      </c>
      <c r="T200" s="37">
        <f t="shared" si="91"/>
        <v>0.130000114</v>
      </c>
      <c r="U200" s="30">
        <f t="shared" si="92"/>
        <v>1.1314196395094586E-2</v>
      </c>
      <c r="V200" s="38">
        <f t="shared" si="93"/>
        <v>2.0590227947316777E-4</v>
      </c>
      <c r="W200" s="9">
        <f t="shared" si="118"/>
        <v>24394084</v>
      </c>
      <c r="X200" s="12">
        <f t="shared" si="118"/>
        <v>25.199996949999999</v>
      </c>
      <c r="Y200" s="11">
        <f t="shared" si="118"/>
        <v>0.52999997100000007</v>
      </c>
      <c r="Z200" s="7">
        <f t="shared" si="121"/>
        <v>11248640</v>
      </c>
      <c r="AA200" s="7">
        <f t="shared" si="121"/>
        <v>4.619995110000005</v>
      </c>
      <c r="AB200" s="7">
        <f t="shared" si="121"/>
        <v>0</v>
      </c>
    </row>
    <row r="201" spans="1:28" x14ac:dyDescent="0.25">
      <c r="A201" s="2">
        <v>197</v>
      </c>
      <c r="B201">
        <v>2</v>
      </c>
      <c r="C201">
        <v>4</v>
      </c>
      <c r="D201">
        <v>1</v>
      </c>
      <c r="E201">
        <v>0</v>
      </c>
      <c r="G201">
        <v>657693120</v>
      </c>
      <c r="H201">
        <v>456.07000729999999</v>
      </c>
      <c r="I201">
        <v>4.0900001530000001</v>
      </c>
      <c r="K201" s="52"/>
      <c r="N201" s="29">
        <f t="shared" si="85"/>
        <v>519613856</v>
      </c>
      <c r="O201" s="30">
        <f t="shared" si="86"/>
        <v>1.2543854424562015</v>
      </c>
      <c r="P201" s="30">
        <f t="shared" si="87"/>
        <v>1.2543854424562015</v>
      </c>
      <c r="Q201" s="29">
        <f t="shared" si="88"/>
        <v>347.98001099999999</v>
      </c>
      <c r="R201" s="30">
        <f t="shared" si="89"/>
        <v>1.0731181512678061</v>
      </c>
      <c r="S201" s="30">
        <f t="shared" si="90"/>
        <v>1.0731181512678061</v>
      </c>
      <c r="T201" s="37">
        <f t="shared" si="91"/>
        <v>0.13000011500000008</v>
      </c>
      <c r="U201" s="30">
        <f t="shared" si="92"/>
        <v>1.0942770517889245E-2</v>
      </c>
      <c r="V201" s="38">
        <f t="shared" si="93"/>
        <v>4.0090085253029743E-4</v>
      </c>
      <c r="W201" s="9">
        <f t="shared" si="118"/>
        <v>113534848</v>
      </c>
      <c r="X201" s="12">
        <f t="shared" si="118"/>
        <v>174.33001709999996</v>
      </c>
      <c r="Y201" s="11">
        <f t="shared" si="118"/>
        <v>0.52000022000000001</v>
      </c>
      <c r="Z201" s="7">
        <f t="shared" si="121"/>
        <v>71164928</v>
      </c>
      <c r="AA201" s="7">
        <f t="shared" si="121"/>
        <v>25.140014599999972</v>
      </c>
      <c r="AB201" s="7">
        <f t="shared" si="121"/>
        <v>1.0000229000000083E-2</v>
      </c>
    </row>
    <row r="202" spans="1:28" x14ac:dyDescent="0.25">
      <c r="A202" s="2">
        <v>198</v>
      </c>
      <c r="B202">
        <v>2</v>
      </c>
      <c r="C202">
        <v>4</v>
      </c>
      <c r="D202">
        <v>1</v>
      </c>
      <c r="E202">
        <v>1</v>
      </c>
      <c r="G202">
        <v>654290176</v>
      </c>
      <c r="H202">
        <v>457.9100037</v>
      </c>
      <c r="I202">
        <v>4.0900001530000001</v>
      </c>
      <c r="J202" s="9">
        <f t="shared" ref="J202" si="126">ABS(G202-G201)</f>
        <v>3402944</v>
      </c>
      <c r="K202" s="52"/>
      <c r="L202" s="9">
        <f t="shared" ref="L202:M207" si="127">ABS(H202-H201)</f>
        <v>1.8399964000000182</v>
      </c>
      <c r="M202" s="9">
        <f t="shared" si="127"/>
        <v>0</v>
      </c>
      <c r="N202" s="29">
        <f t="shared" si="85"/>
        <v>516764384</v>
      </c>
      <c r="O202" s="30">
        <f t="shared" si="86"/>
        <v>1.2525271962561515</v>
      </c>
      <c r="P202" s="30">
        <f t="shared" si="87"/>
        <v>1.2525271962561515</v>
      </c>
      <c r="Q202" s="29">
        <f t="shared" si="88"/>
        <v>349.28000639999999</v>
      </c>
      <c r="R202" s="30">
        <f t="shared" si="89"/>
        <v>1.0717727303119429</v>
      </c>
      <c r="S202" s="30">
        <f t="shared" si="90"/>
        <v>1.0717727303119429</v>
      </c>
      <c r="T202" s="37">
        <f t="shared" si="91"/>
        <v>0.13000011500000008</v>
      </c>
      <c r="U202" s="30">
        <f t="shared" si="92"/>
        <v>1.0942770517889245E-2</v>
      </c>
      <c r="V202" s="38">
        <f t="shared" si="93"/>
        <v>3.9890796965587967E-4</v>
      </c>
      <c r="W202" s="9">
        <f t="shared" ref="W202:Y217" si="128">ABS(G202-G181)</f>
        <v>110781504</v>
      </c>
      <c r="X202" s="12">
        <f t="shared" si="128"/>
        <v>170.42001349999998</v>
      </c>
      <c r="Y202" s="11">
        <f t="shared" si="128"/>
        <v>0.52000022000000001</v>
      </c>
      <c r="Z202" s="7">
        <f t="shared" si="121"/>
        <v>70623552</v>
      </c>
      <c r="AA202" s="7">
        <f t="shared" si="121"/>
        <v>25.190002499999991</v>
      </c>
      <c r="AB202" s="7">
        <f t="shared" si="121"/>
        <v>1.0000229000000083E-2</v>
      </c>
    </row>
    <row r="203" spans="1:28" x14ac:dyDescent="0.25">
      <c r="A203" s="2">
        <v>199</v>
      </c>
      <c r="B203">
        <v>2</v>
      </c>
      <c r="C203">
        <v>4</v>
      </c>
      <c r="D203">
        <v>1</v>
      </c>
      <c r="E203">
        <v>2</v>
      </c>
      <c r="G203">
        <v>656240384</v>
      </c>
      <c r="H203">
        <v>455.72000120000001</v>
      </c>
      <c r="I203">
        <v>4.0900001530000001</v>
      </c>
      <c r="J203" s="9">
        <f t="shared" si="104"/>
        <v>1950208</v>
      </c>
      <c r="K203" s="52"/>
      <c r="L203" s="9">
        <f t="shared" si="127"/>
        <v>2.1900024999999914</v>
      </c>
      <c r="M203" s="9">
        <f t="shared" si="127"/>
        <v>0</v>
      </c>
      <c r="N203" s="29">
        <f t="shared" si="85"/>
        <v>518459584</v>
      </c>
      <c r="O203" s="30">
        <f t="shared" si="86"/>
        <v>1.2543101893248794</v>
      </c>
      <c r="P203" s="30">
        <f t="shared" si="87"/>
        <v>1.2543101893248794</v>
      </c>
      <c r="Q203" s="29">
        <f t="shared" si="88"/>
        <v>347.68000030000002</v>
      </c>
      <c r="R203" s="30">
        <f t="shared" si="89"/>
        <v>1.0726891194734647</v>
      </c>
      <c r="S203" s="30">
        <f t="shared" si="90"/>
        <v>1.0726891194734647</v>
      </c>
      <c r="T203" s="37">
        <f t="shared" si="91"/>
        <v>0.13000011500000008</v>
      </c>
      <c r="U203" s="30">
        <f t="shared" si="92"/>
        <v>1.0942770517889245E-2</v>
      </c>
      <c r="V203" s="38">
        <f t="shared" si="93"/>
        <v>4.0108636899008668E-4</v>
      </c>
      <c r="W203" s="9">
        <f t="shared" si="128"/>
        <v>112843840</v>
      </c>
      <c r="X203" s="12">
        <f t="shared" si="128"/>
        <v>172.94000240000003</v>
      </c>
      <c r="Y203" s="11">
        <f t="shared" si="128"/>
        <v>0.52000022000000001</v>
      </c>
      <c r="Z203" s="7">
        <f t="shared" si="121"/>
        <v>70996864</v>
      </c>
      <c r="AA203" s="7">
        <f t="shared" si="121"/>
        <v>25.11999510000004</v>
      </c>
      <c r="AB203" s="7">
        <f t="shared" si="121"/>
        <v>1.0000229000000083E-2</v>
      </c>
    </row>
    <row r="204" spans="1:28" x14ac:dyDescent="0.25">
      <c r="A204" s="2">
        <v>200</v>
      </c>
      <c r="B204">
        <v>2</v>
      </c>
      <c r="C204">
        <v>4</v>
      </c>
      <c r="D204">
        <v>1</v>
      </c>
      <c r="E204">
        <v>3</v>
      </c>
      <c r="G204">
        <v>636765952</v>
      </c>
      <c r="H204">
        <v>450.88000490000002</v>
      </c>
      <c r="I204">
        <v>4.0900001530000001</v>
      </c>
      <c r="J204" s="9">
        <f t="shared" si="104"/>
        <v>19474432</v>
      </c>
      <c r="K204" s="52"/>
      <c r="L204" s="9">
        <f t="shared" si="127"/>
        <v>4.8399962999999957</v>
      </c>
      <c r="M204" s="9">
        <f t="shared" si="127"/>
        <v>0</v>
      </c>
      <c r="N204" s="29">
        <f t="shared" si="85"/>
        <v>502977968</v>
      </c>
      <c r="O204" s="30">
        <f t="shared" si="86"/>
        <v>1.2531717546970935</v>
      </c>
      <c r="P204" s="30">
        <f t="shared" si="87"/>
        <v>1.2531717546970935</v>
      </c>
      <c r="Q204" s="29">
        <f t="shared" si="88"/>
        <v>343.69000249999999</v>
      </c>
      <c r="R204" s="30">
        <f t="shared" si="89"/>
        <v>1.0687874951168641</v>
      </c>
      <c r="S204" s="30">
        <f t="shared" si="90"/>
        <v>1.0687874951168641</v>
      </c>
      <c r="T204" s="37">
        <f t="shared" si="91"/>
        <v>0.13000011500000008</v>
      </c>
      <c r="U204" s="30">
        <f t="shared" si="92"/>
        <v>1.0942770517889245E-2</v>
      </c>
      <c r="V204" s="38">
        <f t="shared" si="93"/>
        <v>4.0426691572372511E-4</v>
      </c>
      <c r="W204" s="9">
        <f t="shared" si="128"/>
        <v>105467072</v>
      </c>
      <c r="X204" s="12">
        <f t="shared" si="128"/>
        <v>163.35000610000003</v>
      </c>
      <c r="Y204" s="11">
        <f t="shared" si="128"/>
        <v>0.52000022000000001</v>
      </c>
      <c r="Z204" s="7">
        <f t="shared" si="121"/>
        <v>68668480</v>
      </c>
      <c r="AA204" s="7">
        <f t="shared" si="121"/>
        <v>24.779998800000044</v>
      </c>
      <c r="AB204" s="7">
        <f t="shared" si="121"/>
        <v>1.0000229000000083E-2</v>
      </c>
    </row>
    <row r="205" spans="1:28" x14ac:dyDescent="0.25">
      <c r="A205" s="2">
        <v>201</v>
      </c>
      <c r="B205">
        <v>2</v>
      </c>
      <c r="C205">
        <v>4</v>
      </c>
      <c r="D205">
        <v>1</v>
      </c>
      <c r="E205">
        <v>4</v>
      </c>
      <c r="G205">
        <v>581679552</v>
      </c>
      <c r="H205">
        <v>423.25</v>
      </c>
      <c r="I205">
        <v>4.0900001530000001</v>
      </c>
      <c r="J205" s="9">
        <f t="shared" si="104"/>
        <v>55086400</v>
      </c>
      <c r="K205" s="52"/>
      <c r="L205" s="9">
        <f t="shared" si="127"/>
        <v>27.630004900000017</v>
      </c>
      <c r="M205" s="9">
        <f t="shared" si="127"/>
        <v>0</v>
      </c>
      <c r="N205" s="29">
        <f t="shared" ref="N205:N268" si="129">ABS(G205-G198)</f>
        <v>460099320</v>
      </c>
      <c r="O205" s="30">
        <f t="shared" ref="O205:O268" si="130">(N205/ABS(G198))/3</f>
        <v>1.2614422384059936</v>
      </c>
      <c r="P205" s="30">
        <f t="shared" ref="P205:P268" si="131">(N205/ABS(G198))/(IF(AND(D205=1,D198=0),(2400-600)/600,IF(AND(D205=2,D198=1),(6000-2400)/2400,IF(AND(D205=0,D198=2),ABS(600-6000)/6000,"Not Valid"))))</f>
        <v>1.2614422384059936</v>
      </c>
      <c r="Q205" s="29">
        <f t="shared" ref="Q205:Q268" si="132">ABS(H205-H198)</f>
        <v>321.76999660000001</v>
      </c>
      <c r="R205" s="30">
        <f t="shared" ref="R205:R268" si="133">(Q205/ABS(H198))/3</f>
        <v>1.056924142094908</v>
      </c>
      <c r="S205" s="30">
        <f t="shared" ref="S205:S268" si="134">(Q205/ABS(H198))/(IF(AND(D205=1,D198=0),(2400-600)/600,IF(AND(D205=2,D198=1),(6000-2400)/2400,IF(AND(D205=0,D198=2),ABS(600-6000)/6000,"Not Valid"))))</f>
        <v>1.056924142094908</v>
      </c>
      <c r="T205" s="37">
        <f t="shared" ref="T205:T268" si="135">ABS(I205-I198)</f>
        <v>0.13000011500000008</v>
      </c>
      <c r="U205" s="30">
        <f t="shared" ref="U205:U268" si="136">(T205/ABS(I198))/3</f>
        <v>1.0942770517889245E-2</v>
      </c>
      <c r="V205" s="38">
        <f t="shared" ref="V205:V268" si="137">(T205/ABS(H198))/(IF(AND(D205=1,D198=0),(2400-600)/600,IF(AND(D205=2,D198=1),(6000-2400)/2400,IF(AND(D205=0,D198=2),ABS(600-6000)/6000,"Not Valid"))))</f>
        <v>4.2701389648028623E-4</v>
      </c>
      <c r="W205" s="9">
        <f t="shared" si="128"/>
        <v>92046272</v>
      </c>
      <c r="X205" s="12">
        <f t="shared" si="128"/>
        <v>145.75</v>
      </c>
      <c r="Y205" s="11">
        <f t="shared" si="128"/>
        <v>0.52000022000000001</v>
      </c>
      <c r="Z205" s="7">
        <f t="shared" si="121"/>
        <v>62701376</v>
      </c>
      <c r="AA205" s="7">
        <f t="shared" si="121"/>
        <v>23.140014599999972</v>
      </c>
      <c r="AB205" s="7">
        <f t="shared" si="121"/>
        <v>1.0000229000000083E-2</v>
      </c>
    </row>
    <row r="206" spans="1:28" x14ac:dyDescent="0.25">
      <c r="A206" s="2">
        <v>202</v>
      </c>
      <c r="B206">
        <v>2</v>
      </c>
      <c r="C206">
        <v>4</v>
      </c>
      <c r="D206">
        <v>1</v>
      </c>
      <c r="E206">
        <v>5</v>
      </c>
      <c r="G206">
        <v>542394624</v>
      </c>
      <c r="H206">
        <v>389.76998900000001</v>
      </c>
      <c r="I206">
        <v>4.0900001530000001</v>
      </c>
      <c r="J206" s="9">
        <f t="shared" si="104"/>
        <v>39284928</v>
      </c>
      <c r="K206" s="52"/>
      <c r="L206" s="9">
        <f t="shared" si="127"/>
        <v>33.48001099999999</v>
      </c>
      <c r="M206" s="9">
        <f t="shared" si="127"/>
        <v>0</v>
      </c>
      <c r="N206" s="29">
        <f t="shared" si="129"/>
        <v>430488256</v>
      </c>
      <c r="O206" s="30">
        <f t="shared" si="130"/>
        <v>1.2822870395841399</v>
      </c>
      <c r="P206" s="30">
        <f t="shared" si="131"/>
        <v>1.2822870395841399</v>
      </c>
      <c r="Q206" s="29">
        <f t="shared" si="132"/>
        <v>296.14998624999998</v>
      </c>
      <c r="R206" s="30">
        <f t="shared" si="133"/>
        <v>1.054439854556972</v>
      </c>
      <c r="S206" s="30">
        <f t="shared" si="134"/>
        <v>1.054439854556972</v>
      </c>
      <c r="T206" s="37">
        <f t="shared" si="135"/>
        <v>0.13000011500000008</v>
      </c>
      <c r="U206" s="30">
        <f t="shared" si="136"/>
        <v>1.0942770517889245E-2</v>
      </c>
      <c r="V206" s="38">
        <f t="shared" si="137"/>
        <v>4.6286445624641576E-4</v>
      </c>
      <c r="W206" s="9">
        <f t="shared" si="128"/>
        <v>89633888</v>
      </c>
      <c r="X206" s="12">
        <f t="shared" si="128"/>
        <v>138.06999210000001</v>
      </c>
      <c r="Y206" s="11">
        <f t="shared" si="128"/>
        <v>0.52000022000000001</v>
      </c>
      <c r="Z206" s="7">
        <f t="shared" ref="Z206:AB221" si="138">ABS(G206-G101)</f>
        <v>58769824</v>
      </c>
      <c r="AA206" s="7">
        <f t="shared" si="138"/>
        <v>21.529998799999987</v>
      </c>
      <c r="AB206" s="7">
        <f t="shared" si="138"/>
        <v>1.0000229000000083E-2</v>
      </c>
    </row>
    <row r="207" spans="1:28" x14ac:dyDescent="0.25">
      <c r="A207" s="2">
        <v>203</v>
      </c>
      <c r="B207">
        <v>2</v>
      </c>
      <c r="C207">
        <v>4</v>
      </c>
      <c r="D207">
        <v>1</v>
      </c>
      <c r="E207">
        <v>6</v>
      </c>
      <c r="G207">
        <v>441444672</v>
      </c>
      <c r="H207">
        <v>324.2000122</v>
      </c>
      <c r="I207">
        <v>4.0900001530000001</v>
      </c>
      <c r="J207" s="9">
        <f t="shared" si="104"/>
        <v>100949952</v>
      </c>
      <c r="K207" s="52">
        <f t="shared" ref="K207" si="139">AVERAGE(J202:J207)</f>
        <v>36691477.333333336</v>
      </c>
      <c r="L207" s="9">
        <f t="shared" si="127"/>
        <v>65.569976800000006</v>
      </c>
      <c r="M207" s="9">
        <f t="shared" si="127"/>
        <v>0</v>
      </c>
      <c r="N207" s="29">
        <f t="shared" si="129"/>
        <v>352738992</v>
      </c>
      <c r="O207" s="30">
        <f t="shared" si="130"/>
        <v>1.3255032146757684</v>
      </c>
      <c r="P207" s="30">
        <f t="shared" si="131"/>
        <v>1.3255032146757684</v>
      </c>
      <c r="Q207" s="29">
        <f t="shared" si="132"/>
        <v>244.93001556000002</v>
      </c>
      <c r="R207" s="30">
        <f t="shared" si="133"/>
        <v>1.0299399770480424</v>
      </c>
      <c r="S207" s="30">
        <f t="shared" si="134"/>
        <v>1.0299399770480424</v>
      </c>
      <c r="T207" s="37">
        <f t="shared" si="135"/>
        <v>0.13000011500000008</v>
      </c>
      <c r="U207" s="30">
        <f t="shared" si="136"/>
        <v>1.0942770517889245E-2</v>
      </c>
      <c r="V207" s="38">
        <f t="shared" si="137"/>
        <v>5.4665539931157854E-4</v>
      </c>
      <c r="W207" s="9">
        <f t="shared" si="128"/>
        <v>70674528</v>
      </c>
      <c r="X207" s="12">
        <f t="shared" si="128"/>
        <v>106.3900146</v>
      </c>
      <c r="Y207" s="11">
        <f t="shared" si="128"/>
        <v>0.52000022000000001</v>
      </c>
      <c r="Z207" s="7">
        <f t="shared" si="138"/>
        <v>48110304</v>
      </c>
      <c r="AA207" s="7">
        <f t="shared" si="138"/>
        <v>17.920013400000016</v>
      </c>
      <c r="AB207" s="7">
        <f t="shared" si="138"/>
        <v>0</v>
      </c>
    </row>
    <row r="208" spans="1:28" x14ac:dyDescent="0.25">
      <c r="A208" s="2">
        <v>204</v>
      </c>
      <c r="B208">
        <v>2</v>
      </c>
      <c r="C208">
        <v>4</v>
      </c>
      <c r="D208">
        <v>2</v>
      </c>
      <c r="E208">
        <v>0</v>
      </c>
      <c r="G208">
        <v>1800963840</v>
      </c>
      <c r="H208">
        <v>-9999.9902340000008</v>
      </c>
      <c r="I208">
        <v>4.3499999049999998</v>
      </c>
      <c r="K208" s="52"/>
      <c r="N208" s="29">
        <f t="shared" si="129"/>
        <v>1143270720</v>
      </c>
      <c r="O208" s="30">
        <f t="shared" si="130"/>
        <v>0.57943473697885117</v>
      </c>
      <c r="P208" s="30">
        <f t="shared" si="131"/>
        <v>1.1588694739577023</v>
      </c>
      <c r="Q208" s="29">
        <f t="shared" si="132"/>
        <v>10456.060241300002</v>
      </c>
      <c r="R208" s="30">
        <f t="shared" si="133"/>
        <v>7.6421456311070761</v>
      </c>
      <c r="S208" s="30">
        <f t="shared" si="134"/>
        <v>15.284291262214152</v>
      </c>
      <c r="T208" s="37">
        <f t="shared" si="135"/>
        <v>0.2599997519999997</v>
      </c>
      <c r="U208" s="30">
        <f t="shared" si="136"/>
        <v>2.1189873045953378E-2</v>
      </c>
      <c r="V208" s="38">
        <f t="shared" si="137"/>
        <v>3.8005824813202926E-4</v>
      </c>
      <c r="W208" s="9">
        <f t="shared" si="128"/>
        <v>161768576</v>
      </c>
      <c r="X208" s="12">
        <f t="shared" si="128"/>
        <v>0</v>
      </c>
      <c r="Y208" s="11">
        <f t="shared" si="128"/>
        <v>0.52999997199999971</v>
      </c>
      <c r="Z208" s="7">
        <f t="shared" si="138"/>
        <v>183336320</v>
      </c>
      <c r="AA208" s="7">
        <f t="shared" si="138"/>
        <v>0</v>
      </c>
      <c r="AB208" s="7">
        <f t="shared" si="138"/>
        <v>1.9999980999999778E-2</v>
      </c>
    </row>
    <row r="209" spans="1:28" x14ac:dyDescent="0.25">
      <c r="A209" s="2">
        <v>205</v>
      </c>
      <c r="B209">
        <v>2</v>
      </c>
      <c r="C209">
        <v>4</v>
      </c>
      <c r="D209">
        <v>2</v>
      </c>
      <c r="E209">
        <v>1</v>
      </c>
      <c r="G209">
        <v>1788862336</v>
      </c>
      <c r="H209">
        <v>-9999.9902340000008</v>
      </c>
      <c r="I209">
        <v>4.3499999049999998</v>
      </c>
      <c r="J209" s="9">
        <f t="shared" ref="J209" si="140">ABS(G209-G208)</f>
        <v>12101504</v>
      </c>
      <c r="K209" s="52"/>
      <c r="L209" s="9">
        <f t="shared" ref="L209:M214" si="141">ABS(H209-H208)</f>
        <v>0</v>
      </c>
      <c r="M209" s="9">
        <f t="shared" si="141"/>
        <v>0</v>
      </c>
      <c r="N209" s="29">
        <f t="shared" si="129"/>
        <v>1134572160</v>
      </c>
      <c r="O209" s="30">
        <f t="shared" si="130"/>
        <v>0.57801680947139877</v>
      </c>
      <c r="P209" s="30">
        <f t="shared" si="131"/>
        <v>1.1560336189427975</v>
      </c>
      <c r="Q209" s="29">
        <f t="shared" si="132"/>
        <v>10457.900237700002</v>
      </c>
      <c r="R209" s="30">
        <f t="shared" si="133"/>
        <v>7.6127770036311189</v>
      </c>
      <c r="S209" s="30">
        <f t="shared" si="134"/>
        <v>15.225554007262238</v>
      </c>
      <c r="T209" s="37">
        <f t="shared" si="135"/>
        <v>0.2599997519999997</v>
      </c>
      <c r="U209" s="30">
        <f t="shared" si="136"/>
        <v>2.1189873045953378E-2</v>
      </c>
      <c r="V209" s="38">
        <f t="shared" si="137"/>
        <v>3.7853107946853054E-4</v>
      </c>
      <c r="W209" s="9">
        <f t="shared" si="128"/>
        <v>157865344</v>
      </c>
      <c r="X209" s="12">
        <f t="shared" si="128"/>
        <v>0</v>
      </c>
      <c r="Y209" s="11">
        <f t="shared" si="128"/>
        <v>0.52999997199999971</v>
      </c>
      <c r="Z209" s="7">
        <f t="shared" si="138"/>
        <v>181835264</v>
      </c>
      <c r="AA209" s="7">
        <f t="shared" si="138"/>
        <v>0</v>
      </c>
      <c r="AB209" s="7">
        <f t="shared" si="138"/>
        <v>1.9999980999999778E-2</v>
      </c>
    </row>
    <row r="210" spans="1:28" x14ac:dyDescent="0.25">
      <c r="A210" s="2">
        <v>206</v>
      </c>
      <c r="B210">
        <v>2</v>
      </c>
      <c r="C210">
        <v>4</v>
      </c>
      <c r="D210">
        <v>2</v>
      </c>
      <c r="E210">
        <v>2</v>
      </c>
      <c r="G210">
        <v>1796587392</v>
      </c>
      <c r="H210">
        <v>-9999.9902340000008</v>
      </c>
      <c r="I210">
        <v>4.3499999049999998</v>
      </c>
      <c r="J210" s="9">
        <f t="shared" si="107"/>
        <v>7725056</v>
      </c>
      <c r="K210" s="52"/>
      <c r="L210" s="9">
        <f t="shared" si="141"/>
        <v>0</v>
      </c>
      <c r="M210" s="9">
        <f t="shared" si="141"/>
        <v>0</v>
      </c>
      <c r="N210" s="29">
        <f t="shared" si="129"/>
        <v>1140347008</v>
      </c>
      <c r="O210" s="30">
        <f t="shared" si="130"/>
        <v>0.57923236454362026</v>
      </c>
      <c r="P210" s="30">
        <f t="shared" si="131"/>
        <v>1.1584647290872405</v>
      </c>
      <c r="Q210" s="29">
        <f t="shared" si="132"/>
        <v>10455.7102352</v>
      </c>
      <c r="R210" s="30">
        <f t="shared" si="133"/>
        <v>7.647759009675581</v>
      </c>
      <c r="S210" s="30">
        <f t="shared" si="134"/>
        <v>15.295518019351162</v>
      </c>
      <c r="T210" s="37">
        <f t="shared" si="135"/>
        <v>0.2599997519999997</v>
      </c>
      <c r="U210" s="30">
        <f t="shared" si="136"/>
        <v>2.1189873045953378E-2</v>
      </c>
      <c r="V210" s="38">
        <f t="shared" si="137"/>
        <v>3.8035014382423334E-4</v>
      </c>
      <c r="W210" s="9">
        <f t="shared" si="128"/>
        <v>160866816</v>
      </c>
      <c r="X210" s="12">
        <f t="shared" si="128"/>
        <v>0</v>
      </c>
      <c r="Y210" s="11">
        <f t="shared" si="128"/>
        <v>0.52999997199999971</v>
      </c>
      <c r="Z210" s="7">
        <f t="shared" si="138"/>
        <v>182861440</v>
      </c>
      <c r="AA210" s="7">
        <f t="shared" si="138"/>
        <v>0</v>
      </c>
      <c r="AB210" s="7">
        <f t="shared" si="138"/>
        <v>1.9999980999999778E-2</v>
      </c>
    </row>
    <row r="211" spans="1:28" x14ac:dyDescent="0.25">
      <c r="A211" s="2">
        <v>207</v>
      </c>
      <c r="B211">
        <v>2</v>
      </c>
      <c r="C211">
        <v>4</v>
      </c>
      <c r="D211">
        <v>2</v>
      </c>
      <c r="E211">
        <v>3</v>
      </c>
      <c r="G211">
        <v>1738099968</v>
      </c>
      <c r="H211">
        <v>-9999.9902340000008</v>
      </c>
      <c r="I211">
        <v>4.3499999049999998</v>
      </c>
      <c r="J211" s="9">
        <f t="shared" si="107"/>
        <v>58487424</v>
      </c>
      <c r="K211" s="52"/>
      <c r="L211" s="9">
        <f t="shared" si="141"/>
        <v>0</v>
      </c>
      <c r="M211" s="9">
        <f t="shared" si="141"/>
        <v>0</v>
      </c>
      <c r="N211" s="29">
        <f t="shared" si="129"/>
        <v>1101334016</v>
      </c>
      <c r="O211" s="30">
        <f t="shared" si="130"/>
        <v>0.5765247615919431</v>
      </c>
      <c r="P211" s="30">
        <f t="shared" si="131"/>
        <v>1.1530495231838862</v>
      </c>
      <c r="Q211" s="29">
        <f t="shared" si="132"/>
        <v>10450.870238900001</v>
      </c>
      <c r="R211" s="30">
        <f t="shared" si="133"/>
        <v>7.7262761158355078</v>
      </c>
      <c r="S211" s="30">
        <f t="shared" si="134"/>
        <v>15.452552231671016</v>
      </c>
      <c r="T211" s="37">
        <f t="shared" si="135"/>
        <v>0.2599997519999997</v>
      </c>
      <c r="U211" s="30">
        <f t="shared" si="136"/>
        <v>2.1189873045953378E-2</v>
      </c>
      <c r="V211" s="38">
        <f t="shared" si="137"/>
        <v>3.8443303343745099E-4</v>
      </c>
      <c r="W211" s="9">
        <f t="shared" si="128"/>
        <v>149736576</v>
      </c>
      <c r="X211" s="12">
        <f t="shared" si="128"/>
        <v>0</v>
      </c>
      <c r="Y211" s="11">
        <f t="shared" si="128"/>
        <v>0.51999998099999978</v>
      </c>
      <c r="Z211" s="7">
        <f t="shared" si="138"/>
        <v>176465152</v>
      </c>
      <c r="AA211" s="7">
        <f t="shared" si="138"/>
        <v>0</v>
      </c>
      <c r="AB211" s="7">
        <f t="shared" si="138"/>
        <v>1.9999980999999778E-2</v>
      </c>
    </row>
    <row r="212" spans="1:28" x14ac:dyDescent="0.25">
      <c r="A212" s="2">
        <v>208</v>
      </c>
      <c r="B212">
        <v>2</v>
      </c>
      <c r="C212">
        <v>4</v>
      </c>
      <c r="D212">
        <v>2</v>
      </c>
      <c r="E212">
        <v>4</v>
      </c>
      <c r="G212">
        <v>1584833920</v>
      </c>
      <c r="H212">
        <v>-9999.9902340000008</v>
      </c>
      <c r="I212">
        <v>4.3499999049999998</v>
      </c>
      <c r="J212" s="9">
        <f t="shared" si="107"/>
        <v>153266048</v>
      </c>
      <c r="K212" s="52"/>
      <c r="L212" s="9">
        <f t="shared" si="141"/>
        <v>0</v>
      </c>
      <c r="M212" s="9">
        <f t="shared" si="141"/>
        <v>0</v>
      </c>
      <c r="N212" s="29">
        <f t="shared" si="129"/>
        <v>1003154368</v>
      </c>
      <c r="O212" s="30">
        <f t="shared" si="130"/>
        <v>0.57486082875633449</v>
      </c>
      <c r="P212" s="30">
        <f t="shared" si="131"/>
        <v>1.149721657512669</v>
      </c>
      <c r="Q212" s="29">
        <f t="shared" si="132"/>
        <v>10423.240234000001</v>
      </c>
      <c r="R212" s="30">
        <f t="shared" si="133"/>
        <v>8.2088916983658198</v>
      </c>
      <c r="S212" s="30">
        <f t="shared" si="134"/>
        <v>16.41778339673164</v>
      </c>
      <c r="T212" s="37">
        <f t="shared" si="135"/>
        <v>0.2599997519999997</v>
      </c>
      <c r="U212" s="30">
        <f t="shared" si="136"/>
        <v>2.1189873045953378E-2</v>
      </c>
      <c r="V212" s="38">
        <f t="shared" si="137"/>
        <v>4.0952904430005863E-4</v>
      </c>
      <c r="W212" s="9">
        <f t="shared" si="128"/>
        <v>129233152</v>
      </c>
      <c r="X212" s="12">
        <f t="shared" si="128"/>
        <v>0</v>
      </c>
      <c r="Y212" s="11">
        <f t="shared" si="128"/>
        <v>0.51999998099999978</v>
      </c>
      <c r="Z212" s="7">
        <f t="shared" si="138"/>
        <v>160899072</v>
      </c>
      <c r="AA212" s="7">
        <f t="shared" si="138"/>
        <v>0</v>
      </c>
      <c r="AB212" s="7">
        <f t="shared" si="138"/>
        <v>1.9999980999999778E-2</v>
      </c>
    </row>
    <row r="213" spans="1:28" x14ac:dyDescent="0.25">
      <c r="A213" s="2">
        <v>209</v>
      </c>
      <c r="B213">
        <v>2</v>
      </c>
      <c r="C213">
        <v>4</v>
      </c>
      <c r="D213">
        <v>2</v>
      </c>
      <c r="E213">
        <v>5</v>
      </c>
      <c r="G213">
        <v>1483684736</v>
      </c>
      <c r="H213">
        <v>-9999.9902340000008</v>
      </c>
      <c r="I213">
        <v>4.3499999049999998</v>
      </c>
      <c r="J213" s="9">
        <f t="shared" si="107"/>
        <v>101149184</v>
      </c>
      <c r="K213" s="52"/>
      <c r="L213" s="9">
        <f t="shared" si="141"/>
        <v>0</v>
      </c>
      <c r="M213" s="9">
        <f t="shared" si="141"/>
        <v>0</v>
      </c>
      <c r="N213" s="29">
        <f t="shared" si="129"/>
        <v>941290112</v>
      </c>
      <c r="O213" s="30">
        <f t="shared" si="130"/>
        <v>0.57847802463961495</v>
      </c>
      <c r="P213" s="30">
        <f t="shared" si="131"/>
        <v>1.1569560492792299</v>
      </c>
      <c r="Q213" s="29">
        <f t="shared" si="132"/>
        <v>10389.760223000001</v>
      </c>
      <c r="R213" s="30">
        <f t="shared" si="133"/>
        <v>8.8853772876460919</v>
      </c>
      <c r="S213" s="30">
        <f t="shared" si="134"/>
        <v>17.770754575292184</v>
      </c>
      <c r="T213" s="37">
        <f t="shared" si="135"/>
        <v>0.2599997519999997</v>
      </c>
      <c r="U213" s="30">
        <f t="shared" si="136"/>
        <v>2.1189873045953378E-2</v>
      </c>
      <c r="V213" s="38">
        <f t="shared" si="137"/>
        <v>4.4470629574305115E-4</v>
      </c>
      <c r="W213" s="9">
        <f t="shared" si="128"/>
        <v>127127552</v>
      </c>
      <c r="X213" s="12">
        <f t="shared" si="128"/>
        <v>10836.600219400001</v>
      </c>
      <c r="Y213" s="11">
        <f t="shared" si="128"/>
        <v>0.51999998099999978</v>
      </c>
      <c r="Z213" s="7">
        <f t="shared" si="138"/>
        <v>150807168</v>
      </c>
      <c r="AA213" s="7">
        <f t="shared" si="138"/>
        <v>0</v>
      </c>
      <c r="AB213" s="7">
        <f t="shared" si="138"/>
        <v>1.9999980999999778E-2</v>
      </c>
    </row>
    <row r="214" spans="1:28" x14ac:dyDescent="0.25">
      <c r="A214" s="2">
        <v>210</v>
      </c>
      <c r="B214">
        <v>2</v>
      </c>
      <c r="C214">
        <v>4</v>
      </c>
      <c r="D214">
        <v>2</v>
      </c>
      <c r="E214">
        <v>6</v>
      </c>
      <c r="G214">
        <v>1212364800</v>
      </c>
      <c r="H214">
        <v>-9999.9902340000008</v>
      </c>
      <c r="I214">
        <v>4.3499999049999998</v>
      </c>
      <c r="J214" s="9">
        <f t="shared" si="107"/>
        <v>271319936</v>
      </c>
      <c r="K214" s="52">
        <f t="shared" ref="K214" si="142">AVERAGE(J209:J214)</f>
        <v>100674858.66666667</v>
      </c>
      <c r="L214" s="9">
        <f t="shared" si="141"/>
        <v>0</v>
      </c>
      <c r="M214" s="9">
        <f t="shared" si="141"/>
        <v>0</v>
      </c>
      <c r="N214" s="29">
        <f t="shared" si="129"/>
        <v>770920128</v>
      </c>
      <c r="O214" s="30">
        <f t="shared" si="130"/>
        <v>0.58211910189279614</v>
      </c>
      <c r="P214" s="30">
        <f t="shared" si="131"/>
        <v>1.1642382037855923</v>
      </c>
      <c r="Q214" s="29">
        <f t="shared" si="132"/>
        <v>10324.190246200002</v>
      </c>
      <c r="R214" s="30">
        <f t="shared" si="133"/>
        <v>10.615042008728627</v>
      </c>
      <c r="S214" s="30">
        <f t="shared" si="134"/>
        <v>21.230084017457255</v>
      </c>
      <c r="T214" s="37">
        <f t="shared" si="135"/>
        <v>0.2599997519999997</v>
      </c>
      <c r="U214" s="30">
        <f t="shared" si="136"/>
        <v>2.1189873045953378E-2</v>
      </c>
      <c r="V214" s="38">
        <f t="shared" si="137"/>
        <v>5.3464886328588427E-4</v>
      </c>
      <c r="W214" s="9">
        <f t="shared" si="128"/>
        <v>101565952</v>
      </c>
      <c r="X214" s="12">
        <f t="shared" si="128"/>
        <v>10701.510253500001</v>
      </c>
      <c r="Y214" s="11">
        <f t="shared" si="128"/>
        <v>0.51999998099999978</v>
      </c>
      <c r="Z214" s="7">
        <f t="shared" si="138"/>
        <v>123436416</v>
      </c>
      <c r="AA214" s="7">
        <f t="shared" si="138"/>
        <v>0</v>
      </c>
      <c r="AB214" s="7">
        <f t="shared" si="138"/>
        <v>1.9999980999999778E-2</v>
      </c>
    </row>
    <row r="215" spans="1:28" x14ac:dyDescent="0.25">
      <c r="A215" s="2">
        <v>211</v>
      </c>
      <c r="B215">
        <v>3</v>
      </c>
      <c r="C215">
        <v>0</v>
      </c>
      <c r="D215">
        <v>0</v>
      </c>
      <c r="E215">
        <v>0</v>
      </c>
      <c r="G215">
        <v>4384027.5</v>
      </c>
      <c r="H215">
        <v>14.89000034</v>
      </c>
      <c r="I215">
        <v>2.3399999139999998</v>
      </c>
      <c r="K215" s="52"/>
      <c r="N215" s="29">
        <f t="shared" si="129"/>
        <v>1796579812.5</v>
      </c>
      <c r="O215" s="30">
        <f t="shared" si="130"/>
        <v>0.33252191087856603</v>
      </c>
      <c r="P215" s="30">
        <f t="shared" si="131"/>
        <v>1.10840636959522</v>
      </c>
      <c r="Q215" s="29">
        <f t="shared" si="132"/>
        <v>10014.88023434</v>
      </c>
      <c r="R215" s="30">
        <f t="shared" si="133"/>
        <v>0.33382966716271961</v>
      </c>
      <c r="S215" s="30">
        <f t="shared" si="134"/>
        <v>1.1127655572090653</v>
      </c>
      <c r="T215" s="37">
        <f t="shared" si="135"/>
        <v>2.0099999909999999</v>
      </c>
      <c r="U215" s="30">
        <f t="shared" si="136"/>
        <v>0.15402299117981247</v>
      </c>
      <c r="V215" s="38">
        <f t="shared" si="137"/>
        <v>2.2333355044087865E-4</v>
      </c>
      <c r="W215" s="9">
        <f t="shared" si="128"/>
        <v>133695236.5</v>
      </c>
      <c r="X215" s="12">
        <f t="shared" si="128"/>
        <v>93.199995959999995</v>
      </c>
      <c r="Y215" s="11">
        <f t="shared" si="128"/>
        <v>1.6200001240000002</v>
      </c>
      <c r="Z215" s="7">
        <f t="shared" si="138"/>
        <v>6593735</v>
      </c>
      <c r="AA215" s="7">
        <f t="shared" si="138"/>
        <v>4.6800002999999997</v>
      </c>
      <c r="AB215" s="7">
        <f t="shared" si="138"/>
        <v>9.9999899999998476E-3</v>
      </c>
    </row>
    <row r="216" spans="1:28" x14ac:dyDescent="0.25">
      <c r="A216" s="2">
        <v>212</v>
      </c>
      <c r="B216">
        <v>3</v>
      </c>
      <c r="C216">
        <v>0</v>
      </c>
      <c r="D216">
        <v>0</v>
      </c>
      <c r="E216">
        <v>1</v>
      </c>
      <c r="G216">
        <v>5383668.5</v>
      </c>
      <c r="H216">
        <v>15.5</v>
      </c>
      <c r="I216">
        <v>2.3399999139999998</v>
      </c>
      <c r="J216" s="9">
        <f t="shared" ref="J216" si="143">ABS(G216-G215)</f>
        <v>999641</v>
      </c>
      <c r="K216" s="52"/>
      <c r="L216" s="9">
        <f t="shared" ref="L216:M221" si="144">ABS(H216-H215)</f>
        <v>0.60999965999999972</v>
      </c>
      <c r="M216" s="9">
        <f t="shared" si="144"/>
        <v>0</v>
      </c>
      <c r="N216" s="29">
        <f t="shared" si="129"/>
        <v>1783478667.5</v>
      </c>
      <c r="O216" s="30">
        <f t="shared" si="130"/>
        <v>0.33233015039938024</v>
      </c>
      <c r="P216" s="30">
        <f t="shared" si="131"/>
        <v>1.107767167997934</v>
      </c>
      <c r="Q216" s="29">
        <f t="shared" si="132"/>
        <v>10015.490234000001</v>
      </c>
      <c r="R216" s="30">
        <f t="shared" si="133"/>
        <v>0.33385000050457719</v>
      </c>
      <c r="S216" s="30">
        <f t="shared" si="134"/>
        <v>1.1128333350152573</v>
      </c>
      <c r="T216" s="37">
        <f t="shared" si="135"/>
        <v>2.0099999909999999</v>
      </c>
      <c r="U216" s="30">
        <f t="shared" si="136"/>
        <v>0.15402299117981247</v>
      </c>
      <c r="V216" s="38">
        <f t="shared" si="137"/>
        <v>2.2333355044087865E-4</v>
      </c>
      <c r="W216" s="9">
        <f t="shared" si="128"/>
        <v>132142123.5</v>
      </c>
      <c r="X216" s="12">
        <f t="shared" si="128"/>
        <v>93.129997299999999</v>
      </c>
      <c r="Y216" s="11">
        <f t="shared" si="128"/>
        <v>1.6200001240000002</v>
      </c>
      <c r="Z216" s="7">
        <f t="shared" si="138"/>
        <v>6854433.1299999999</v>
      </c>
      <c r="AA216" s="7">
        <f t="shared" si="138"/>
        <v>4.6599998500000002</v>
      </c>
      <c r="AB216" s="7">
        <f t="shared" si="138"/>
        <v>9.9999899999998476E-3</v>
      </c>
    </row>
    <row r="217" spans="1:28" x14ac:dyDescent="0.25">
      <c r="A217" s="2">
        <v>213</v>
      </c>
      <c r="B217">
        <v>3</v>
      </c>
      <c r="C217">
        <v>0</v>
      </c>
      <c r="D217">
        <v>0</v>
      </c>
      <c r="E217">
        <v>2</v>
      </c>
      <c r="G217">
        <v>4857349</v>
      </c>
      <c r="H217">
        <v>15.18000031</v>
      </c>
      <c r="I217">
        <v>2.3399999139999998</v>
      </c>
      <c r="J217" s="9">
        <f t="shared" si="104"/>
        <v>526319.5</v>
      </c>
      <c r="K217" s="52"/>
      <c r="L217" s="9">
        <f t="shared" si="144"/>
        <v>0.3199996899999995</v>
      </c>
      <c r="M217" s="9">
        <f t="shared" si="144"/>
        <v>0</v>
      </c>
      <c r="N217" s="29">
        <f t="shared" si="129"/>
        <v>1791730043</v>
      </c>
      <c r="O217" s="30">
        <f t="shared" si="130"/>
        <v>0.3324321156466552</v>
      </c>
      <c r="P217" s="30">
        <f t="shared" si="131"/>
        <v>1.1081070521555174</v>
      </c>
      <c r="Q217" s="29">
        <f t="shared" si="132"/>
        <v>10015.170234310001</v>
      </c>
      <c r="R217" s="30">
        <f t="shared" si="133"/>
        <v>0.33383933383782677</v>
      </c>
      <c r="S217" s="30">
        <f t="shared" si="134"/>
        <v>1.1127977794594226</v>
      </c>
      <c r="T217" s="37">
        <f t="shared" si="135"/>
        <v>2.0099999909999999</v>
      </c>
      <c r="U217" s="30">
        <f t="shared" si="136"/>
        <v>0.15402299117981247</v>
      </c>
      <c r="V217" s="38">
        <f t="shared" si="137"/>
        <v>2.2333355044087865E-4</v>
      </c>
      <c r="W217" s="9">
        <f t="shared" si="128"/>
        <v>132923451</v>
      </c>
      <c r="X217" s="12">
        <f t="shared" si="128"/>
        <v>92.860000589999999</v>
      </c>
      <c r="Y217" s="11">
        <f t="shared" si="128"/>
        <v>1.6200001240000002</v>
      </c>
      <c r="Z217" s="7">
        <f t="shared" si="138"/>
        <v>6705628.3799999999</v>
      </c>
      <c r="AA217" s="7">
        <f t="shared" si="138"/>
        <v>4.6500005800000004</v>
      </c>
      <c r="AB217" s="7">
        <f t="shared" si="138"/>
        <v>9.9999899999998476E-3</v>
      </c>
    </row>
    <row r="218" spans="1:28" x14ac:dyDescent="0.25">
      <c r="A218" s="2">
        <v>214</v>
      </c>
      <c r="B218">
        <v>3</v>
      </c>
      <c r="C218">
        <v>0</v>
      </c>
      <c r="D218">
        <v>0</v>
      </c>
      <c r="E218">
        <v>3</v>
      </c>
      <c r="G218">
        <v>6212419</v>
      </c>
      <c r="H218">
        <v>15.960000040000001</v>
      </c>
      <c r="I218">
        <v>2.3399999139999998</v>
      </c>
      <c r="J218" s="9">
        <f t="shared" si="104"/>
        <v>1355070</v>
      </c>
      <c r="K218" s="52"/>
      <c r="L218" s="9">
        <f t="shared" si="144"/>
        <v>0.77999973000000011</v>
      </c>
      <c r="M218" s="9">
        <f t="shared" si="144"/>
        <v>0</v>
      </c>
      <c r="N218" s="29">
        <f t="shared" si="129"/>
        <v>1731887549</v>
      </c>
      <c r="O218" s="30">
        <f t="shared" si="130"/>
        <v>0.3321419137536436</v>
      </c>
      <c r="P218" s="30">
        <f t="shared" si="131"/>
        <v>1.1071397125121452</v>
      </c>
      <c r="Q218" s="29">
        <f t="shared" si="132"/>
        <v>10015.950234040001</v>
      </c>
      <c r="R218" s="30">
        <f t="shared" si="133"/>
        <v>0.3338653338542184</v>
      </c>
      <c r="S218" s="30">
        <f t="shared" si="134"/>
        <v>1.1128844461807281</v>
      </c>
      <c r="T218" s="37">
        <f t="shared" si="135"/>
        <v>2.0099999909999999</v>
      </c>
      <c r="U218" s="30">
        <f t="shared" si="136"/>
        <v>0.15402299117981247</v>
      </c>
      <c r="V218" s="38">
        <f t="shared" si="137"/>
        <v>2.2333355044087865E-4</v>
      </c>
      <c r="W218" s="9">
        <f t="shared" ref="W218:Y233" si="145">ABS(G218-G197)</f>
        <v>127575565</v>
      </c>
      <c r="X218" s="12">
        <f t="shared" si="145"/>
        <v>91.23000236</v>
      </c>
      <c r="Y218" s="11">
        <f t="shared" si="145"/>
        <v>1.6200001240000002</v>
      </c>
      <c r="Z218" s="7">
        <f t="shared" si="138"/>
        <v>7049719.3100000005</v>
      </c>
      <c r="AA218" s="7">
        <f t="shared" si="138"/>
        <v>4.6000003800000009</v>
      </c>
      <c r="AB218" s="7">
        <f t="shared" si="138"/>
        <v>9.9999899999998476E-3</v>
      </c>
    </row>
    <row r="219" spans="1:28" x14ac:dyDescent="0.25">
      <c r="A219" s="2">
        <v>215</v>
      </c>
      <c r="B219">
        <v>3</v>
      </c>
      <c r="C219">
        <v>0</v>
      </c>
      <c r="D219">
        <v>0</v>
      </c>
      <c r="E219">
        <v>4</v>
      </c>
      <c r="G219">
        <v>5112136</v>
      </c>
      <c r="H219">
        <v>15.31999969</v>
      </c>
      <c r="I219">
        <v>2.3399999139999998</v>
      </c>
      <c r="J219" s="9">
        <f t="shared" si="104"/>
        <v>1100283</v>
      </c>
      <c r="K219" s="52"/>
      <c r="L219" s="9">
        <f t="shared" si="144"/>
        <v>0.64000035000000111</v>
      </c>
      <c r="M219" s="9">
        <f t="shared" si="144"/>
        <v>0</v>
      </c>
      <c r="N219" s="29">
        <f t="shared" si="129"/>
        <v>1579721784</v>
      </c>
      <c r="O219" s="30">
        <f t="shared" si="130"/>
        <v>0.33225811320343268</v>
      </c>
      <c r="P219" s="30">
        <f t="shared" si="131"/>
        <v>1.1075270440114422</v>
      </c>
      <c r="Q219" s="29">
        <f t="shared" si="132"/>
        <v>10015.310233690001</v>
      </c>
      <c r="R219" s="30">
        <f t="shared" si="133"/>
        <v>0.33384400048838425</v>
      </c>
      <c r="S219" s="30">
        <f t="shared" si="134"/>
        <v>1.1128133349612808</v>
      </c>
      <c r="T219" s="37">
        <f t="shared" si="135"/>
        <v>2.0099999909999999</v>
      </c>
      <c r="U219" s="30">
        <f t="shared" si="136"/>
        <v>0.15402299117981247</v>
      </c>
      <c r="V219" s="38">
        <f t="shared" si="137"/>
        <v>2.2333355044087865E-4</v>
      </c>
      <c r="W219" s="9">
        <f t="shared" si="145"/>
        <v>116468096</v>
      </c>
      <c r="X219" s="12">
        <f t="shared" si="145"/>
        <v>86.160003709999998</v>
      </c>
      <c r="Y219" s="11">
        <f t="shared" si="145"/>
        <v>1.6200001240000002</v>
      </c>
      <c r="Z219" s="7">
        <f t="shared" si="138"/>
        <v>6774995.25</v>
      </c>
      <c r="AA219" s="7">
        <f t="shared" si="138"/>
        <v>4.6199998799999999</v>
      </c>
      <c r="AB219" s="7">
        <f t="shared" si="138"/>
        <v>9.9999899999998476E-3</v>
      </c>
    </row>
    <row r="220" spans="1:28" x14ac:dyDescent="0.25">
      <c r="A220" s="2">
        <v>216</v>
      </c>
      <c r="B220">
        <v>3</v>
      </c>
      <c r="C220">
        <v>0</v>
      </c>
      <c r="D220">
        <v>0</v>
      </c>
      <c r="E220">
        <v>5</v>
      </c>
      <c r="G220">
        <v>4109120.5</v>
      </c>
      <c r="H220">
        <v>14.77000046</v>
      </c>
      <c r="I220">
        <v>2.3399999139999998</v>
      </c>
      <c r="J220" s="9">
        <f t="shared" si="104"/>
        <v>1003015.5</v>
      </c>
      <c r="K220" s="52"/>
      <c r="L220" s="9">
        <f t="shared" si="144"/>
        <v>0.54999922999999917</v>
      </c>
      <c r="M220" s="9">
        <f t="shared" si="144"/>
        <v>0</v>
      </c>
      <c r="N220" s="29">
        <f t="shared" si="129"/>
        <v>1479575615.5</v>
      </c>
      <c r="O220" s="30">
        <f t="shared" si="130"/>
        <v>0.33241015416993097</v>
      </c>
      <c r="P220" s="30">
        <f t="shared" si="131"/>
        <v>1.1080338472331033</v>
      </c>
      <c r="Q220" s="29">
        <f t="shared" si="132"/>
        <v>10014.76023446</v>
      </c>
      <c r="R220" s="30">
        <f t="shared" si="133"/>
        <v>0.3338256671628132</v>
      </c>
      <c r="S220" s="30">
        <f t="shared" si="134"/>
        <v>1.1127522238760439</v>
      </c>
      <c r="T220" s="37">
        <f t="shared" si="135"/>
        <v>2.0099999909999999</v>
      </c>
      <c r="U220" s="30">
        <f t="shared" si="136"/>
        <v>0.15402299117981247</v>
      </c>
      <c r="V220" s="38">
        <f t="shared" si="137"/>
        <v>2.2333355044087865E-4</v>
      </c>
      <c r="W220" s="9">
        <f t="shared" si="145"/>
        <v>107797247.5</v>
      </c>
      <c r="X220" s="12">
        <f t="shared" si="145"/>
        <v>78.850002289999992</v>
      </c>
      <c r="Y220" s="11">
        <f t="shared" si="145"/>
        <v>1.6200001240000002</v>
      </c>
      <c r="Z220" s="7">
        <f t="shared" si="138"/>
        <v>6364814.75</v>
      </c>
      <c r="AA220" s="7">
        <f t="shared" si="138"/>
        <v>4.6200008400000012</v>
      </c>
      <c r="AB220" s="7">
        <f t="shared" si="138"/>
        <v>9.9999899999998476E-3</v>
      </c>
    </row>
    <row r="221" spans="1:28" x14ac:dyDescent="0.25">
      <c r="A221" s="2">
        <v>217</v>
      </c>
      <c r="B221">
        <v>3</v>
      </c>
      <c r="C221">
        <v>0</v>
      </c>
      <c r="D221">
        <v>0</v>
      </c>
      <c r="E221">
        <v>6</v>
      </c>
      <c r="G221">
        <v>1186834.3799999999</v>
      </c>
      <c r="H221">
        <v>12.85999966</v>
      </c>
      <c r="I221">
        <v>2.3399999139999998</v>
      </c>
      <c r="J221" s="9">
        <f t="shared" si="104"/>
        <v>2922286.12</v>
      </c>
      <c r="K221" s="52">
        <f t="shared" ref="K221" si="146">AVERAGE(J216:J221)</f>
        <v>1317769.1866666668</v>
      </c>
      <c r="L221" s="9">
        <f t="shared" si="144"/>
        <v>1.9100008000000006</v>
      </c>
      <c r="M221" s="9">
        <f t="shared" si="144"/>
        <v>0</v>
      </c>
      <c r="N221" s="29">
        <f t="shared" si="129"/>
        <v>1211177965.6199999</v>
      </c>
      <c r="O221" s="30">
        <f t="shared" si="130"/>
        <v>0.33300701945487032</v>
      </c>
      <c r="P221" s="30">
        <f t="shared" si="131"/>
        <v>1.1100233981829011</v>
      </c>
      <c r="Q221" s="29">
        <f t="shared" si="132"/>
        <v>10012.850233660001</v>
      </c>
      <c r="R221" s="30">
        <f t="shared" si="133"/>
        <v>0.33376200040730297</v>
      </c>
      <c r="S221" s="30">
        <f t="shared" si="134"/>
        <v>1.1125400013576765</v>
      </c>
      <c r="T221" s="37">
        <f t="shared" si="135"/>
        <v>2.0099999909999999</v>
      </c>
      <c r="U221" s="30">
        <f t="shared" si="136"/>
        <v>0.15402299117981247</v>
      </c>
      <c r="V221" s="38">
        <f t="shared" si="137"/>
        <v>2.2333355044087865E-4</v>
      </c>
      <c r="W221" s="9">
        <f t="shared" si="145"/>
        <v>87518845.620000005</v>
      </c>
      <c r="X221" s="12">
        <f t="shared" si="145"/>
        <v>66.409996980000003</v>
      </c>
      <c r="Y221" s="11">
        <f t="shared" si="145"/>
        <v>1.6200001240000002</v>
      </c>
      <c r="Z221" s="7">
        <f t="shared" si="138"/>
        <v>5537787.3799999999</v>
      </c>
      <c r="AA221" s="7">
        <f t="shared" si="138"/>
        <v>4.6599998510000002</v>
      </c>
      <c r="AB221" s="7">
        <f t="shared" si="138"/>
        <v>9.9999899999998476E-3</v>
      </c>
    </row>
    <row r="222" spans="1:28" x14ac:dyDescent="0.25">
      <c r="A222" s="2">
        <v>218</v>
      </c>
      <c r="B222">
        <v>3</v>
      </c>
      <c r="C222">
        <v>0</v>
      </c>
      <c r="D222">
        <v>1</v>
      </c>
      <c r="E222">
        <v>0</v>
      </c>
      <c r="G222">
        <v>136792720</v>
      </c>
      <c r="H222">
        <v>40.909999849999998</v>
      </c>
      <c r="I222">
        <v>2.3900001049999999</v>
      </c>
      <c r="K222" s="52"/>
      <c r="N222" s="29">
        <f t="shared" si="129"/>
        <v>132408692.5</v>
      </c>
      <c r="O222" s="30">
        <f t="shared" si="130"/>
        <v>10.067507750198496</v>
      </c>
      <c r="P222" s="30">
        <f t="shared" si="131"/>
        <v>10.067507750198496</v>
      </c>
      <c r="Q222" s="29">
        <f t="shared" si="132"/>
        <v>26.019999509999998</v>
      </c>
      <c r="R222" s="30">
        <f t="shared" si="133"/>
        <v>0.58249381947294154</v>
      </c>
      <c r="S222" s="30">
        <f t="shared" si="134"/>
        <v>0.58249381947294154</v>
      </c>
      <c r="T222" s="37">
        <f t="shared" si="135"/>
        <v>5.0000191000000083E-2</v>
      </c>
      <c r="U222" s="30">
        <f t="shared" si="136"/>
        <v>7.1225345922527085E-3</v>
      </c>
      <c r="V222" s="38">
        <f t="shared" si="137"/>
        <v>1.1193237040136536E-3</v>
      </c>
      <c r="W222" s="9">
        <f t="shared" si="145"/>
        <v>520900400</v>
      </c>
      <c r="X222" s="12">
        <f t="shared" si="145"/>
        <v>415.16000744999997</v>
      </c>
      <c r="Y222" s="11">
        <f t="shared" si="145"/>
        <v>1.7000000480000002</v>
      </c>
      <c r="Z222" s="7">
        <f t="shared" ref="Z222:AB237" si="147">ABS(G222-G117)</f>
        <v>58080304</v>
      </c>
      <c r="AA222" s="7">
        <f t="shared" si="147"/>
        <v>5.8299980199999979</v>
      </c>
      <c r="AB222" s="7">
        <f t="shared" si="147"/>
        <v>2.000021899999993E-2</v>
      </c>
    </row>
    <row r="223" spans="1:28" x14ac:dyDescent="0.25">
      <c r="A223" s="2">
        <v>219</v>
      </c>
      <c r="B223">
        <v>3</v>
      </c>
      <c r="C223">
        <v>0</v>
      </c>
      <c r="D223">
        <v>1</v>
      </c>
      <c r="E223">
        <v>1</v>
      </c>
      <c r="G223">
        <v>140309520</v>
      </c>
      <c r="H223">
        <v>41.689998629999998</v>
      </c>
      <c r="I223">
        <v>2.3900001049999999</v>
      </c>
      <c r="J223" s="9">
        <f t="shared" ref="J223" si="148">ABS(G223-G222)</f>
        <v>3516800</v>
      </c>
      <c r="K223" s="52"/>
      <c r="L223" s="9">
        <f t="shared" ref="L223:M228" si="149">ABS(H223-H222)</f>
        <v>0.77999877999999967</v>
      </c>
      <c r="M223" s="9">
        <f t="shared" si="149"/>
        <v>0</v>
      </c>
      <c r="N223" s="29">
        <f t="shared" si="129"/>
        <v>134925851.5</v>
      </c>
      <c r="O223" s="30">
        <f t="shared" si="130"/>
        <v>8.3540217666324246</v>
      </c>
      <c r="P223" s="30">
        <f t="shared" si="131"/>
        <v>8.3540217666324246</v>
      </c>
      <c r="Q223" s="29">
        <f t="shared" si="132"/>
        <v>26.189998629999998</v>
      </c>
      <c r="R223" s="30">
        <f t="shared" si="133"/>
        <v>0.56322577698924725</v>
      </c>
      <c r="S223" s="30">
        <f t="shared" si="134"/>
        <v>0.56322577698924725</v>
      </c>
      <c r="T223" s="37">
        <f t="shared" si="135"/>
        <v>5.0000191000000083E-2</v>
      </c>
      <c r="U223" s="30">
        <f t="shared" si="136"/>
        <v>7.1225345922527085E-3</v>
      </c>
      <c r="V223" s="38">
        <f t="shared" si="137"/>
        <v>1.0752729247311846E-3</v>
      </c>
      <c r="W223" s="9">
        <f t="shared" si="145"/>
        <v>513980656</v>
      </c>
      <c r="X223" s="12">
        <f t="shared" si="145"/>
        <v>416.22000507000001</v>
      </c>
      <c r="Y223" s="11">
        <f t="shared" si="145"/>
        <v>1.7000000480000002</v>
      </c>
      <c r="Z223" s="7">
        <f t="shared" si="147"/>
        <v>58608216</v>
      </c>
      <c r="AA223" s="7">
        <f t="shared" si="147"/>
        <v>5.8400001599999953</v>
      </c>
      <c r="AB223" s="7">
        <f t="shared" si="147"/>
        <v>2.000021899999993E-2</v>
      </c>
    </row>
    <row r="224" spans="1:28" x14ac:dyDescent="0.25">
      <c r="A224" s="2">
        <v>220</v>
      </c>
      <c r="B224">
        <v>3</v>
      </c>
      <c r="C224">
        <v>0</v>
      </c>
      <c r="D224">
        <v>1</v>
      </c>
      <c r="E224">
        <v>2</v>
      </c>
      <c r="G224">
        <v>138367792</v>
      </c>
      <c r="H224">
        <v>41.27999878</v>
      </c>
      <c r="I224">
        <v>2.3900001049999999</v>
      </c>
      <c r="J224" s="9">
        <f t="shared" si="107"/>
        <v>1941728</v>
      </c>
      <c r="K224" s="52"/>
      <c r="L224" s="9">
        <f t="shared" si="149"/>
        <v>0.40999984999999839</v>
      </c>
      <c r="M224" s="9">
        <f t="shared" si="149"/>
        <v>0</v>
      </c>
      <c r="N224" s="29">
        <f t="shared" si="129"/>
        <v>133510443</v>
      </c>
      <c r="O224" s="30">
        <f t="shared" si="130"/>
        <v>9.1620925323669358</v>
      </c>
      <c r="P224" s="30">
        <f t="shared" si="131"/>
        <v>9.1620925323669358</v>
      </c>
      <c r="Q224" s="29">
        <f t="shared" si="132"/>
        <v>26.099998469999999</v>
      </c>
      <c r="R224" s="30">
        <f t="shared" si="133"/>
        <v>0.57312248434334845</v>
      </c>
      <c r="S224" s="30">
        <f t="shared" si="134"/>
        <v>0.57312248434334845</v>
      </c>
      <c r="T224" s="37">
        <f t="shared" si="135"/>
        <v>5.0000191000000083E-2</v>
      </c>
      <c r="U224" s="30">
        <f t="shared" si="136"/>
        <v>7.1225345922527085E-3</v>
      </c>
      <c r="V224" s="38">
        <f t="shared" si="137"/>
        <v>1.0979400522379411E-3</v>
      </c>
      <c r="W224" s="9">
        <f t="shared" si="145"/>
        <v>517872592</v>
      </c>
      <c r="X224" s="12">
        <f t="shared" si="145"/>
        <v>414.44000242000004</v>
      </c>
      <c r="Y224" s="11">
        <f t="shared" si="145"/>
        <v>1.7000000480000002</v>
      </c>
      <c r="Z224" s="7">
        <f t="shared" si="147"/>
        <v>58360864</v>
      </c>
      <c r="AA224" s="7">
        <f t="shared" si="147"/>
        <v>5.8299980199999979</v>
      </c>
      <c r="AB224" s="7">
        <f t="shared" si="147"/>
        <v>2.000021899999993E-2</v>
      </c>
    </row>
    <row r="225" spans="1:28" x14ac:dyDescent="0.25">
      <c r="A225" s="2">
        <v>221</v>
      </c>
      <c r="B225">
        <v>3</v>
      </c>
      <c r="C225">
        <v>0</v>
      </c>
      <c r="D225">
        <v>1</v>
      </c>
      <c r="E225">
        <v>3</v>
      </c>
      <c r="G225">
        <v>142044416</v>
      </c>
      <c r="H225">
        <v>42.299999239999998</v>
      </c>
      <c r="I225">
        <v>2.3900001049999999</v>
      </c>
      <c r="J225" s="9">
        <f t="shared" si="107"/>
        <v>3676624</v>
      </c>
      <c r="K225" s="52"/>
      <c r="L225" s="9">
        <f t="shared" si="149"/>
        <v>1.0200004599999986</v>
      </c>
      <c r="M225" s="9">
        <f t="shared" si="149"/>
        <v>0</v>
      </c>
      <c r="N225" s="29">
        <f t="shared" si="129"/>
        <v>135831997</v>
      </c>
      <c r="O225" s="30">
        <f t="shared" si="130"/>
        <v>7.288196809219297</v>
      </c>
      <c r="P225" s="30">
        <f t="shared" si="131"/>
        <v>7.288196809219297</v>
      </c>
      <c r="Q225" s="29">
        <f t="shared" si="132"/>
        <v>26.339999199999998</v>
      </c>
      <c r="R225" s="30">
        <f t="shared" si="133"/>
        <v>0.55012529519601006</v>
      </c>
      <c r="S225" s="30">
        <f t="shared" si="134"/>
        <v>0.55012529519601006</v>
      </c>
      <c r="T225" s="37">
        <f t="shared" si="135"/>
        <v>5.0000191000000083E-2</v>
      </c>
      <c r="U225" s="30">
        <f t="shared" si="136"/>
        <v>7.1225345922527085E-3</v>
      </c>
      <c r="V225" s="38">
        <f t="shared" si="137"/>
        <v>1.0442813465891044E-3</v>
      </c>
      <c r="W225" s="9">
        <f t="shared" si="145"/>
        <v>494721536</v>
      </c>
      <c r="X225" s="12">
        <f t="shared" si="145"/>
        <v>408.58000566000004</v>
      </c>
      <c r="Y225" s="11">
        <f t="shared" si="145"/>
        <v>1.7000000480000002</v>
      </c>
      <c r="Z225" s="7">
        <f t="shared" si="147"/>
        <v>58308752</v>
      </c>
      <c r="AA225" s="7">
        <f t="shared" si="147"/>
        <v>5.8199996999999968</v>
      </c>
      <c r="AB225" s="7">
        <f t="shared" si="147"/>
        <v>2.000021899999993E-2</v>
      </c>
    </row>
    <row r="226" spans="1:28" x14ac:dyDescent="0.25">
      <c r="A226" s="2">
        <v>222</v>
      </c>
      <c r="B226">
        <v>3</v>
      </c>
      <c r="C226">
        <v>0</v>
      </c>
      <c r="D226">
        <v>1</v>
      </c>
      <c r="E226">
        <v>4</v>
      </c>
      <c r="G226">
        <v>133478896</v>
      </c>
      <c r="H226">
        <v>41.229999540000001</v>
      </c>
      <c r="I226">
        <v>2.3900001049999999</v>
      </c>
      <c r="J226" s="9">
        <f t="shared" si="107"/>
        <v>8565520</v>
      </c>
      <c r="K226" s="52"/>
      <c r="L226" s="9">
        <f t="shared" si="149"/>
        <v>1.0699996999999968</v>
      </c>
      <c r="M226" s="9">
        <f t="shared" si="149"/>
        <v>0</v>
      </c>
      <c r="N226" s="29">
        <f t="shared" si="129"/>
        <v>128366760</v>
      </c>
      <c r="O226" s="30">
        <f t="shared" si="130"/>
        <v>8.3700668370325051</v>
      </c>
      <c r="P226" s="30">
        <f t="shared" si="131"/>
        <v>8.3700668370325051</v>
      </c>
      <c r="Q226" s="29">
        <f t="shared" si="132"/>
        <v>25.909999850000002</v>
      </c>
      <c r="R226" s="30">
        <f t="shared" si="133"/>
        <v>0.56375109604631246</v>
      </c>
      <c r="S226" s="30">
        <f t="shared" si="134"/>
        <v>0.56375109604631246</v>
      </c>
      <c r="T226" s="37">
        <f t="shared" si="135"/>
        <v>5.0000191000000083E-2</v>
      </c>
      <c r="U226" s="30">
        <f t="shared" si="136"/>
        <v>7.1225345922527085E-3</v>
      </c>
      <c r="V226" s="38">
        <f t="shared" si="137"/>
        <v>1.0879067017352767E-3</v>
      </c>
      <c r="W226" s="9">
        <f t="shared" si="145"/>
        <v>448200656</v>
      </c>
      <c r="X226" s="12">
        <f t="shared" si="145"/>
        <v>382.02000046000001</v>
      </c>
      <c r="Y226" s="11">
        <f t="shared" si="145"/>
        <v>1.7000000480000002</v>
      </c>
      <c r="Z226" s="7">
        <f t="shared" si="147"/>
        <v>54455024</v>
      </c>
      <c r="AA226" s="7">
        <f t="shared" si="147"/>
        <v>5.7399978600000026</v>
      </c>
      <c r="AB226" s="7">
        <f t="shared" si="147"/>
        <v>9.9999909999999304E-3</v>
      </c>
    </row>
    <row r="227" spans="1:28" x14ac:dyDescent="0.25">
      <c r="A227" s="2">
        <v>223</v>
      </c>
      <c r="B227">
        <v>3</v>
      </c>
      <c r="C227">
        <v>0</v>
      </c>
      <c r="D227">
        <v>1</v>
      </c>
      <c r="E227">
        <v>5</v>
      </c>
      <c r="G227">
        <v>124794880</v>
      </c>
      <c r="H227">
        <v>40.709999080000003</v>
      </c>
      <c r="I227">
        <v>2.3900001049999999</v>
      </c>
      <c r="J227" s="9">
        <f t="shared" si="107"/>
        <v>8684016</v>
      </c>
      <c r="K227" s="52"/>
      <c r="L227" s="9">
        <f t="shared" si="149"/>
        <v>0.52000045999999855</v>
      </c>
      <c r="M227" s="9">
        <f t="shared" si="149"/>
        <v>0</v>
      </c>
      <c r="N227" s="29">
        <f t="shared" si="129"/>
        <v>120685759.5</v>
      </c>
      <c r="O227" s="30">
        <f t="shared" si="130"/>
        <v>9.7900722307851513</v>
      </c>
      <c r="P227" s="30">
        <f t="shared" si="131"/>
        <v>9.7900722307851513</v>
      </c>
      <c r="Q227" s="29">
        <f t="shared" si="132"/>
        <v>25.939998620000004</v>
      </c>
      <c r="R227" s="30">
        <f t="shared" si="133"/>
        <v>0.585420848840425</v>
      </c>
      <c r="S227" s="30">
        <f t="shared" si="134"/>
        <v>0.585420848840425</v>
      </c>
      <c r="T227" s="37">
        <f t="shared" si="135"/>
        <v>5.0000191000000083E-2</v>
      </c>
      <c r="U227" s="30">
        <f t="shared" si="136"/>
        <v>7.1225345922527085E-3</v>
      </c>
      <c r="V227" s="38">
        <f t="shared" si="137"/>
        <v>1.1284177260840356E-3</v>
      </c>
      <c r="W227" s="9">
        <f t="shared" si="145"/>
        <v>417599744</v>
      </c>
      <c r="X227" s="12">
        <f t="shared" si="145"/>
        <v>349.05998992000002</v>
      </c>
      <c r="Y227" s="11">
        <f t="shared" si="145"/>
        <v>1.7000000480000002</v>
      </c>
      <c r="Z227" s="7">
        <f t="shared" si="147"/>
        <v>51160624</v>
      </c>
      <c r="AA227" s="7">
        <f t="shared" si="147"/>
        <v>5.7399978600000026</v>
      </c>
      <c r="AB227" s="7">
        <f t="shared" si="147"/>
        <v>9.9999909999999304E-3</v>
      </c>
    </row>
    <row r="228" spans="1:28" x14ac:dyDescent="0.25">
      <c r="A228" s="2">
        <v>224</v>
      </c>
      <c r="B228">
        <v>3</v>
      </c>
      <c r="C228">
        <v>0</v>
      </c>
      <c r="D228">
        <v>1</v>
      </c>
      <c r="E228">
        <v>6</v>
      </c>
      <c r="G228">
        <v>104231256</v>
      </c>
      <c r="H228">
        <v>38.02999878</v>
      </c>
      <c r="I228">
        <v>2.3900001049999999</v>
      </c>
      <c r="J228" s="9">
        <f t="shared" si="107"/>
        <v>20563624</v>
      </c>
      <c r="K228" s="52">
        <f t="shared" ref="K228" si="150">AVERAGE(J223:J228)</f>
        <v>7824718.666666667</v>
      </c>
      <c r="L228" s="9">
        <f t="shared" si="149"/>
        <v>2.6800003000000032</v>
      </c>
      <c r="M228" s="9">
        <f t="shared" si="149"/>
        <v>0</v>
      </c>
      <c r="N228" s="29">
        <f t="shared" si="129"/>
        <v>103044421.62</v>
      </c>
      <c r="O228" s="30">
        <f t="shared" si="130"/>
        <v>28.940971982965308</v>
      </c>
      <c r="P228" s="30">
        <f t="shared" si="131"/>
        <v>28.940971982965308</v>
      </c>
      <c r="Q228" s="29">
        <f t="shared" si="132"/>
        <v>25.16999912</v>
      </c>
      <c r="R228" s="30">
        <f t="shared" si="133"/>
        <v>0.65241056986673873</v>
      </c>
      <c r="S228" s="30">
        <f t="shared" si="134"/>
        <v>0.65241056986673873</v>
      </c>
      <c r="T228" s="37">
        <f t="shared" si="135"/>
        <v>5.0000191000000083E-2</v>
      </c>
      <c r="U228" s="30">
        <f t="shared" si="136"/>
        <v>7.1225345922527085E-3</v>
      </c>
      <c r="V228" s="38">
        <f t="shared" si="137"/>
        <v>1.2960132794695082E-3</v>
      </c>
      <c r="W228" s="9">
        <f t="shared" si="145"/>
        <v>337213416</v>
      </c>
      <c r="X228" s="12">
        <f t="shared" si="145"/>
        <v>286.17001342000003</v>
      </c>
      <c r="Y228" s="11">
        <f t="shared" si="145"/>
        <v>1.7000000480000002</v>
      </c>
      <c r="Z228" s="7">
        <f t="shared" si="147"/>
        <v>43179192</v>
      </c>
      <c r="AA228" s="7">
        <f t="shared" si="147"/>
        <v>5.5599975599999993</v>
      </c>
      <c r="AB228" s="7">
        <f t="shared" si="147"/>
        <v>9.9999909999999304E-3</v>
      </c>
    </row>
    <row r="229" spans="1:28" x14ac:dyDescent="0.25">
      <c r="A229" s="2">
        <v>225</v>
      </c>
      <c r="B229">
        <v>3</v>
      </c>
      <c r="C229">
        <v>0</v>
      </c>
      <c r="D229">
        <v>2</v>
      </c>
      <c r="E229">
        <v>0</v>
      </c>
      <c r="G229">
        <v>546507136</v>
      </c>
      <c r="H229">
        <v>74.620002749999998</v>
      </c>
      <c r="I229">
        <v>2.539999962</v>
      </c>
      <c r="K229" s="52"/>
      <c r="N229" s="29">
        <f t="shared" si="129"/>
        <v>409714416</v>
      </c>
      <c r="O229" s="30">
        <f t="shared" si="130"/>
        <v>0.99838260398652789</v>
      </c>
      <c r="P229" s="30">
        <f t="shared" si="131"/>
        <v>1.9967652079730558</v>
      </c>
      <c r="Q229" s="29">
        <f t="shared" si="132"/>
        <v>33.710002899999999</v>
      </c>
      <c r="R229" s="30">
        <f t="shared" si="133"/>
        <v>0.27466799497759797</v>
      </c>
      <c r="S229" s="30">
        <f t="shared" si="134"/>
        <v>0.54933598995519595</v>
      </c>
      <c r="T229" s="37">
        <f t="shared" si="135"/>
        <v>0.14999985700000007</v>
      </c>
      <c r="U229" s="30">
        <f t="shared" si="136"/>
        <v>2.0920481228737586E-2</v>
      </c>
      <c r="V229" s="38">
        <f t="shared" si="137"/>
        <v>2.4443878033078683E-3</v>
      </c>
      <c r="W229" s="9">
        <f t="shared" si="145"/>
        <v>1254456704</v>
      </c>
      <c r="X229" s="12">
        <f t="shared" si="145"/>
        <v>10074.610236750001</v>
      </c>
      <c r="Y229" s="11">
        <f t="shared" si="145"/>
        <v>1.8099999429999998</v>
      </c>
      <c r="Z229" s="7">
        <f t="shared" si="147"/>
        <v>211787328</v>
      </c>
      <c r="AA229" s="7">
        <f t="shared" si="147"/>
        <v>9.2099990899999966</v>
      </c>
      <c r="AB229" s="7">
        <f t="shared" si="147"/>
        <v>4.9999951999999848E-2</v>
      </c>
    </row>
    <row r="230" spans="1:28" x14ac:dyDescent="0.25">
      <c r="A230" s="2">
        <v>226</v>
      </c>
      <c r="B230">
        <v>3</v>
      </c>
      <c r="C230">
        <v>0</v>
      </c>
      <c r="D230">
        <v>2</v>
      </c>
      <c r="E230">
        <v>1</v>
      </c>
      <c r="G230">
        <v>555939840</v>
      </c>
      <c r="H230">
        <v>76.980003359999998</v>
      </c>
      <c r="I230">
        <v>2.539999962</v>
      </c>
      <c r="J230" s="9">
        <f t="shared" ref="J230:J291" si="151">ABS(G230-G229)</f>
        <v>9432704</v>
      </c>
      <c r="K230" s="52"/>
      <c r="L230" s="9">
        <f t="shared" ref="L230:M235" si="152">ABS(H230-H229)</f>
        <v>2.3600006100000002</v>
      </c>
      <c r="M230" s="9">
        <f t="shared" si="152"/>
        <v>0</v>
      </c>
      <c r="N230" s="29">
        <f t="shared" si="129"/>
        <v>415630320</v>
      </c>
      <c r="O230" s="30">
        <f t="shared" si="130"/>
        <v>0.98741297098015879</v>
      </c>
      <c r="P230" s="30">
        <f t="shared" si="131"/>
        <v>1.9748259419603176</v>
      </c>
      <c r="Q230" s="29">
        <f t="shared" si="132"/>
        <v>35.29000473</v>
      </c>
      <c r="R230" s="30">
        <f t="shared" si="133"/>
        <v>0.28216203637711657</v>
      </c>
      <c r="S230" s="30">
        <f t="shared" si="134"/>
        <v>0.56432407275423313</v>
      </c>
      <c r="T230" s="37">
        <f t="shared" si="135"/>
        <v>0.14999985700000007</v>
      </c>
      <c r="U230" s="30">
        <f t="shared" si="136"/>
        <v>2.0920481228737586E-2</v>
      </c>
      <c r="V230" s="38">
        <f t="shared" si="137"/>
        <v>2.3986545443229418E-3</v>
      </c>
      <c r="W230" s="9">
        <f t="shared" si="145"/>
        <v>1232922496</v>
      </c>
      <c r="X230" s="12">
        <f t="shared" si="145"/>
        <v>10076.970237360001</v>
      </c>
      <c r="Y230" s="11">
        <f t="shared" si="145"/>
        <v>1.8099999429999998</v>
      </c>
      <c r="Z230" s="7">
        <f t="shared" si="147"/>
        <v>212689600</v>
      </c>
      <c r="AA230" s="7">
        <f t="shared" si="147"/>
        <v>9.4200057999999984</v>
      </c>
      <c r="AB230" s="7">
        <f t="shared" si="147"/>
        <v>4.9999951999999848E-2</v>
      </c>
    </row>
    <row r="231" spans="1:28" x14ac:dyDescent="0.25">
      <c r="A231" s="2">
        <v>227</v>
      </c>
      <c r="B231">
        <v>3</v>
      </c>
      <c r="C231">
        <v>0</v>
      </c>
      <c r="D231">
        <v>2</v>
      </c>
      <c r="E231">
        <v>2</v>
      </c>
      <c r="G231">
        <v>551011712</v>
      </c>
      <c r="H231">
        <v>75.739997860000003</v>
      </c>
      <c r="I231">
        <v>2.539999962</v>
      </c>
      <c r="J231" s="9">
        <f t="shared" si="151"/>
        <v>4928128</v>
      </c>
      <c r="K231" s="52"/>
      <c r="L231" s="9">
        <f t="shared" si="152"/>
        <v>1.2400054999999952</v>
      </c>
      <c r="M231" s="9">
        <f t="shared" si="152"/>
        <v>0</v>
      </c>
      <c r="N231" s="29">
        <f t="shared" si="129"/>
        <v>412643920</v>
      </c>
      <c r="O231" s="30">
        <f t="shared" si="130"/>
        <v>0.99407507589145705</v>
      </c>
      <c r="P231" s="30">
        <f t="shared" si="131"/>
        <v>1.9881501517829141</v>
      </c>
      <c r="Q231" s="29">
        <f t="shared" si="132"/>
        <v>34.459999080000003</v>
      </c>
      <c r="R231" s="30">
        <f t="shared" si="133"/>
        <v>0.27826227469670484</v>
      </c>
      <c r="S231" s="30">
        <f t="shared" si="134"/>
        <v>0.55652454939340967</v>
      </c>
      <c r="T231" s="37">
        <f t="shared" si="135"/>
        <v>0.14999985700000007</v>
      </c>
      <c r="U231" s="30">
        <f t="shared" si="136"/>
        <v>2.0920481228737586E-2</v>
      </c>
      <c r="V231" s="38">
        <f t="shared" si="137"/>
        <v>2.42247838231808E-3</v>
      </c>
      <c r="W231" s="9">
        <f t="shared" si="145"/>
        <v>1245575680</v>
      </c>
      <c r="X231" s="12">
        <f t="shared" si="145"/>
        <v>10075.730231860001</v>
      </c>
      <c r="Y231" s="11">
        <f t="shared" si="145"/>
        <v>1.8099999429999998</v>
      </c>
      <c r="Z231" s="7">
        <f t="shared" si="147"/>
        <v>212255200</v>
      </c>
      <c r="AA231" s="7">
        <f t="shared" si="147"/>
        <v>9.3099975500000056</v>
      </c>
      <c r="AB231" s="7">
        <f t="shared" si="147"/>
        <v>4.9999951999999848E-2</v>
      </c>
    </row>
    <row r="232" spans="1:28" x14ac:dyDescent="0.25">
      <c r="A232" s="2">
        <v>228</v>
      </c>
      <c r="B232">
        <v>3</v>
      </c>
      <c r="C232">
        <v>0</v>
      </c>
      <c r="D232">
        <v>2</v>
      </c>
      <c r="E232">
        <v>3</v>
      </c>
      <c r="G232">
        <v>559498752</v>
      </c>
      <c r="H232">
        <v>79.599998470000003</v>
      </c>
      <c r="I232">
        <v>2.539999962</v>
      </c>
      <c r="J232" s="9">
        <f t="shared" si="151"/>
        <v>8487040</v>
      </c>
      <c r="K232" s="52"/>
      <c r="L232" s="9">
        <f t="shared" si="152"/>
        <v>3.8600006100000002</v>
      </c>
      <c r="M232" s="9">
        <f t="shared" si="152"/>
        <v>0</v>
      </c>
      <c r="N232" s="29">
        <f t="shared" si="129"/>
        <v>417454336</v>
      </c>
      <c r="O232" s="30">
        <f t="shared" si="130"/>
        <v>0.97963333759866578</v>
      </c>
      <c r="P232" s="30">
        <f t="shared" si="131"/>
        <v>1.9592666751973316</v>
      </c>
      <c r="Q232" s="29">
        <f t="shared" si="132"/>
        <v>37.299999230000005</v>
      </c>
      <c r="R232" s="30">
        <f t="shared" si="133"/>
        <v>0.29393222931572488</v>
      </c>
      <c r="S232" s="30">
        <f t="shared" si="134"/>
        <v>0.58786445863144976</v>
      </c>
      <c r="T232" s="37">
        <f t="shared" si="135"/>
        <v>0.14999985700000007</v>
      </c>
      <c r="U232" s="30">
        <f t="shared" si="136"/>
        <v>2.0920481228737586E-2</v>
      </c>
      <c r="V232" s="38">
        <f t="shared" si="137"/>
        <v>2.3640639825852328E-3</v>
      </c>
      <c r="W232" s="9">
        <f t="shared" si="145"/>
        <v>1178601216</v>
      </c>
      <c r="X232" s="12">
        <f t="shared" si="145"/>
        <v>10079.59023247</v>
      </c>
      <c r="Y232" s="11">
        <f t="shared" si="145"/>
        <v>1.8099999429999998</v>
      </c>
      <c r="Z232" s="7">
        <f t="shared" si="147"/>
        <v>210326944</v>
      </c>
      <c r="AA232" s="7">
        <f t="shared" si="147"/>
        <v>9.7200012200000003</v>
      </c>
      <c r="AB232" s="7">
        <f t="shared" si="147"/>
        <v>4.9999951999999848E-2</v>
      </c>
    </row>
    <row r="233" spans="1:28" x14ac:dyDescent="0.25">
      <c r="A233" s="2">
        <v>229</v>
      </c>
      <c r="B233">
        <v>3</v>
      </c>
      <c r="C233">
        <v>0</v>
      </c>
      <c r="D233">
        <v>2</v>
      </c>
      <c r="E233">
        <v>4</v>
      </c>
      <c r="G233">
        <v>528083552</v>
      </c>
      <c r="H233">
        <v>78.25</v>
      </c>
      <c r="I233">
        <v>2.539999962</v>
      </c>
      <c r="J233" s="9">
        <f t="shared" si="151"/>
        <v>31415200</v>
      </c>
      <c r="K233" s="52"/>
      <c r="L233" s="9">
        <f t="shared" si="152"/>
        <v>1.3499984700000027</v>
      </c>
      <c r="M233" s="9">
        <f t="shared" si="152"/>
        <v>0</v>
      </c>
      <c r="N233" s="29">
        <f t="shared" si="129"/>
        <v>394604656</v>
      </c>
      <c r="O233" s="30">
        <f t="shared" si="130"/>
        <v>0.98543582000658247</v>
      </c>
      <c r="P233" s="30">
        <f t="shared" si="131"/>
        <v>1.9708716400131649</v>
      </c>
      <c r="Q233" s="29">
        <f t="shared" si="132"/>
        <v>37.020000459999999</v>
      </c>
      <c r="R233" s="30">
        <f t="shared" si="133"/>
        <v>0.29929663572665016</v>
      </c>
      <c r="S233" s="30">
        <f t="shared" si="134"/>
        <v>0.59859327145330032</v>
      </c>
      <c r="T233" s="37">
        <f t="shared" si="135"/>
        <v>0.14999985700000007</v>
      </c>
      <c r="U233" s="30">
        <f t="shared" si="136"/>
        <v>2.0920481228737586E-2</v>
      </c>
      <c r="V233" s="38">
        <f t="shared" si="137"/>
        <v>2.4254160994993481E-3</v>
      </c>
      <c r="W233" s="9">
        <f t="shared" si="145"/>
        <v>1056750368</v>
      </c>
      <c r="X233" s="12">
        <f t="shared" si="145"/>
        <v>10078.240234000001</v>
      </c>
      <c r="Y233" s="11">
        <f t="shared" si="145"/>
        <v>1.8099999429999998</v>
      </c>
      <c r="Z233" s="7">
        <f t="shared" si="147"/>
        <v>195668384</v>
      </c>
      <c r="AA233" s="7">
        <f t="shared" si="147"/>
        <v>9.6399993899999998</v>
      </c>
      <c r="AB233" s="7">
        <f t="shared" si="147"/>
        <v>4.9999951999999848E-2</v>
      </c>
    </row>
    <row r="234" spans="1:28" x14ac:dyDescent="0.25">
      <c r="A234" s="2">
        <v>230</v>
      </c>
      <c r="B234">
        <v>3</v>
      </c>
      <c r="C234">
        <v>0</v>
      </c>
      <c r="D234">
        <v>2</v>
      </c>
      <c r="E234">
        <v>5</v>
      </c>
      <c r="G234">
        <v>496761280</v>
      </c>
      <c r="H234">
        <v>78.230003359999998</v>
      </c>
      <c r="I234">
        <v>2.539999962</v>
      </c>
      <c r="J234" s="9">
        <f t="shared" si="151"/>
        <v>31322272</v>
      </c>
      <c r="K234" s="52"/>
      <c r="L234" s="9">
        <f t="shared" si="152"/>
        <v>1.999664000000223E-2</v>
      </c>
      <c r="M234" s="9">
        <f t="shared" si="152"/>
        <v>0</v>
      </c>
      <c r="N234" s="29">
        <f t="shared" si="129"/>
        <v>371966400</v>
      </c>
      <c r="O234" s="30">
        <f t="shared" si="130"/>
        <v>0.99354076064659058</v>
      </c>
      <c r="P234" s="30">
        <f t="shared" si="131"/>
        <v>1.9870815212931812</v>
      </c>
      <c r="Q234" s="29">
        <f t="shared" si="132"/>
        <v>37.520004279999995</v>
      </c>
      <c r="R234" s="30">
        <f t="shared" si="133"/>
        <v>0.30721366681331136</v>
      </c>
      <c r="S234" s="30">
        <f t="shared" si="134"/>
        <v>0.61442733362662272</v>
      </c>
      <c r="T234" s="37">
        <f t="shared" si="135"/>
        <v>0.14999985700000007</v>
      </c>
      <c r="U234" s="30">
        <f t="shared" si="136"/>
        <v>2.0920481228737586E-2</v>
      </c>
      <c r="V234" s="38">
        <f t="shared" si="137"/>
        <v>2.4563966329292954E-3</v>
      </c>
      <c r="W234" s="9">
        <f t="shared" ref="W234:Y249" si="153">ABS(G234-G213)</f>
        <v>986923456</v>
      </c>
      <c r="X234" s="12">
        <f t="shared" si="153"/>
        <v>10078.220237360001</v>
      </c>
      <c r="Y234" s="11">
        <f t="shared" si="153"/>
        <v>1.8099999429999998</v>
      </c>
      <c r="Z234" s="7">
        <f t="shared" si="147"/>
        <v>183425376</v>
      </c>
      <c r="AA234" s="7">
        <f t="shared" si="147"/>
        <v>9.6400070199999988</v>
      </c>
      <c r="AB234" s="7">
        <f t="shared" si="147"/>
        <v>4.9999951999999848E-2</v>
      </c>
    </row>
    <row r="235" spans="1:28" x14ac:dyDescent="0.25">
      <c r="A235" s="2">
        <v>231</v>
      </c>
      <c r="B235">
        <v>3</v>
      </c>
      <c r="C235">
        <v>0</v>
      </c>
      <c r="D235">
        <v>2</v>
      </c>
      <c r="E235">
        <v>6</v>
      </c>
      <c r="G235">
        <v>423282688</v>
      </c>
      <c r="H235">
        <v>74.059997559999999</v>
      </c>
      <c r="I235">
        <v>2.5499999519999998</v>
      </c>
      <c r="J235" s="9">
        <f t="shared" si="151"/>
        <v>73478592</v>
      </c>
      <c r="K235" s="52">
        <f t="shared" ref="K235" si="154">AVERAGE(J230:J235)</f>
        <v>26510656</v>
      </c>
      <c r="L235" s="9">
        <f t="shared" si="152"/>
        <v>4.1700057999999984</v>
      </c>
      <c r="M235" s="9">
        <f t="shared" si="152"/>
        <v>9.9999899999998476E-3</v>
      </c>
      <c r="N235" s="29">
        <f t="shared" si="129"/>
        <v>319051432</v>
      </c>
      <c r="O235" s="30">
        <f t="shared" si="130"/>
        <v>1.0203319178398209</v>
      </c>
      <c r="P235" s="30">
        <f t="shared" si="131"/>
        <v>2.0406638356796418</v>
      </c>
      <c r="Q235" s="29">
        <f t="shared" si="132"/>
        <v>36.02999878</v>
      </c>
      <c r="R235" s="30">
        <f t="shared" si="133"/>
        <v>0.31580331261144817</v>
      </c>
      <c r="S235" s="30">
        <f t="shared" si="134"/>
        <v>0.63160662522289635</v>
      </c>
      <c r="T235" s="37">
        <f t="shared" si="135"/>
        <v>0.15999984699999992</v>
      </c>
      <c r="U235" s="30">
        <f t="shared" si="136"/>
        <v>2.2315179912234067E-2</v>
      </c>
      <c r="V235" s="38">
        <f t="shared" si="137"/>
        <v>2.8048006334084508E-3</v>
      </c>
      <c r="W235" s="9">
        <f t="shared" si="153"/>
        <v>789082112</v>
      </c>
      <c r="X235" s="12">
        <f t="shared" si="153"/>
        <v>10074.050231560001</v>
      </c>
      <c r="Y235" s="11">
        <f t="shared" si="153"/>
        <v>1.7999999529999999</v>
      </c>
      <c r="Z235" s="7">
        <f t="shared" si="147"/>
        <v>153999488</v>
      </c>
      <c r="AA235" s="7">
        <f t="shared" si="147"/>
        <v>9.2599945099999985</v>
      </c>
      <c r="AB235" s="7">
        <f t="shared" si="147"/>
        <v>4.9999951999999848E-2</v>
      </c>
    </row>
    <row r="236" spans="1:28" x14ac:dyDescent="0.25">
      <c r="A236" s="2">
        <v>232</v>
      </c>
      <c r="B236">
        <v>3</v>
      </c>
      <c r="C236">
        <v>1</v>
      </c>
      <c r="D236">
        <v>0</v>
      </c>
      <c r="E236">
        <v>0</v>
      </c>
      <c r="G236">
        <v>4985023</v>
      </c>
      <c r="H236">
        <v>15.22999954</v>
      </c>
      <c r="I236">
        <v>2.3399999139999998</v>
      </c>
      <c r="K236" s="52"/>
      <c r="N236" s="29">
        <f t="shared" si="129"/>
        <v>541522113</v>
      </c>
      <c r="O236" s="30">
        <f t="shared" si="130"/>
        <v>0.33029279786019117</v>
      </c>
      <c r="P236" s="30">
        <f t="shared" si="131"/>
        <v>1.100975992867304</v>
      </c>
      <c r="Q236" s="29">
        <f t="shared" si="132"/>
        <v>59.390003209999996</v>
      </c>
      <c r="R236" s="30">
        <f t="shared" si="133"/>
        <v>0.26529974547162111</v>
      </c>
      <c r="S236" s="30">
        <f t="shared" si="134"/>
        <v>0.88433248490540362</v>
      </c>
      <c r="T236" s="37">
        <f t="shared" si="135"/>
        <v>0.20000004800000015</v>
      </c>
      <c r="U236" s="30">
        <f t="shared" si="136"/>
        <v>2.6246725851985158E-2</v>
      </c>
      <c r="V236" s="38">
        <f t="shared" si="137"/>
        <v>2.9780523635206608E-3</v>
      </c>
      <c r="W236" s="9">
        <f t="shared" si="153"/>
        <v>600995.5</v>
      </c>
      <c r="X236" s="12">
        <f t="shared" si="153"/>
        <v>0.33999919999999939</v>
      </c>
      <c r="Y236" s="11">
        <f t="shared" si="153"/>
        <v>0</v>
      </c>
      <c r="Z236" s="7">
        <f t="shared" si="147"/>
        <v>6866361</v>
      </c>
      <c r="AA236" s="7">
        <f t="shared" si="147"/>
        <v>4.7199993100000004</v>
      </c>
      <c r="AB236" s="7">
        <f t="shared" si="147"/>
        <v>9.9999899999998476E-3</v>
      </c>
    </row>
    <row r="237" spans="1:28" x14ac:dyDescent="0.25">
      <c r="A237" s="2">
        <v>233</v>
      </c>
      <c r="B237">
        <v>3</v>
      </c>
      <c r="C237">
        <v>1</v>
      </c>
      <c r="D237">
        <v>0</v>
      </c>
      <c r="E237">
        <v>1</v>
      </c>
      <c r="G237">
        <v>5992328</v>
      </c>
      <c r="H237">
        <v>15.81999969</v>
      </c>
      <c r="I237">
        <v>2.3399999139999998</v>
      </c>
      <c r="J237" s="9">
        <f t="shared" ref="J237:J298" si="155">ABS(G237-G236)</f>
        <v>1007305</v>
      </c>
      <c r="K237" s="52"/>
      <c r="L237" s="9">
        <f t="shared" ref="L237:M242" si="156">ABS(H237-H236)</f>
        <v>0.59000014999999983</v>
      </c>
      <c r="M237" s="9">
        <f t="shared" si="156"/>
        <v>0</v>
      </c>
      <c r="N237" s="29">
        <f t="shared" si="129"/>
        <v>549947512</v>
      </c>
      <c r="O237" s="30">
        <f t="shared" si="130"/>
        <v>0.32974042179336044</v>
      </c>
      <c r="P237" s="30">
        <f t="shared" si="131"/>
        <v>1.0991347393112014</v>
      </c>
      <c r="Q237" s="29">
        <f t="shared" si="132"/>
        <v>61.160003669999995</v>
      </c>
      <c r="R237" s="30">
        <f t="shared" si="133"/>
        <v>0.26483069628694283</v>
      </c>
      <c r="S237" s="30">
        <f t="shared" si="134"/>
        <v>0.88276898762314271</v>
      </c>
      <c r="T237" s="37">
        <f t="shared" si="135"/>
        <v>0.20000004800000015</v>
      </c>
      <c r="U237" s="30">
        <f t="shared" si="136"/>
        <v>2.6246725851985158E-2</v>
      </c>
      <c r="V237" s="38">
        <f t="shared" si="137"/>
        <v>2.8867532587173914E-3</v>
      </c>
      <c r="W237" s="9">
        <f t="shared" si="153"/>
        <v>608659.5</v>
      </c>
      <c r="X237" s="12">
        <f t="shared" si="153"/>
        <v>0.3199996899999995</v>
      </c>
      <c r="Y237" s="11">
        <f t="shared" si="153"/>
        <v>0</v>
      </c>
      <c r="Z237" s="7">
        <f t="shared" si="147"/>
        <v>7130444.5</v>
      </c>
      <c r="AA237" s="7">
        <f t="shared" si="147"/>
        <v>4.7100000299999998</v>
      </c>
      <c r="AB237" s="7">
        <f t="shared" si="147"/>
        <v>9.9999899999998476E-3</v>
      </c>
    </row>
    <row r="238" spans="1:28" x14ac:dyDescent="0.25">
      <c r="A238" s="2">
        <v>234</v>
      </c>
      <c r="B238">
        <v>3</v>
      </c>
      <c r="C238">
        <v>1</v>
      </c>
      <c r="D238">
        <v>0</v>
      </c>
      <c r="E238">
        <v>2</v>
      </c>
      <c r="G238">
        <v>5456690</v>
      </c>
      <c r="H238">
        <v>15.52000046</v>
      </c>
      <c r="I238">
        <v>2.3399999139999998</v>
      </c>
      <c r="J238" s="9">
        <f t="shared" si="155"/>
        <v>535638</v>
      </c>
      <c r="K238" s="52"/>
      <c r="L238" s="9">
        <f t="shared" si="156"/>
        <v>0.29999922999999917</v>
      </c>
      <c r="M238" s="9">
        <f t="shared" si="156"/>
        <v>0</v>
      </c>
      <c r="N238" s="29">
        <f t="shared" si="129"/>
        <v>545555022</v>
      </c>
      <c r="O238" s="30">
        <f t="shared" si="130"/>
        <v>0.33003232061971127</v>
      </c>
      <c r="P238" s="30">
        <f t="shared" si="131"/>
        <v>1.1001077353990374</v>
      </c>
      <c r="Q238" s="29">
        <f t="shared" si="132"/>
        <v>60.219997400000004</v>
      </c>
      <c r="R238" s="30">
        <f t="shared" si="133"/>
        <v>0.26502948288658251</v>
      </c>
      <c r="S238" s="30">
        <f t="shared" si="134"/>
        <v>0.88343160962194178</v>
      </c>
      <c r="T238" s="37">
        <f t="shared" si="135"/>
        <v>0.20000004800000015</v>
      </c>
      <c r="U238" s="30">
        <f t="shared" si="136"/>
        <v>2.6246725851985158E-2</v>
      </c>
      <c r="V238" s="38">
        <f t="shared" si="137"/>
        <v>2.9340148116496888E-3</v>
      </c>
      <c r="W238" s="9">
        <f t="shared" si="153"/>
        <v>599341</v>
      </c>
      <c r="X238" s="12">
        <f t="shared" si="153"/>
        <v>0.34000014999999983</v>
      </c>
      <c r="Y238" s="11">
        <f t="shared" si="153"/>
        <v>0</v>
      </c>
      <c r="Z238" s="7">
        <f t="shared" ref="Z238:AB253" si="157">ABS(G238-G133)</f>
        <v>6977737</v>
      </c>
      <c r="AA238" s="7">
        <f t="shared" si="157"/>
        <v>4.7200002699999999</v>
      </c>
      <c r="AB238" s="7">
        <f t="shared" si="157"/>
        <v>9.9999899999998476E-3</v>
      </c>
    </row>
    <row r="239" spans="1:28" x14ac:dyDescent="0.25">
      <c r="A239" s="2">
        <v>235</v>
      </c>
      <c r="B239">
        <v>3</v>
      </c>
      <c r="C239">
        <v>1</v>
      </c>
      <c r="D239">
        <v>0</v>
      </c>
      <c r="E239">
        <v>3</v>
      </c>
      <c r="G239">
        <v>6811232.5</v>
      </c>
      <c r="H239">
        <v>16.290000920000001</v>
      </c>
      <c r="I239">
        <v>2.3399999139999998</v>
      </c>
      <c r="J239" s="9">
        <f t="shared" si="155"/>
        <v>1354542.5</v>
      </c>
      <c r="K239" s="52"/>
      <c r="L239" s="9">
        <f t="shared" si="156"/>
        <v>0.77000046000000033</v>
      </c>
      <c r="M239" s="9">
        <f t="shared" si="156"/>
        <v>0</v>
      </c>
      <c r="N239" s="29">
        <f t="shared" si="129"/>
        <v>552687519.5</v>
      </c>
      <c r="O239" s="30">
        <f t="shared" si="130"/>
        <v>0.32927539607213757</v>
      </c>
      <c r="P239" s="30">
        <f t="shared" si="131"/>
        <v>1.0975846535737919</v>
      </c>
      <c r="Q239" s="29">
        <f t="shared" si="132"/>
        <v>63.309997550000006</v>
      </c>
      <c r="R239" s="30">
        <f t="shared" si="133"/>
        <v>0.26511724776753837</v>
      </c>
      <c r="S239" s="30">
        <f t="shared" si="134"/>
        <v>0.88372415922512793</v>
      </c>
      <c r="T239" s="37">
        <f t="shared" si="135"/>
        <v>0.20000004800000015</v>
      </c>
      <c r="U239" s="30">
        <f t="shared" si="136"/>
        <v>2.6246725851985158E-2</v>
      </c>
      <c r="V239" s="38">
        <f t="shared" si="137"/>
        <v>2.7917371837551958E-3</v>
      </c>
      <c r="W239" s="9">
        <f t="shared" si="153"/>
        <v>598813.5</v>
      </c>
      <c r="X239" s="12">
        <f t="shared" si="153"/>
        <v>0.33000088000000005</v>
      </c>
      <c r="Y239" s="11">
        <f t="shared" si="153"/>
        <v>0</v>
      </c>
      <c r="Z239" s="7">
        <f t="shared" si="157"/>
        <v>7321645.4400000004</v>
      </c>
      <c r="AA239" s="7">
        <f t="shared" si="157"/>
        <v>4.6600008100000014</v>
      </c>
      <c r="AB239" s="7">
        <f t="shared" si="157"/>
        <v>9.9999899999998476E-3</v>
      </c>
    </row>
    <row r="240" spans="1:28" x14ac:dyDescent="0.25">
      <c r="A240" s="2">
        <v>236</v>
      </c>
      <c r="B240">
        <v>3</v>
      </c>
      <c r="C240">
        <v>1</v>
      </c>
      <c r="D240">
        <v>0</v>
      </c>
      <c r="E240">
        <v>4</v>
      </c>
      <c r="G240">
        <v>5686381</v>
      </c>
      <c r="H240">
        <v>15.630000109999999</v>
      </c>
      <c r="I240">
        <v>2.3399999139999998</v>
      </c>
      <c r="J240" s="9">
        <f t="shared" si="155"/>
        <v>1124851.5</v>
      </c>
      <c r="K240" s="52"/>
      <c r="L240" s="9">
        <f t="shared" si="156"/>
        <v>0.66000081000000144</v>
      </c>
      <c r="M240" s="9">
        <f t="shared" si="156"/>
        <v>0</v>
      </c>
      <c r="N240" s="29">
        <f t="shared" si="129"/>
        <v>522397171</v>
      </c>
      <c r="O240" s="30">
        <f t="shared" si="130"/>
        <v>0.32974401432092576</v>
      </c>
      <c r="P240" s="30">
        <f t="shared" si="131"/>
        <v>1.0991467144030858</v>
      </c>
      <c r="Q240" s="29">
        <f t="shared" si="132"/>
        <v>62.619999890000003</v>
      </c>
      <c r="R240" s="30">
        <f t="shared" si="133"/>
        <v>0.26675186321618743</v>
      </c>
      <c r="S240" s="30">
        <f t="shared" si="134"/>
        <v>0.88917287738729145</v>
      </c>
      <c r="T240" s="37">
        <f t="shared" si="135"/>
        <v>0.20000004800000015</v>
      </c>
      <c r="U240" s="30">
        <f t="shared" si="136"/>
        <v>2.6246725851985158E-2</v>
      </c>
      <c r="V240" s="38">
        <f t="shared" si="137"/>
        <v>2.8399012850550249E-3</v>
      </c>
      <c r="W240" s="9">
        <f t="shared" si="153"/>
        <v>574245</v>
      </c>
      <c r="X240" s="12">
        <f t="shared" si="153"/>
        <v>0.31000041999999972</v>
      </c>
      <c r="Y240" s="11">
        <f t="shared" si="153"/>
        <v>0</v>
      </c>
      <c r="Z240" s="7">
        <f t="shared" si="157"/>
        <v>7036055.25</v>
      </c>
      <c r="AA240" s="7">
        <f t="shared" si="157"/>
        <v>4.6900005299999989</v>
      </c>
      <c r="AB240" s="7">
        <f t="shared" si="157"/>
        <v>9.9999899999998476E-3</v>
      </c>
    </row>
    <row r="241" spans="1:28" x14ac:dyDescent="0.25">
      <c r="A241" s="2">
        <v>237</v>
      </c>
      <c r="B241">
        <v>3</v>
      </c>
      <c r="C241">
        <v>1</v>
      </c>
      <c r="D241">
        <v>0</v>
      </c>
      <c r="E241">
        <v>5</v>
      </c>
      <c r="G241">
        <v>4610972</v>
      </c>
      <c r="H241">
        <v>15.05000019</v>
      </c>
      <c r="I241">
        <v>2.3399999139999998</v>
      </c>
      <c r="J241" s="9">
        <f t="shared" si="155"/>
        <v>1075409</v>
      </c>
      <c r="K241" s="52"/>
      <c r="L241" s="9">
        <f t="shared" si="156"/>
        <v>0.57999991999999878</v>
      </c>
      <c r="M241" s="9">
        <f t="shared" si="156"/>
        <v>0</v>
      </c>
      <c r="N241" s="29">
        <f t="shared" si="129"/>
        <v>492150308</v>
      </c>
      <c r="O241" s="30">
        <f t="shared" si="130"/>
        <v>0.33023931065373424</v>
      </c>
      <c r="P241" s="30">
        <f t="shared" si="131"/>
        <v>1.1007977021791142</v>
      </c>
      <c r="Q241" s="29">
        <f t="shared" si="132"/>
        <v>63.180003169999999</v>
      </c>
      <c r="R241" s="30">
        <f t="shared" si="133"/>
        <v>0.26920618882952668</v>
      </c>
      <c r="S241" s="30">
        <f t="shared" si="134"/>
        <v>0.89735396276508894</v>
      </c>
      <c r="T241" s="37">
        <f t="shared" si="135"/>
        <v>0.20000004800000015</v>
      </c>
      <c r="U241" s="30">
        <f t="shared" si="136"/>
        <v>2.6246725851985158E-2</v>
      </c>
      <c r="V241" s="38">
        <f t="shared" si="137"/>
        <v>2.8406272019819551E-3</v>
      </c>
      <c r="W241" s="9">
        <f t="shared" si="153"/>
        <v>501851.5</v>
      </c>
      <c r="X241" s="12">
        <f t="shared" si="153"/>
        <v>0.27999973000000011</v>
      </c>
      <c r="Y241" s="11">
        <f t="shared" si="153"/>
        <v>0</v>
      </c>
      <c r="Z241" s="7">
        <f t="shared" si="157"/>
        <v>6593459.8799999999</v>
      </c>
      <c r="AA241" s="7">
        <f t="shared" si="157"/>
        <v>4.6400003400000003</v>
      </c>
      <c r="AB241" s="7">
        <f t="shared" si="157"/>
        <v>9.9999899999998476E-3</v>
      </c>
    </row>
    <row r="242" spans="1:28" x14ac:dyDescent="0.25">
      <c r="A242" s="2">
        <v>238</v>
      </c>
      <c r="B242">
        <v>3</v>
      </c>
      <c r="C242">
        <v>1</v>
      </c>
      <c r="D242">
        <v>0</v>
      </c>
      <c r="E242">
        <v>6</v>
      </c>
      <c r="G242">
        <v>1607035.38</v>
      </c>
      <c r="H242">
        <v>13.14000034</v>
      </c>
      <c r="I242">
        <v>2.3399999139999998</v>
      </c>
      <c r="J242" s="9">
        <f t="shared" si="155"/>
        <v>3003936.62</v>
      </c>
      <c r="K242" s="52">
        <f t="shared" ref="K242" si="158">AVERAGE(J237:J242)</f>
        <v>1350280.4366666668</v>
      </c>
      <c r="L242" s="9">
        <f t="shared" si="156"/>
        <v>1.9099998500000002</v>
      </c>
      <c r="M242" s="9">
        <f t="shared" si="156"/>
        <v>0</v>
      </c>
      <c r="N242" s="29">
        <f t="shared" si="129"/>
        <v>421675652.62</v>
      </c>
      <c r="O242" s="30">
        <f t="shared" si="130"/>
        <v>0.33206779974269424</v>
      </c>
      <c r="P242" s="30">
        <f t="shared" si="131"/>
        <v>1.1068926658089808</v>
      </c>
      <c r="Q242" s="29">
        <f t="shared" si="132"/>
        <v>60.919997219999999</v>
      </c>
      <c r="R242" s="30">
        <f t="shared" si="133"/>
        <v>0.27419209301956127</v>
      </c>
      <c r="S242" s="30">
        <f t="shared" si="134"/>
        <v>0.91397364339853748</v>
      </c>
      <c r="T242" s="37">
        <f t="shared" si="135"/>
        <v>0.210000038</v>
      </c>
      <c r="U242" s="30">
        <f t="shared" si="136"/>
        <v>2.7450985876201567E-2</v>
      </c>
      <c r="V242" s="38">
        <f t="shared" si="137"/>
        <v>3.1505992876453932E-3</v>
      </c>
      <c r="W242" s="9">
        <f t="shared" si="153"/>
        <v>420201</v>
      </c>
      <c r="X242" s="12">
        <f t="shared" si="153"/>
        <v>0.28000068000000056</v>
      </c>
      <c r="Y242" s="11">
        <f t="shared" si="153"/>
        <v>0</v>
      </c>
      <c r="Z242" s="7">
        <f t="shared" si="157"/>
        <v>5729165.8799999999</v>
      </c>
      <c r="AA242" s="7">
        <f t="shared" si="157"/>
        <v>4.6900005310000008</v>
      </c>
      <c r="AB242" s="7">
        <f t="shared" si="157"/>
        <v>9.9999899999998476E-3</v>
      </c>
    </row>
    <row r="243" spans="1:28" x14ac:dyDescent="0.25">
      <c r="A243" s="2">
        <v>239</v>
      </c>
      <c r="B243">
        <v>3</v>
      </c>
      <c r="C243">
        <v>1</v>
      </c>
      <c r="D243">
        <v>1</v>
      </c>
      <c r="E243">
        <v>0</v>
      </c>
      <c r="G243">
        <v>148294144</v>
      </c>
      <c r="H243">
        <v>43.02999878</v>
      </c>
      <c r="I243">
        <v>2.3900001049999999</v>
      </c>
      <c r="K243" s="52"/>
      <c r="N243" s="29">
        <f t="shared" si="129"/>
        <v>143309121</v>
      </c>
      <c r="O243" s="30">
        <f t="shared" si="130"/>
        <v>9.582645255598619</v>
      </c>
      <c r="P243" s="30">
        <f t="shared" si="131"/>
        <v>9.582645255598619</v>
      </c>
      <c r="Q243" s="29">
        <f t="shared" si="132"/>
        <v>27.799999239999998</v>
      </c>
      <c r="R243" s="30">
        <f t="shared" si="133"/>
        <v>0.6084482398699621</v>
      </c>
      <c r="S243" s="30">
        <f t="shared" si="134"/>
        <v>0.6084482398699621</v>
      </c>
      <c r="T243" s="37">
        <f t="shared" si="135"/>
        <v>5.0000191000000083E-2</v>
      </c>
      <c r="U243" s="30">
        <f t="shared" si="136"/>
        <v>7.1225345922527085E-3</v>
      </c>
      <c r="V243" s="38">
        <f t="shared" si="137"/>
        <v>1.094335576935504E-3</v>
      </c>
      <c r="W243" s="9">
        <f t="shared" si="153"/>
        <v>11501424</v>
      </c>
      <c r="X243" s="12">
        <f t="shared" si="153"/>
        <v>2.1199989300000013</v>
      </c>
      <c r="Y243" s="11">
        <f t="shared" si="153"/>
        <v>0</v>
      </c>
      <c r="Z243" s="7">
        <f t="shared" si="157"/>
        <v>61771776</v>
      </c>
      <c r="AA243" s="7">
        <f t="shared" si="157"/>
        <v>6.1999969499999992</v>
      </c>
      <c r="AB243" s="7">
        <f t="shared" si="157"/>
        <v>2.000021899999993E-2</v>
      </c>
    </row>
    <row r="244" spans="1:28" x14ac:dyDescent="0.25">
      <c r="A244" s="2">
        <v>240</v>
      </c>
      <c r="B244">
        <v>3</v>
      </c>
      <c r="C244">
        <v>1</v>
      </c>
      <c r="D244">
        <v>1</v>
      </c>
      <c r="E244">
        <v>1</v>
      </c>
      <c r="G244">
        <v>151893408</v>
      </c>
      <c r="H244">
        <v>43.86000061</v>
      </c>
      <c r="I244">
        <v>2.3900001049999999</v>
      </c>
      <c r="J244" s="9">
        <f t="shared" ref="J244" si="159">ABS(G244-G243)</f>
        <v>3599264</v>
      </c>
      <c r="K244" s="52"/>
      <c r="L244" s="9">
        <f t="shared" ref="L244:M249" si="160">ABS(H244-H243)</f>
        <v>0.8300018300000005</v>
      </c>
      <c r="M244" s="9">
        <f t="shared" si="160"/>
        <v>0</v>
      </c>
      <c r="N244" s="29">
        <f t="shared" si="129"/>
        <v>145901080</v>
      </c>
      <c r="O244" s="30">
        <f t="shared" si="130"/>
        <v>8.115993205534366</v>
      </c>
      <c r="P244" s="30">
        <f t="shared" si="131"/>
        <v>8.115993205534366</v>
      </c>
      <c r="Q244" s="29">
        <f t="shared" si="132"/>
        <v>28.040000920000001</v>
      </c>
      <c r="R244" s="30">
        <f t="shared" si="133"/>
        <v>0.59081334743903102</v>
      </c>
      <c r="S244" s="30">
        <f t="shared" si="134"/>
        <v>0.59081334743903102</v>
      </c>
      <c r="T244" s="37">
        <f t="shared" si="135"/>
        <v>5.0000191000000083E-2</v>
      </c>
      <c r="U244" s="30">
        <f t="shared" si="136"/>
        <v>7.1225345922527085E-3</v>
      </c>
      <c r="V244" s="38">
        <f t="shared" si="137"/>
        <v>1.0535227977196858E-3</v>
      </c>
      <c r="W244" s="9">
        <f t="shared" si="153"/>
        <v>11583888</v>
      </c>
      <c r="X244" s="12">
        <f t="shared" si="153"/>
        <v>2.1700019800000021</v>
      </c>
      <c r="Y244" s="11">
        <f t="shared" si="153"/>
        <v>0</v>
      </c>
      <c r="Z244" s="7">
        <f t="shared" si="157"/>
        <v>62344136</v>
      </c>
      <c r="AA244" s="7">
        <f t="shared" si="157"/>
        <v>6.2400016799999989</v>
      </c>
      <c r="AB244" s="7">
        <f t="shared" si="157"/>
        <v>2.000021899999993E-2</v>
      </c>
    </row>
    <row r="245" spans="1:28" x14ac:dyDescent="0.25">
      <c r="A245" s="2">
        <v>241</v>
      </c>
      <c r="B245">
        <v>3</v>
      </c>
      <c r="C245">
        <v>1</v>
      </c>
      <c r="D245">
        <v>1</v>
      </c>
      <c r="E245">
        <v>2</v>
      </c>
      <c r="G245">
        <v>149891136</v>
      </c>
      <c r="H245">
        <v>43.439998629999998</v>
      </c>
      <c r="I245">
        <v>2.3900001049999999</v>
      </c>
      <c r="J245" s="9">
        <f t="shared" si="151"/>
        <v>2002272</v>
      </c>
      <c r="K245" s="52"/>
      <c r="L245" s="9">
        <f t="shared" si="160"/>
        <v>0.42000198000000211</v>
      </c>
      <c r="M245" s="9">
        <f t="shared" si="160"/>
        <v>0</v>
      </c>
      <c r="N245" s="29">
        <f t="shared" si="129"/>
        <v>144434446</v>
      </c>
      <c r="O245" s="30">
        <f t="shared" si="130"/>
        <v>8.8230805366134657</v>
      </c>
      <c r="P245" s="30">
        <f t="shared" si="131"/>
        <v>8.8230805366134657</v>
      </c>
      <c r="Q245" s="29">
        <f t="shared" si="132"/>
        <v>27.91999817</v>
      </c>
      <c r="R245" s="30">
        <f t="shared" si="133"/>
        <v>0.59965630031087425</v>
      </c>
      <c r="S245" s="30">
        <f t="shared" si="134"/>
        <v>0.59965630031087425</v>
      </c>
      <c r="T245" s="37">
        <f t="shared" si="135"/>
        <v>5.0000191000000083E-2</v>
      </c>
      <c r="U245" s="30">
        <f t="shared" si="136"/>
        <v>7.1225345922527085E-3</v>
      </c>
      <c r="V245" s="38">
        <f t="shared" si="137"/>
        <v>1.0738872319165742E-3</v>
      </c>
      <c r="W245" s="9">
        <f t="shared" si="153"/>
        <v>11523344</v>
      </c>
      <c r="X245" s="12">
        <f t="shared" si="153"/>
        <v>2.1599998499999984</v>
      </c>
      <c r="Y245" s="11">
        <f t="shared" si="153"/>
        <v>0</v>
      </c>
      <c r="Z245" s="7">
        <f t="shared" si="157"/>
        <v>62056800</v>
      </c>
      <c r="AA245" s="7">
        <f t="shared" si="157"/>
        <v>6.2399978699999963</v>
      </c>
      <c r="AB245" s="7">
        <f t="shared" si="157"/>
        <v>2.000021899999993E-2</v>
      </c>
    </row>
    <row r="246" spans="1:28" x14ac:dyDescent="0.25">
      <c r="A246" s="2">
        <v>242</v>
      </c>
      <c r="B246">
        <v>3</v>
      </c>
      <c r="C246">
        <v>1</v>
      </c>
      <c r="D246">
        <v>1</v>
      </c>
      <c r="E246">
        <v>3</v>
      </c>
      <c r="G246">
        <v>153482608</v>
      </c>
      <c r="H246">
        <v>44.520000459999999</v>
      </c>
      <c r="I246">
        <v>2.3900001049999999</v>
      </c>
      <c r="J246" s="9">
        <f t="shared" si="151"/>
        <v>3591472</v>
      </c>
      <c r="K246" s="52"/>
      <c r="L246" s="9">
        <f t="shared" si="160"/>
        <v>1.0800018300000005</v>
      </c>
      <c r="M246" s="9">
        <f t="shared" si="160"/>
        <v>0</v>
      </c>
      <c r="N246" s="29">
        <f t="shared" si="129"/>
        <v>146671375.5</v>
      </c>
      <c r="O246" s="30">
        <f t="shared" si="130"/>
        <v>7.1779165518134933</v>
      </c>
      <c r="P246" s="30">
        <f t="shared" si="131"/>
        <v>7.1779165518134933</v>
      </c>
      <c r="Q246" s="29">
        <f t="shared" si="132"/>
        <v>28.229999539999998</v>
      </c>
      <c r="R246" s="30">
        <f t="shared" si="133"/>
        <v>0.57765496103278713</v>
      </c>
      <c r="S246" s="30">
        <f t="shared" si="134"/>
        <v>0.57765496103278713</v>
      </c>
      <c r="T246" s="37">
        <f t="shared" si="135"/>
        <v>5.0000191000000083E-2</v>
      </c>
      <c r="U246" s="30">
        <f t="shared" si="136"/>
        <v>7.1225345922527085E-3</v>
      </c>
      <c r="V246" s="38">
        <f t="shared" si="137"/>
        <v>1.0231264206296534E-3</v>
      </c>
      <c r="W246" s="9">
        <f t="shared" si="153"/>
        <v>11438192</v>
      </c>
      <c r="X246" s="12">
        <f t="shared" si="153"/>
        <v>2.2200012200000003</v>
      </c>
      <c r="Y246" s="11">
        <f t="shared" si="153"/>
        <v>0</v>
      </c>
      <c r="Z246" s="7">
        <f t="shared" si="157"/>
        <v>62015392</v>
      </c>
      <c r="AA246" s="7">
        <f t="shared" si="157"/>
        <v>6.2700004599999986</v>
      </c>
      <c r="AB246" s="7">
        <f t="shared" si="157"/>
        <v>2.000021899999993E-2</v>
      </c>
    </row>
    <row r="247" spans="1:28" x14ac:dyDescent="0.25">
      <c r="A247" s="2">
        <v>243</v>
      </c>
      <c r="B247">
        <v>3</v>
      </c>
      <c r="C247">
        <v>1</v>
      </c>
      <c r="D247">
        <v>1</v>
      </c>
      <c r="E247">
        <v>4</v>
      </c>
      <c r="G247">
        <v>143966096</v>
      </c>
      <c r="H247">
        <v>43.340000150000002</v>
      </c>
      <c r="I247">
        <v>2.3900001049999999</v>
      </c>
      <c r="J247" s="9">
        <f t="shared" si="151"/>
        <v>9516512</v>
      </c>
      <c r="K247" s="52"/>
      <c r="L247" s="9">
        <f t="shared" si="160"/>
        <v>1.1800003099999969</v>
      </c>
      <c r="M247" s="9">
        <f t="shared" si="160"/>
        <v>0</v>
      </c>
      <c r="N247" s="29">
        <f t="shared" si="129"/>
        <v>138279715</v>
      </c>
      <c r="O247" s="30">
        <f t="shared" si="130"/>
        <v>8.10590045467114</v>
      </c>
      <c r="P247" s="30">
        <f t="shared" si="131"/>
        <v>8.10590045467114</v>
      </c>
      <c r="Q247" s="29">
        <f t="shared" si="132"/>
        <v>27.710000040000004</v>
      </c>
      <c r="R247" s="30">
        <f t="shared" si="133"/>
        <v>0.5909575569414377</v>
      </c>
      <c r="S247" s="30">
        <f t="shared" si="134"/>
        <v>0.5909575569414377</v>
      </c>
      <c r="T247" s="37">
        <f t="shared" si="135"/>
        <v>5.0000191000000083E-2</v>
      </c>
      <c r="U247" s="30">
        <f t="shared" si="136"/>
        <v>7.1225345922527085E-3</v>
      </c>
      <c r="V247" s="38">
        <f t="shared" si="137"/>
        <v>1.0663295083836925E-3</v>
      </c>
      <c r="W247" s="9">
        <f t="shared" si="153"/>
        <v>10487200</v>
      </c>
      <c r="X247" s="12">
        <f t="shared" si="153"/>
        <v>2.1100006100000002</v>
      </c>
      <c r="Y247" s="11">
        <f t="shared" si="153"/>
        <v>0</v>
      </c>
      <c r="Z247" s="7">
        <f t="shared" si="157"/>
        <v>57853632</v>
      </c>
      <c r="AA247" s="7">
        <f t="shared" si="157"/>
        <v>6.1599998400000047</v>
      </c>
      <c r="AB247" s="7">
        <f t="shared" si="157"/>
        <v>9.9999909999999304E-3</v>
      </c>
    </row>
    <row r="248" spans="1:28" x14ac:dyDescent="0.25">
      <c r="A248" s="2">
        <v>244</v>
      </c>
      <c r="B248">
        <v>3</v>
      </c>
      <c r="C248">
        <v>1</v>
      </c>
      <c r="D248">
        <v>1</v>
      </c>
      <c r="E248">
        <v>5</v>
      </c>
      <c r="G248">
        <v>134636976</v>
      </c>
      <c r="H248">
        <v>42.799999239999998</v>
      </c>
      <c r="I248">
        <v>2.3900001049999999</v>
      </c>
      <c r="J248" s="9">
        <f t="shared" si="151"/>
        <v>9329120</v>
      </c>
      <c r="K248" s="52"/>
      <c r="L248" s="9">
        <f t="shared" si="160"/>
        <v>0.54000091000000339</v>
      </c>
      <c r="M248" s="9">
        <f t="shared" si="160"/>
        <v>0</v>
      </c>
      <c r="N248" s="29">
        <f t="shared" si="129"/>
        <v>130026004</v>
      </c>
      <c r="O248" s="30">
        <f t="shared" si="130"/>
        <v>9.3997537467877343</v>
      </c>
      <c r="P248" s="30">
        <f t="shared" si="131"/>
        <v>9.3997537467877343</v>
      </c>
      <c r="Q248" s="29">
        <f t="shared" si="132"/>
        <v>27.74999905</v>
      </c>
      <c r="R248" s="30">
        <f t="shared" si="133"/>
        <v>0.61461791139906508</v>
      </c>
      <c r="S248" s="30">
        <f t="shared" si="134"/>
        <v>0.61461791139906508</v>
      </c>
      <c r="T248" s="37">
        <f t="shared" si="135"/>
        <v>5.0000191000000083E-2</v>
      </c>
      <c r="U248" s="30">
        <f t="shared" si="136"/>
        <v>7.1225345922527085E-3</v>
      </c>
      <c r="V248" s="38">
        <f t="shared" si="137"/>
        <v>1.1074239284334095E-3</v>
      </c>
      <c r="W248" s="9">
        <f t="shared" si="153"/>
        <v>9842096</v>
      </c>
      <c r="X248" s="12">
        <f t="shared" si="153"/>
        <v>2.0900001599999953</v>
      </c>
      <c r="Y248" s="11">
        <f t="shared" si="153"/>
        <v>0</v>
      </c>
      <c r="Z248" s="7">
        <f t="shared" si="157"/>
        <v>54360912</v>
      </c>
      <c r="AA248" s="7">
        <f t="shared" si="157"/>
        <v>6.1399993899999998</v>
      </c>
      <c r="AB248" s="7">
        <f t="shared" si="157"/>
        <v>9.9999909999999304E-3</v>
      </c>
    </row>
    <row r="249" spans="1:28" x14ac:dyDescent="0.25">
      <c r="A249" s="2">
        <v>245</v>
      </c>
      <c r="B249">
        <v>3</v>
      </c>
      <c r="C249">
        <v>1</v>
      </c>
      <c r="D249">
        <v>1</v>
      </c>
      <c r="E249">
        <v>6</v>
      </c>
      <c r="G249">
        <v>112334760</v>
      </c>
      <c r="H249">
        <v>39.91999817</v>
      </c>
      <c r="I249">
        <v>2.3900001049999999</v>
      </c>
      <c r="J249" s="9">
        <f t="shared" si="151"/>
        <v>22302216</v>
      </c>
      <c r="K249" s="52">
        <f t="shared" ref="K249" si="161">AVERAGE(J244:J249)</f>
        <v>8390142.666666666</v>
      </c>
      <c r="L249" s="9">
        <f t="shared" si="160"/>
        <v>2.8800010699999987</v>
      </c>
      <c r="M249" s="9">
        <f t="shared" si="160"/>
        <v>0</v>
      </c>
      <c r="N249" s="29">
        <f t="shared" si="129"/>
        <v>110727724.62</v>
      </c>
      <c r="O249" s="30">
        <f>(N249/ABS(G242))/3</f>
        <v>22.967286221165836</v>
      </c>
      <c r="P249" s="30">
        <f t="shared" si="131"/>
        <v>22.967286221165836</v>
      </c>
      <c r="Q249" s="29">
        <f t="shared" si="132"/>
        <v>26.779997829999999</v>
      </c>
      <c r="R249" s="30">
        <f t="shared" si="133"/>
        <v>0.67935051083364983</v>
      </c>
      <c r="S249" s="30">
        <f t="shared" si="134"/>
        <v>0.67935051083364983</v>
      </c>
      <c r="T249" s="37">
        <f t="shared" si="135"/>
        <v>5.0000191000000083E-2</v>
      </c>
      <c r="U249" s="30">
        <f t="shared" si="136"/>
        <v>7.1225345922527085E-3</v>
      </c>
      <c r="V249" s="38">
        <f t="shared" si="137"/>
        <v>1.2683964917868001E-3</v>
      </c>
      <c r="W249" s="9">
        <f t="shared" si="153"/>
        <v>8103504</v>
      </c>
      <c r="X249" s="12">
        <f t="shared" si="153"/>
        <v>1.8899993899999998</v>
      </c>
      <c r="Y249" s="11">
        <f t="shared" si="153"/>
        <v>0</v>
      </c>
      <c r="Z249" s="7">
        <f t="shared" si="157"/>
        <v>45793780</v>
      </c>
      <c r="AA249" s="7">
        <f t="shared" si="157"/>
        <v>5.9499969499999992</v>
      </c>
      <c r="AB249" s="7">
        <f t="shared" si="157"/>
        <v>9.9999909999999304E-3</v>
      </c>
    </row>
    <row r="250" spans="1:28" x14ac:dyDescent="0.25">
      <c r="A250" s="2">
        <v>246</v>
      </c>
      <c r="B250">
        <v>3</v>
      </c>
      <c r="C250">
        <v>1</v>
      </c>
      <c r="D250">
        <v>2</v>
      </c>
      <c r="E250">
        <v>0</v>
      </c>
      <c r="G250">
        <v>561935232</v>
      </c>
      <c r="H250">
        <v>78.739997860000003</v>
      </c>
      <c r="I250">
        <v>2.5299999710000001</v>
      </c>
      <c r="K250" s="52"/>
      <c r="N250" s="29">
        <f t="shared" si="129"/>
        <v>413641088</v>
      </c>
      <c r="O250" s="30">
        <f t="shared" si="130"/>
        <v>0.9297761796087286</v>
      </c>
      <c r="P250" s="30">
        <f t="shared" si="131"/>
        <v>1.8595523592174572</v>
      </c>
      <c r="Q250" s="29">
        <f t="shared" si="132"/>
        <v>35.709999080000003</v>
      </c>
      <c r="R250" s="30">
        <f t="shared" si="133"/>
        <v>0.2766287093691307</v>
      </c>
      <c r="S250" s="30">
        <f t="shared" si="134"/>
        <v>0.5532574187382614</v>
      </c>
      <c r="T250" s="37">
        <f t="shared" si="135"/>
        <v>0.13999986600000014</v>
      </c>
      <c r="U250" s="30">
        <f t="shared" si="136"/>
        <v>1.9525782405771085E-2</v>
      </c>
      <c r="V250" s="38">
        <f t="shared" si="137"/>
        <v>2.1690273447876702E-3</v>
      </c>
      <c r="W250" s="9">
        <f t="shared" ref="W250:Y265" si="162">ABS(G250-G229)</f>
        <v>15428096</v>
      </c>
      <c r="X250" s="12">
        <f t="shared" si="162"/>
        <v>4.119995110000005</v>
      </c>
      <c r="Y250" s="11">
        <f t="shared" si="162"/>
        <v>9.9999909999999304E-3</v>
      </c>
      <c r="Z250" s="7">
        <f t="shared" si="157"/>
        <v>194800192</v>
      </c>
      <c r="AA250" s="7">
        <f t="shared" si="157"/>
        <v>6.1399993899999998</v>
      </c>
      <c r="AB250" s="7">
        <f t="shared" si="157"/>
        <v>3.9999960999999917E-2</v>
      </c>
    </row>
    <row r="251" spans="1:28" x14ac:dyDescent="0.25">
      <c r="A251" s="2">
        <v>247</v>
      </c>
      <c r="B251">
        <v>3</v>
      </c>
      <c r="C251">
        <v>1</v>
      </c>
      <c r="D251">
        <v>2</v>
      </c>
      <c r="E251">
        <v>1</v>
      </c>
      <c r="G251">
        <v>571076288</v>
      </c>
      <c r="H251">
        <v>81.269996640000002</v>
      </c>
      <c r="I251">
        <v>2.5299999710000001</v>
      </c>
      <c r="J251" s="9">
        <f t="shared" ref="J251" si="163">ABS(G251-G250)</f>
        <v>9141056</v>
      </c>
      <c r="K251" s="52"/>
      <c r="L251" s="9">
        <f t="shared" ref="L251:M256" si="164">ABS(H251-H250)</f>
        <v>2.5299987799999997</v>
      </c>
      <c r="M251" s="9">
        <f t="shared" si="164"/>
        <v>0</v>
      </c>
      <c r="N251" s="29">
        <f t="shared" si="129"/>
        <v>419182880</v>
      </c>
      <c r="O251" s="30">
        <f t="shared" si="130"/>
        <v>0.91990579779911619</v>
      </c>
      <c r="P251" s="30">
        <f t="shared" si="131"/>
        <v>1.8398115955982324</v>
      </c>
      <c r="Q251" s="29">
        <f t="shared" si="132"/>
        <v>37.409996030000002</v>
      </c>
      <c r="R251" s="30">
        <f t="shared" si="133"/>
        <v>0.28431369136423429</v>
      </c>
      <c r="S251" s="30">
        <f t="shared" si="134"/>
        <v>0.56862738272846858</v>
      </c>
      <c r="T251" s="37">
        <f t="shared" si="135"/>
        <v>0.13999986600000014</v>
      </c>
      <c r="U251" s="30">
        <f t="shared" si="136"/>
        <v>1.9525782405771085E-2</v>
      </c>
      <c r="V251" s="38">
        <f t="shared" si="137"/>
        <v>2.1279809097567658E-3</v>
      </c>
      <c r="W251" s="9">
        <f t="shared" si="162"/>
        <v>15136448</v>
      </c>
      <c r="X251" s="12">
        <f t="shared" si="162"/>
        <v>4.2899932800000045</v>
      </c>
      <c r="Y251" s="11">
        <f t="shared" si="162"/>
        <v>9.9999909999999304E-3</v>
      </c>
      <c r="Z251" s="7">
        <f t="shared" si="157"/>
        <v>195323584</v>
      </c>
      <c r="AA251" s="7">
        <f t="shared" si="157"/>
        <v>6.2699966400000022</v>
      </c>
      <c r="AB251" s="7">
        <f t="shared" si="157"/>
        <v>3.9999960999999917E-2</v>
      </c>
    </row>
    <row r="252" spans="1:28" x14ac:dyDescent="0.25">
      <c r="A252" s="2">
        <v>248</v>
      </c>
      <c r="B252">
        <v>3</v>
      </c>
      <c r="C252">
        <v>1</v>
      </c>
      <c r="D252">
        <v>2</v>
      </c>
      <c r="E252">
        <v>2</v>
      </c>
      <c r="G252">
        <v>566304192</v>
      </c>
      <c r="H252">
        <v>79.949996949999999</v>
      </c>
      <c r="I252">
        <v>2.5299999710000001</v>
      </c>
      <c r="J252" s="9">
        <f t="shared" si="155"/>
        <v>4772096</v>
      </c>
      <c r="K252" s="52"/>
      <c r="L252" s="9">
        <f t="shared" si="164"/>
        <v>1.3199996900000031</v>
      </c>
      <c r="M252" s="9">
        <f t="shared" si="164"/>
        <v>0</v>
      </c>
      <c r="N252" s="29">
        <f t="shared" si="129"/>
        <v>416413056</v>
      </c>
      <c r="O252" s="30">
        <f t="shared" si="130"/>
        <v>0.92603442541125325</v>
      </c>
      <c r="P252" s="30">
        <f t="shared" si="131"/>
        <v>1.8520688508225065</v>
      </c>
      <c r="Q252" s="29">
        <f t="shared" si="132"/>
        <v>36.509998320000001</v>
      </c>
      <c r="R252" s="30">
        <f t="shared" si="133"/>
        <v>0.28015653369738608</v>
      </c>
      <c r="S252" s="30">
        <f t="shared" si="134"/>
        <v>0.56031306739477216</v>
      </c>
      <c r="T252" s="37">
        <f t="shared" si="135"/>
        <v>0.13999986600000014</v>
      </c>
      <c r="U252" s="30">
        <f t="shared" si="136"/>
        <v>1.9525782405771085E-2</v>
      </c>
      <c r="V252" s="38">
        <f t="shared" si="137"/>
        <v>2.1485554084604282E-3</v>
      </c>
      <c r="W252" s="9">
        <f t="shared" si="162"/>
        <v>15292480</v>
      </c>
      <c r="X252" s="12">
        <f t="shared" si="162"/>
        <v>4.2099990899999966</v>
      </c>
      <c r="Y252" s="11">
        <f t="shared" si="162"/>
        <v>9.9999909999999304E-3</v>
      </c>
      <c r="Z252" s="7">
        <f t="shared" si="157"/>
        <v>195121504</v>
      </c>
      <c r="AA252" s="7">
        <f t="shared" si="157"/>
        <v>6.1899948100000017</v>
      </c>
      <c r="AB252" s="7">
        <f t="shared" si="157"/>
        <v>3.9999960999999917E-2</v>
      </c>
    </row>
    <row r="253" spans="1:28" x14ac:dyDescent="0.25">
      <c r="A253" s="2">
        <v>249</v>
      </c>
      <c r="B253">
        <v>3</v>
      </c>
      <c r="C253">
        <v>1</v>
      </c>
      <c r="D253">
        <v>2</v>
      </c>
      <c r="E253">
        <v>3</v>
      </c>
      <c r="G253">
        <v>573674880</v>
      </c>
      <c r="H253">
        <v>83.940002440000001</v>
      </c>
      <c r="I253">
        <v>2.539999962</v>
      </c>
      <c r="J253" s="9">
        <f t="shared" si="155"/>
        <v>7370688</v>
      </c>
      <c r="K253" s="52"/>
      <c r="L253" s="9">
        <f t="shared" si="164"/>
        <v>3.9900054900000015</v>
      </c>
      <c r="M253" s="9">
        <f t="shared" si="164"/>
        <v>9.9999909999999304E-3</v>
      </c>
      <c r="N253" s="29">
        <f t="shared" si="129"/>
        <v>420192272</v>
      </c>
      <c r="O253" s="30">
        <f t="shared" si="130"/>
        <v>0.91257304323801092</v>
      </c>
      <c r="P253" s="30">
        <f t="shared" si="131"/>
        <v>1.8251460864760218</v>
      </c>
      <c r="Q253" s="29">
        <f t="shared" si="132"/>
        <v>39.420001980000002</v>
      </c>
      <c r="R253" s="30">
        <f t="shared" si="133"/>
        <v>0.29514825975363435</v>
      </c>
      <c r="S253" s="30">
        <f t="shared" si="134"/>
        <v>0.59029651950726869</v>
      </c>
      <c r="T253" s="37">
        <f t="shared" si="135"/>
        <v>0.14999985700000007</v>
      </c>
      <c r="U253" s="30">
        <f t="shared" si="136"/>
        <v>2.0920481228737586E-2</v>
      </c>
      <c r="V253" s="38">
        <f t="shared" si="137"/>
        <v>2.2461793268963213E-3</v>
      </c>
      <c r="W253" s="9">
        <f t="shared" si="162"/>
        <v>14176128</v>
      </c>
      <c r="X253" s="12">
        <f t="shared" si="162"/>
        <v>4.3400039699999979</v>
      </c>
      <c r="Y253" s="11">
        <f t="shared" si="162"/>
        <v>0</v>
      </c>
      <c r="Z253" s="7">
        <f t="shared" si="157"/>
        <v>192669120</v>
      </c>
      <c r="AA253" s="7">
        <f t="shared" si="157"/>
        <v>6.4000015200000036</v>
      </c>
      <c r="AB253" s="7">
        <f t="shared" si="157"/>
        <v>4.9999951999999848E-2</v>
      </c>
    </row>
    <row r="254" spans="1:28" x14ac:dyDescent="0.25">
      <c r="A254" s="2">
        <v>250</v>
      </c>
      <c r="B254">
        <v>3</v>
      </c>
      <c r="C254">
        <v>1</v>
      </c>
      <c r="D254">
        <v>2</v>
      </c>
      <c r="E254">
        <v>4</v>
      </c>
      <c r="G254">
        <v>540134400</v>
      </c>
      <c r="H254">
        <v>82.120002749999998</v>
      </c>
      <c r="I254">
        <v>2.539999962</v>
      </c>
      <c r="J254" s="9">
        <f t="shared" si="155"/>
        <v>33540480</v>
      </c>
      <c r="K254" s="52"/>
      <c r="L254" s="9">
        <f t="shared" si="164"/>
        <v>1.8199996900000031</v>
      </c>
      <c r="M254" s="9">
        <f t="shared" si="164"/>
        <v>0</v>
      </c>
      <c r="N254" s="29">
        <f t="shared" si="129"/>
        <v>396168304</v>
      </c>
      <c r="O254" s="30">
        <f t="shared" si="130"/>
        <v>0.91727222590889268</v>
      </c>
      <c r="P254" s="30">
        <f t="shared" si="131"/>
        <v>1.8345444518177854</v>
      </c>
      <c r="Q254" s="29">
        <f t="shared" si="132"/>
        <v>38.780002599999996</v>
      </c>
      <c r="R254" s="30">
        <f t="shared" si="133"/>
        <v>0.29826182484065661</v>
      </c>
      <c r="S254" s="30">
        <f t="shared" si="134"/>
        <v>0.59652364968131322</v>
      </c>
      <c r="T254" s="37">
        <f t="shared" si="135"/>
        <v>0.14999985700000007</v>
      </c>
      <c r="U254" s="30">
        <f t="shared" si="136"/>
        <v>2.0920481228737586E-2</v>
      </c>
      <c r="V254" s="38">
        <f t="shared" si="137"/>
        <v>2.307335125070753E-3</v>
      </c>
      <c r="W254" s="9">
        <f t="shared" si="162"/>
        <v>12050848</v>
      </c>
      <c r="X254" s="12">
        <f t="shared" si="162"/>
        <v>3.8700027499999976</v>
      </c>
      <c r="Y254" s="11">
        <f t="shared" si="162"/>
        <v>0</v>
      </c>
      <c r="Z254" s="7">
        <f t="shared" ref="Z254:AB269" si="165">ABS(G254-G149)</f>
        <v>178918720</v>
      </c>
      <c r="AA254" s="7">
        <f t="shared" si="165"/>
        <v>6.3899993899999998</v>
      </c>
      <c r="AB254" s="7">
        <f t="shared" si="165"/>
        <v>4.9999951999999848E-2</v>
      </c>
    </row>
    <row r="255" spans="1:28" x14ac:dyDescent="0.25">
      <c r="A255" s="2">
        <v>251</v>
      </c>
      <c r="B255">
        <v>3</v>
      </c>
      <c r="C255">
        <v>1</v>
      </c>
      <c r="D255">
        <v>2</v>
      </c>
      <c r="E255">
        <v>5</v>
      </c>
      <c r="G255">
        <v>507736928</v>
      </c>
      <c r="H255">
        <v>82.059997559999999</v>
      </c>
      <c r="I255">
        <v>2.539999962</v>
      </c>
      <c r="J255" s="9">
        <f t="shared" si="155"/>
        <v>32397472</v>
      </c>
      <c r="K255" s="52"/>
      <c r="L255" s="9">
        <f t="shared" si="164"/>
        <v>6.0005189999998265E-2</v>
      </c>
      <c r="M255" s="9">
        <f t="shared" si="164"/>
        <v>0</v>
      </c>
      <c r="N255" s="29">
        <f t="shared" si="129"/>
        <v>373099952</v>
      </c>
      <c r="O255" s="30">
        <f t="shared" si="130"/>
        <v>0.92371838971388265</v>
      </c>
      <c r="P255" s="30">
        <f t="shared" si="131"/>
        <v>1.8474367794277653</v>
      </c>
      <c r="Q255" s="29">
        <f t="shared" si="132"/>
        <v>39.259998320000001</v>
      </c>
      <c r="R255" s="30">
        <f t="shared" si="133"/>
        <v>0.30576323222071783</v>
      </c>
      <c r="S255" s="30">
        <f t="shared" si="134"/>
        <v>0.61152646444143566</v>
      </c>
      <c r="T255" s="37">
        <f t="shared" si="135"/>
        <v>0.14999985700000007</v>
      </c>
      <c r="U255" s="30">
        <f t="shared" si="136"/>
        <v>2.0920481228737586E-2</v>
      </c>
      <c r="V255" s="38">
        <f t="shared" si="137"/>
        <v>2.3364464122048131E-3</v>
      </c>
      <c r="W255" s="9">
        <f t="shared" si="162"/>
        <v>10975648</v>
      </c>
      <c r="X255" s="12">
        <f t="shared" si="162"/>
        <v>3.8299942000000016</v>
      </c>
      <c r="Y255" s="11">
        <f t="shared" si="162"/>
        <v>0</v>
      </c>
      <c r="Z255" s="7">
        <f t="shared" si="165"/>
        <v>167545184</v>
      </c>
      <c r="AA255" s="7">
        <f t="shared" si="165"/>
        <v>6.3799972500000024</v>
      </c>
      <c r="AB255" s="7">
        <f t="shared" si="165"/>
        <v>4.9999951999999848E-2</v>
      </c>
    </row>
    <row r="256" spans="1:28" x14ac:dyDescent="0.25">
      <c r="A256" s="2">
        <v>252</v>
      </c>
      <c r="B256">
        <v>3</v>
      </c>
      <c r="C256">
        <v>1</v>
      </c>
      <c r="D256">
        <v>2</v>
      </c>
      <c r="E256">
        <v>6</v>
      </c>
      <c r="G256">
        <v>431467008</v>
      </c>
      <c r="H256">
        <v>77.11000061</v>
      </c>
      <c r="I256">
        <v>2.539999962</v>
      </c>
      <c r="J256" s="9">
        <f t="shared" si="155"/>
        <v>76269920</v>
      </c>
      <c r="K256" s="52">
        <f t="shared" ref="K256" si="166">AVERAGE(J251:J256)</f>
        <v>27248618.666666668</v>
      </c>
      <c r="L256" s="9">
        <f t="shared" si="164"/>
        <v>4.9499969499999992</v>
      </c>
      <c r="M256" s="9">
        <f t="shared" si="164"/>
        <v>0</v>
      </c>
      <c r="N256" s="29">
        <f t="shared" si="129"/>
        <v>319132248</v>
      </c>
      <c r="O256" s="30">
        <f t="shared" si="130"/>
        <v>0.94696793761788423</v>
      </c>
      <c r="P256" s="30">
        <f t="shared" si="131"/>
        <v>1.8939358752357685</v>
      </c>
      <c r="Q256" s="29">
        <f t="shared" si="132"/>
        <v>37.190002440000001</v>
      </c>
      <c r="R256" s="30">
        <f t="shared" si="133"/>
        <v>0.31053777676062455</v>
      </c>
      <c r="S256" s="30">
        <f t="shared" si="134"/>
        <v>0.6210755535212491</v>
      </c>
      <c r="T256" s="37">
        <f t="shared" si="135"/>
        <v>0.14999985700000007</v>
      </c>
      <c r="U256" s="30">
        <f t="shared" si="136"/>
        <v>2.0920481228737586E-2</v>
      </c>
      <c r="V256" s="38">
        <f t="shared" si="137"/>
        <v>2.5050077467643011E-3</v>
      </c>
      <c r="W256" s="9">
        <f t="shared" si="162"/>
        <v>8184320</v>
      </c>
      <c r="X256" s="12">
        <f t="shared" si="162"/>
        <v>3.0500030500000008</v>
      </c>
      <c r="Y256" s="11">
        <f t="shared" si="162"/>
        <v>9.9999899999998476E-3</v>
      </c>
      <c r="Z256" s="7">
        <f t="shared" si="165"/>
        <v>140419520</v>
      </c>
      <c r="AA256" s="7">
        <f t="shared" si="165"/>
        <v>6.25</v>
      </c>
      <c r="AB256" s="7">
        <f t="shared" si="165"/>
        <v>3.9999962E-2</v>
      </c>
    </row>
    <row r="257" spans="1:28" x14ac:dyDescent="0.25">
      <c r="A257" s="2">
        <v>253</v>
      </c>
      <c r="B257">
        <v>3</v>
      </c>
      <c r="C257">
        <v>2</v>
      </c>
      <c r="D257">
        <v>0</v>
      </c>
      <c r="E257">
        <v>0</v>
      </c>
      <c r="G257">
        <v>60288588</v>
      </c>
      <c r="H257">
        <v>39.810001370000002</v>
      </c>
      <c r="I257">
        <v>2.880000114</v>
      </c>
      <c r="K257" s="52"/>
      <c r="N257" s="29">
        <f t="shared" si="129"/>
        <v>501646644</v>
      </c>
      <c r="O257" s="30">
        <f t="shared" si="130"/>
        <v>0.2975708559950197</v>
      </c>
      <c r="P257" s="30">
        <f t="shared" si="131"/>
        <v>0.99190285331673234</v>
      </c>
      <c r="Q257" s="29">
        <f t="shared" si="132"/>
        <v>38.929996490000001</v>
      </c>
      <c r="R257" s="30">
        <f t="shared" si="133"/>
        <v>0.16480398589468118</v>
      </c>
      <c r="S257" s="30">
        <f t="shared" si="134"/>
        <v>0.54934661964893727</v>
      </c>
      <c r="T257" s="37">
        <f t="shared" si="135"/>
        <v>0.35000014299999993</v>
      </c>
      <c r="U257" s="30">
        <f t="shared" si="136"/>
        <v>4.6113326352023622E-2</v>
      </c>
      <c r="V257" s="38">
        <f t="shared" si="137"/>
        <v>4.9389009188090631E-3</v>
      </c>
      <c r="W257" s="9">
        <f t="shared" si="162"/>
        <v>55303565</v>
      </c>
      <c r="X257" s="12">
        <f t="shared" si="162"/>
        <v>24.58000183</v>
      </c>
      <c r="Y257" s="11">
        <f t="shared" si="162"/>
        <v>0.54000020000000015</v>
      </c>
      <c r="Z257" s="7">
        <f t="shared" si="165"/>
        <v>19432132</v>
      </c>
      <c r="AA257" s="7">
        <f t="shared" si="165"/>
        <v>5.2000007600000018</v>
      </c>
      <c r="AB257" s="7">
        <f t="shared" si="165"/>
        <v>0</v>
      </c>
    </row>
    <row r="258" spans="1:28" x14ac:dyDescent="0.25">
      <c r="A258" s="2">
        <v>254</v>
      </c>
      <c r="B258">
        <v>3</v>
      </c>
      <c r="C258">
        <v>2</v>
      </c>
      <c r="D258">
        <v>0</v>
      </c>
      <c r="E258">
        <v>1</v>
      </c>
      <c r="G258">
        <v>61856180</v>
      </c>
      <c r="H258">
        <v>40.91999817</v>
      </c>
      <c r="I258">
        <v>2.880000114</v>
      </c>
      <c r="J258" s="9">
        <f t="shared" ref="J258" si="167">ABS(G258-G257)</f>
        <v>1567592</v>
      </c>
      <c r="K258" s="52"/>
      <c r="L258" s="9">
        <f t="shared" ref="L258:M263" si="168">ABS(H258-H257)</f>
        <v>1.1099967999999976</v>
      </c>
      <c r="M258" s="9">
        <f t="shared" si="168"/>
        <v>0</v>
      </c>
      <c r="N258" s="29">
        <f t="shared" si="129"/>
        <v>509220108</v>
      </c>
      <c r="O258" s="30">
        <f t="shared" si="130"/>
        <v>0.29722830305992326</v>
      </c>
      <c r="P258" s="30">
        <f t="shared" si="131"/>
        <v>0.99076101019974416</v>
      </c>
      <c r="Q258" s="29">
        <f t="shared" si="132"/>
        <v>40.349998470000003</v>
      </c>
      <c r="R258" s="30">
        <f t="shared" si="133"/>
        <v>0.16549772420416334</v>
      </c>
      <c r="S258" s="30">
        <f t="shared" si="134"/>
        <v>0.55165908068054437</v>
      </c>
      <c r="T258" s="37">
        <f t="shared" si="135"/>
        <v>0.35000014299999993</v>
      </c>
      <c r="U258" s="30">
        <f t="shared" si="136"/>
        <v>4.6113326352023622E-2</v>
      </c>
      <c r="V258" s="38">
        <f t="shared" si="137"/>
        <v>4.7851490569198784E-3</v>
      </c>
      <c r="W258" s="9">
        <f t="shared" si="162"/>
        <v>55863852</v>
      </c>
      <c r="X258" s="12">
        <f t="shared" si="162"/>
        <v>25.09999848</v>
      </c>
      <c r="Y258" s="11">
        <f t="shared" si="162"/>
        <v>0.54000020000000015</v>
      </c>
      <c r="Z258" s="7">
        <f t="shared" si="165"/>
        <v>19671004</v>
      </c>
      <c r="AA258" s="7">
        <f t="shared" si="165"/>
        <v>5.2899971000000008</v>
      </c>
      <c r="AB258" s="7">
        <f t="shared" si="165"/>
        <v>0</v>
      </c>
    </row>
    <row r="259" spans="1:28" x14ac:dyDescent="0.25">
      <c r="A259" s="2">
        <v>255</v>
      </c>
      <c r="B259">
        <v>3</v>
      </c>
      <c r="C259">
        <v>2</v>
      </c>
      <c r="D259">
        <v>0</v>
      </c>
      <c r="E259">
        <v>2</v>
      </c>
      <c r="G259">
        <v>60899132</v>
      </c>
      <c r="H259">
        <v>40.380001069999999</v>
      </c>
      <c r="I259">
        <v>2.880000114</v>
      </c>
      <c r="J259" s="9">
        <f t="shared" si="151"/>
        <v>957048</v>
      </c>
      <c r="K259" s="52"/>
      <c r="L259" s="9">
        <f t="shared" si="168"/>
        <v>0.53999710000000078</v>
      </c>
      <c r="M259" s="9">
        <f t="shared" si="168"/>
        <v>0</v>
      </c>
      <c r="N259" s="29">
        <f t="shared" si="129"/>
        <v>505405060</v>
      </c>
      <c r="O259" s="30">
        <f t="shared" si="130"/>
        <v>0.29748738524848023</v>
      </c>
      <c r="P259" s="30">
        <f t="shared" si="131"/>
        <v>0.99162461749493414</v>
      </c>
      <c r="Q259" s="29">
        <f t="shared" si="132"/>
        <v>39.56999588</v>
      </c>
      <c r="R259" s="30">
        <f t="shared" si="133"/>
        <v>0.16497810043589586</v>
      </c>
      <c r="S259" s="30">
        <f t="shared" si="134"/>
        <v>0.54992700145298612</v>
      </c>
      <c r="T259" s="37">
        <f t="shared" si="135"/>
        <v>0.35000014299999993</v>
      </c>
      <c r="U259" s="30">
        <f t="shared" si="136"/>
        <v>4.6113326352023622E-2</v>
      </c>
      <c r="V259" s="38">
        <f t="shared" si="137"/>
        <v>4.8641533785296499E-3</v>
      </c>
      <c r="W259" s="9">
        <f t="shared" si="162"/>
        <v>55442442</v>
      </c>
      <c r="X259" s="12">
        <f t="shared" si="162"/>
        <v>24.86000061</v>
      </c>
      <c r="Y259" s="11">
        <f t="shared" si="162"/>
        <v>0.54000020000000015</v>
      </c>
      <c r="Z259" s="7">
        <f t="shared" si="165"/>
        <v>19503760</v>
      </c>
      <c r="AA259" s="7">
        <f t="shared" si="165"/>
        <v>5.2700004599999986</v>
      </c>
      <c r="AB259" s="7">
        <f t="shared" si="165"/>
        <v>0</v>
      </c>
    </row>
    <row r="260" spans="1:28" x14ac:dyDescent="0.25">
      <c r="A260" s="2">
        <v>256</v>
      </c>
      <c r="B260">
        <v>3</v>
      </c>
      <c r="C260">
        <v>2</v>
      </c>
      <c r="D260">
        <v>0</v>
      </c>
      <c r="E260">
        <v>3</v>
      </c>
      <c r="G260">
        <v>62254964</v>
      </c>
      <c r="H260">
        <v>41.930000309999997</v>
      </c>
      <c r="I260">
        <v>2.880000114</v>
      </c>
      <c r="J260" s="9">
        <f t="shared" si="151"/>
        <v>1355832</v>
      </c>
      <c r="K260" s="52"/>
      <c r="L260" s="9">
        <f t="shared" si="168"/>
        <v>1.5499992399999982</v>
      </c>
      <c r="M260" s="9">
        <f t="shared" si="168"/>
        <v>0</v>
      </c>
      <c r="N260" s="29">
        <f t="shared" si="129"/>
        <v>511419916</v>
      </c>
      <c r="O260" s="30">
        <f t="shared" si="130"/>
        <v>0.29716013595249863</v>
      </c>
      <c r="P260" s="30">
        <f t="shared" si="131"/>
        <v>0.99053378650832868</v>
      </c>
      <c r="Q260" s="29">
        <f t="shared" si="132"/>
        <v>42.010002130000004</v>
      </c>
      <c r="R260" s="30">
        <f t="shared" si="133"/>
        <v>0.1668255138941992</v>
      </c>
      <c r="S260" s="30">
        <f t="shared" si="134"/>
        <v>0.55608504631399736</v>
      </c>
      <c r="T260" s="37">
        <f t="shared" si="135"/>
        <v>0.340000152</v>
      </c>
      <c r="U260" s="30">
        <f t="shared" si="136"/>
        <v>4.4619443187220019E-2</v>
      </c>
      <c r="V260" s="38">
        <f t="shared" si="137"/>
        <v>4.5005710708276537E-3</v>
      </c>
      <c r="W260" s="9">
        <f t="shared" si="162"/>
        <v>55443731.5</v>
      </c>
      <c r="X260" s="12">
        <f t="shared" si="162"/>
        <v>25.639999389999996</v>
      </c>
      <c r="Y260" s="11">
        <f t="shared" si="162"/>
        <v>0.54000020000000015</v>
      </c>
      <c r="Z260" s="7">
        <f t="shared" si="165"/>
        <v>19554420</v>
      </c>
      <c r="AA260" s="7">
        <f t="shared" si="165"/>
        <v>5.3899993899999998</v>
      </c>
      <c r="AB260" s="7">
        <f t="shared" si="165"/>
        <v>0</v>
      </c>
    </row>
    <row r="261" spans="1:28" x14ac:dyDescent="0.25">
      <c r="A261" s="2">
        <v>257</v>
      </c>
      <c r="B261">
        <v>3</v>
      </c>
      <c r="C261">
        <v>2</v>
      </c>
      <c r="D261">
        <v>0</v>
      </c>
      <c r="E261">
        <v>4</v>
      </c>
      <c r="G261">
        <v>57900328</v>
      </c>
      <c r="H261">
        <v>40.709999080000003</v>
      </c>
      <c r="I261">
        <v>2.880000114</v>
      </c>
      <c r="J261" s="9">
        <f t="shared" si="151"/>
        <v>4354636</v>
      </c>
      <c r="K261" s="52"/>
      <c r="L261" s="9">
        <f t="shared" si="168"/>
        <v>1.2200012299999941</v>
      </c>
      <c r="M261" s="9">
        <f t="shared" si="168"/>
        <v>0</v>
      </c>
      <c r="N261" s="29">
        <f t="shared" si="129"/>
        <v>482234072</v>
      </c>
      <c r="O261" s="30">
        <f t="shared" si="130"/>
        <v>0.29760128343365405</v>
      </c>
      <c r="P261" s="30">
        <f t="shared" si="131"/>
        <v>0.99200427811218006</v>
      </c>
      <c r="Q261" s="29">
        <f t="shared" si="132"/>
        <v>41.410003669999995</v>
      </c>
      <c r="R261" s="30">
        <f t="shared" si="133"/>
        <v>0.16808736111089165</v>
      </c>
      <c r="S261" s="30">
        <f t="shared" si="134"/>
        <v>0.56029120370297214</v>
      </c>
      <c r="T261" s="37">
        <f t="shared" si="135"/>
        <v>0.340000152</v>
      </c>
      <c r="U261" s="30">
        <f t="shared" si="136"/>
        <v>4.4619443187220019E-2</v>
      </c>
      <c r="V261" s="38">
        <f t="shared" si="137"/>
        <v>4.6003158063297389E-3</v>
      </c>
      <c r="W261" s="9">
        <f t="shared" si="162"/>
        <v>52213947</v>
      </c>
      <c r="X261" s="12">
        <f t="shared" si="162"/>
        <v>25.079998970000005</v>
      </c>
      <c r="Y261" s="11">
        <f t="shared" si="162"/>
        <v>0.54000020000000015</v>
      </c>
      <c r="Z261" s="7">
        <f t="shared" si="165"/>
        <v>18350228</v>
      </c>
      <c r="AA261" s="7">
        <f t="shared" si="165"/>
        <v>5.3199996900000031</v>
      </c>
      <c r="AB261" s="7">
        <f t="shared" si="165"/>
        <v>0</v>
      </c>
    </row>
    <row r="262" spans="1:28" x14ac:dyDescent="0.25">
      <c r="A262" s="2">
        <v>258</v>
      </c>
      <c r="B262">
        <v>3</v>
      </c>
      <c r="C262">
        <v>2</v>
      </c>
      <c r="D262">
        <v>0</v>
      </c>
      <c r="E262">
        <v>5</v>
      </c>
      <c r="G262">
        <v>52556840</v>
      </c>
      <c r="H262">
        <v>39.200000760000002</v>
      </c>
      <c r="I262">
        <v>2.880000114</v>
      </c>
      <c r="J262" s="9">
        <f t="shared" si="151"/>
        <v>5343488</v>
      </c>
      <c r="K262" s="52"/>
      <c r="L262" s="9">
        <f t="shared" si="168"/>
        <v>1.5099983200000011</v>
      </c>
      <c r="M262" s="9">
        <f t="shared" si="168"/>
        <v>0</v>
      </c>
      <c r="N262" s="29">
        <f t="shared" si="129"/>
        <v>455180088</v>
      </c>
      <c r="O262" s="30">
        <f t="shared" si="130"/>
        <v>0.29882934967456215</v>
      </c>
      <c r="P262" s="30">
        <f t="shared" si="131"/>
        <v>0.99609783224854054</v>
      </c>
      <c r="Q262" s="29">
        <f t="shared" si="132"/>
        <v>42.859996799999998</v>
      </c>
      <c r="R262" s="30">
        <f t="shared" si="133"/>
        <v>0.17410024402637822</v>
      </c>
      <c r="S262" s="30">
        <f t="shared" si="134"/>
        <v>0.58033414675459405</v>
      </c>
      <c r="T262" s="37">
        <f t="shared" si="135"/>
        <v>0.340000152</v>
      </c>
      <c r="U262" s="30">
        <f t="shared" si="136"/>
        <v>4.4619443187220019E-2</v>
      </c>
      <c r="V262" s="38">
        <f t="shared" si="137"/>
        <v>4.6036797209315769E-3</v>
      </c>
      <c r="W262" s="9">
        <f t="shared" si="162"/>
        <v>47945868</v>
      </c>
      <c r="X262" s="12">
        <f t="shared" si="162"/>
        <v>24.150000570000003</v>
      </c>
      <c r="Y262" s="11">
        <f t="shared" si="162"/>
        <v>0.54000020000000015</v>
      </c>
      <c r="Z262" s="7">
        <f t="shared" si="165"/>
        <v>17001400</v>
      </c>
      <c r="AA262" s="7">
        <f t="shared" si="165"/>
        <v>5.2700004500000048</v>
      </c>
      <c r="AB262" s="7">
        <f t="shared" si="165"/>
        <v>0</v>
      </c>
    </row>
    <row r="263" spans="1:28" x14ac:dyDescent="0.25">
      <c r="A263" s="2">
        <v>259</v>
      </c>
      <c r="B263">
        <v>3</v>
      </c>
      <c r="C263">
        <v>2</v>
      </c>
      <c r="D263">
        <v>0</v>
      </c>
      <c r="E263">
        <v>6</v>
      </c>
      <c r="G263">
        <v>41933536</v>
      </c>
      <c r="H263">
        <v>35.409999849999998</v>
      </c>
      <c r="I263">
        <v>2.880000114</v>
      </c>
      <c r="J263" s="9">
        <f t="shared" si="151"/>
        <v>10623304</v>
      </c>
      <c r="K263" s="52">
        <f t="shared" ref="K263" si="169">AVERAGE(J258:J263)</f>
        <v>4033650</v>
      </c>
      <c r="L263" s="9">
        <f t="shared" si="168"/>
        <v>3.7900009100000034</v>
      </c>
      <c r="M263" s="9">
        <f t="shared" si="168"/>
        <v>0</v>
      </c>
      <c r="N263" s="29">
        <f t="shared" si="129"/>
        <v>389533472</v>
      </c>
      <c r="O263" s="30">
        <f t="shared" si="130"/>
        <v>0.30093724029686802</v>
      </c>
      <c r="P263" s="30">
        <f t="shared" si="131"/>
        <v>1.0031241343228934</v>
      </c>
      <c r="Q263" s="29">
        <f t="shared" si="132"/>
        <v>41.700000760000002</v>
      </c>
      <c r="R263" s="30">
        <f t="shared" si="133"/>
        <v>0.18026196528820562</v>
      </c>
      <c r="S263" s="30">
        <f t="shared" si="134"/>
        <v>0.60087321762735213</v>
      </c>
      <c r="T263" s="37">
        <f t="shared" si="135"/>
        <v>0.340000152</v>
      </c>
      <c r="U263" s="30">
        <f t="shared" si="136"/>
        <v>4.4619443187220019E-2</v>
      </c>
      <c r="V263" s="38">
        <f t="shared" si="137"/>
        <v>4.8992081919096049E-3</v>
      </c>
      <c r="W263" s="9">
        <f t="shared" si="162"/>
        <v>40326500.619999997</v>
      </c>
      <c r="X263" s="12">
        <f t="shared" si="162"/>
        <v>22.269999509999998</v>
      </c>
      <c r="Y263" s="11">
        <f t="shared" si="162"/>
        <v>0.54000020000000015</v>
      </c>
      <c r="Z263" s="7">
        <f t="shared" si="165"/>
        <v>14296106</v>
      </c>
      <c r="AA263" s="7">
        <f t="shared" si="165"/>
        <v>5.0599994699999975</v>
      </c>
      <c r="AB263" s="7">
        <f t="shared" si="165"/>
        <v>0</v>
      </c>
    </row>
    <row r="264" spans="1:28" x14ac:dyDescent="0.25">
      <c r="A264" s="2">
        <v>260</v>
      </c>
      <c r="B264">
        <v>3</v>
      </c>
      <c r="C264">
        <v>2</v>
      </c>
      <c r="D264">
        <v>1</v>
      </c>
      <c r="E264">
        <v>0</v>
      </c>
      <c r="G264">
        <v>412552224</v>
      </c>
      <c r="H264">
        <v>132.5899963</v>
      </c>
      <c r="I264">
        <v>2.9700000289999999</v>
      </c>
      <c r="K264" s="52"/>
      <c r="N264" s="29">
        <f t="shared" si="129"/>
        <v>352263636</v>
      </c>
      <c r="O264" s="30">
        <f t="shared" si="130"/>
        <v>1.9476523815751001</v>
      </c>
      <c r="P264" s="30">
        <f t="shared" si="131"/>
        <v>1.9476523815751001</v>
      </c>
      <c r="Q264" s="29">
        <f t="shared" si="132"/>
        <v>92.779994929999987</v>
      </c>
      <c r="R264" s="30">
        <f t="shared" si="133"/>
        <v>0.77685666697746869</v>
      </c>
      <c r="S264" s="30">
        <f t="shared" si="134"/>
        <v>0.77685666697746869</v>
      </c>
      <c r="T264" s="37">
        <f t="shared" si="135"/>
        <v>8.999991499999993E-2</v>
      </c>
      <c r="U264" s="30">
        <f t="shared" si="136"/>
        <v>1.0416656416377712E-2</v>
      </c>
      <c r="V264" s="38">
        <f t="shared" si="137"/>
        <v>7.5357876499029721E-4</v>
      </c>
      <c r="W264" s="9">
        <f t="shared" si="162"/>
        <v>264258080</v>
      </c>
      <c r="X264" s="12">
        <f t="shared" si="162"/>
        <v>89.559997519999996</v>
      </c>
      <c r="Y264" s="11">
        <f t="shared" si="162"/>
        <v>0.579999924</v>
      </c>
      <c r="Z264" s="7">
        <f t="shared" si="165"/>
        <v>114539616</v>
      </c>
      <c r="AA264" s="7">
        <f t="shared" si="165"/>
        <v>15.059997499999994</v>
      </c>
      <c r="AB264" s="7">
        <f t="shared" si="165"/>
        <v>1.9999980999999778E-2</v>
      </c>
    </row>
    <row r="265" spans="1:28" x14ac:dyDescent="0.25">
      <c r="A265" s="2">
        <v>261</v>
      </c>
      <c r="B265">
        <v>3</v>
      </c>
      <c r="C265">
        <v>2</v>
      </c>
      <c r="D265">
        <v>1</v>
      </c>
      <c r="E265">
        <v>1</v>
      </c>
      <c r="G265">
        <v>416981312</v>
      </c>
      <c r="H265">
        <v>138.41999820000001</v>
      </c>
      <c r="I265">
        <v>2.9700000289999999</v>
      </c>
      <c r="J265" s="9">
        <f t="shared" ref="J265" si="170">ABS(G265-G264)</f>
        <v>4429088</v>
      </c>
      <c r="K265" s="52"/>
      <c r="L265" s="9">
        <f t="shared" ref="L265:M270" si="171">ABS(H265-H264)</f>
        <v>5.8300019000000134</v>
      </c>
      <c r="M265" s="9">
        <f t="shared" si="171"/>
        <v>0</v>
      </c>
      <c r="N265" s="29">
        <f t="shared" si="129"/>
        <v>355125132</v>
      </c>
      <c r="O265" s="30">
        <f t="shared" si="130"/>
        <v>1.9137141026167475</v>
      </c>
      <c r="P265" s="30">
        <f t="shared" si="131"/>
        <v>1.9137141026167475</v>
      </c>
      <c r="Q265" s="29">
        <f t="shared" si="132"/>
        <v>97.50000003000001</v>
      </c>
      <c r="R265" s="30">
        <f t="shared" si="133"/>
        <v>0.79423268483494169</v>
      </c>
      <c r="S265" s="30">
        <f t="shared" si="134"/>
        <v>0.79423268483494169</v>
      </c>
      <c r="T265" s="37">
        <f t="shared" si="135"/>
        <v>8.999991499999993E-2</v>
      </c>
      <c r="U265" s="30">
        <f t="shared" si="136"/>
        <v>1.0416656416377712E-2</v>
      </c>
      <c r="V265" s="38">
        <f t="shared" si="137"/>
        <v>7.3313717029099867E-4</v>
      </c>
      <c r="W265" s="9">
        <f t="shared" si="162"/>
        <v>265087904</v>
      </c>
      <c r="X265" s="12">
        <f t="shared" si="162"/>
        <v>94.559997590000009</v>
      </c>
      <c r="Y265" s="11">
        <f t="shared" si="162"/>
        <v>0.579999924</v>
      </c>
      <c r="Z265" s="7">
        <f t="shared" si="165"/>
        <v>114729088</v>
      </c>
      <c r="AA265" s="7">
        <f t="shared" si="165"/>
        <v>15.709999100000005</v>
      </c>
      <c r="AB265" s="7">
        <f t="shared" si="165"/>
        <v>1.9999980999999778E-2</v>
      </c>
    </row>
    <row r="266" spans="1:28" x14ac:dyDescent="0.25">
      <c r="A266" s="2">
        <v>262</v>
      </c>
      <c r="B266">
        <v>3</v>
      </c>
      <c r="C266">
        <v>2</v>
      </c>
      <c r="D266">
        <v>1</v>
      </c>
      <c r="E266">
        <v>2</v>
      </c>
      <c r="G266">
        <v>414130944</v>
      </c>
      <c r="H266">
        <v>135.77999879999999</v>
      </c>
      <c r="I266">
        <v>2.9700000289999999</v>
      </c>
      <c r="J266" s="9">
        <f t="shared" si="155"/>
        <v>2850368</v>
      </c>
      <c r="K266" s="52"/>
      <c r="L266" s="9">
        <f t="shared" si="171"/>
        <v>2.639999400000022</v>
      </c>
      <c r="M266" s="9">
        <f t="shared" si="171"/>
        <v>0</v>
      </c>
      <c r="N266" s="29">
        <f t="shared" si="129"/>
        <v>353231812</v>
      </c>
      <c r="O266" s="30">
        <f t="shared" si="130"/>
        <v>1.9334255426388234</v>
      </c>
      <c r="P266" s="30">
        <f t="shared" si="131"/>
        <v>1.9334255426388234</v>
      </c>
      <c r="Q266" s="29">
        <f t="shared" si="132"/>
        <v>95.399997729999995</v>
      </c>
      <c r="R266" s="30">
        <f t="shared" si="133"/>
        <v>0.78751853394473759</v>
      </c>
      <c r="S266" s="30">
        <f t="shared" si="134"/>
        <v>0.78751853394473759</v>
      </c>
      <c r="T266" s="37">
        <f t="shared" si="135"/>
        <v>8.999991499999993E-2</v>
      </c>
      <c r="U266" s="30">
        <f t="shared" si="136"/>
        <v>1.0416656416377712E-2</v>
      </c>
      <c r="V266" s="38">
        <f t="shared" si="137"/>
        <v>7.4294132916590937E-4</v>
      </c>
      <c r="W266" s="9">
        <f t="shared" ref="W266:Y281" si="172">ABS(G266-G245)</f>
        <v>264239808</v>
      </c>
      <c r="X266" s="12">
        <f t="shared" si="172"/>
        <v>92.340000169999996</v>
      </c>
      <c r="Y266" s="11">
        <f t="shared" si="172"/>
        <v>0.579999924</v>
      </c>
      <c r="Z266" s="7">
        <f t="shared" si="165"/>
        <v>114553280</v>
      </c>
      <c r="AA266" s="7">
        <f t="shared" si="165"/>
        <v>15.400001499999988</v>
      </c>
      <c r="AB266" s="7">
        <f t="shared" si="165"/>
        <v>1.9999980999999778E-2</v>
      </c>
    </row>
    <row r="267" spans="1:28" x14ac:dyDescent="0.25">
      <c r="A267" s="2">
        <v>263</v>
      </c>
      <c r="B267">
        <v>3</v>
      </c>
      <c r="C267">
        <v>2</v>
      </c>
      <c r="D267">
        <v>1</v>
      </c>
      <c r="E267">
        <v>3</v>
      </c>
      <c r="G267">
        <v>413787232</v>
      </c>
      <c r="H267">
        <v>144.63999939999999</v>
      </c>
      <c r="I267">
        <v>2.9700000289999999</v>
      </c>
      <c r="J267" s="9">
        <f t="shared" si="155"/>
        <v>343712</v>
      </c>
      <c r="K267" s="52"/>
      <c r="L267" s="9">
        <f t="shared" si="171"/>
        <v>8.8600006000000064</v>
      </c>
      <c r="M267" s="9">
        <f t="shared" si="171"/>
        <v>0</v>
      </c>
      <c r="N267" s="29">
        <f t="shared" si="129"/>
        <v>351532268</v>
      </c>
      <c r="O267" s="30">
        <f t="shared" si="130"/>
        <v>1.882218141940724</v>
      </c>
      <c r="P267" s="30">
        <f t="shared" si="131"/>
        <v>1.882218141940724</v>
      </c>
      <c r="Q267" s="29">
        <f t="shared" si="132"/>
        <v>102.70999909</v>
      </c>
      <c r="R267" s="30">
        <f t="shared" si="133"/>
        <v>0.81651958288128457</v>
      </c>
      <c r="S267" s="30">
        <f t="shared" si="134"/>
        <v>0.81651958288128457</v>
      </c>
      <c r="T267" s="37">
        <f t="shared" si="135"/>
        <v>8.999991499999993E-2</v>
      </c>
      <c r="U267" s="30">
        <f t="shared" si="136"/>
        <v>1.0416656416377712E-2</v>
      </c>
      <c r="V267" s="38">
        <f t="shared" si="137"/>
        <v>7.1547749689646132E-4</v>
      </c>
      <c r="W267" s="9">
        <f t="shared" si="172"/>
        <v>260304624</v>
      </c>
      <c r="X267" s="12">
        <f t="shared" si="172"/>
        <v>100.11999893999999</v>
      </c>
      <c r="Y267" s="11">
        <f t="shared" si="172"/>
        <v>0.579999924</v>
      </c>
      <c r="Z267" s="7">
        <f t="shared" si="165"/>
        <v>112532864</v>
      </c>
      <c r="AA267" s="7">
        <f t="shared" si="165"/>
        <v>16.380004899999989</v>
      </c>
      <c r="AB267" s="7">
        <f t="shared" si="165"/>
        <v>1.9999980999999778E-2</v>
      </c>
    </row>
    <row r="268" spans="1:28" x14ac:dyDescent="0.25">
      <c r="A268" s="2">
        <v>264</v>
      </c>
      <c r="B268">
        <v>3</v>
      </c>
      <c r="C268">
        <v>2</v>
      </c>
      <c r="D268">
        <v>1</v>
      </c>
      <c r="E268">
        <v>4</v>
      </c>
      <c r="G268">
        <v>386075168</v>
      </c>
      <c r="H268">
        <v>139.9900055</v>
      </c>
      <c r="I268">
        <v>2.9700000289999999</v>
      </c>
      <c r="J268" s="9">
        <f t="shared" si="155"/>
        <v>27712064</v>
      </c>
      <c r="K268" s="52"/>
      <c r="L268" s="9">
        <f t="shared" si="171"/>
        <v>4.6499938999999983</v>
      </c>
      <c r="M268" s="9">
        <f t="shared" si="171"/>
        <v>0</v>
      </c>
      <c r="N268" s="29">
        <f t="shared" si="129"/>
        <v>328174840</v>
      </c>
      <c r="O268" s="30">
        <f t="shared" si="130"/>
        <v>1.8893090438681683</v>
      </c>
      <c r="P268" s="30">
        <f t="shared" si="131"/>
        <v>1.8893090438681683</v>
      </c>
      <c r="Q268" s="29">
        <f t="shared" si="132"/>
        <v>99.280006419999992</v>
      </c>
      <c r="R268" s="30">
        <f t="shared" si="133"/>
        <v>0.81290435325977228</v>
      </c>
      <c r="S268" s="30">
        <f t="shared" si="134"/>
        <v>0.81290435325977228</v>
      </c>
      <c r="T268" s="37">
        <f t="shared" si="135"/>
        <v>8.999991499999993E-2</v>
      </c>
      <c r="U268" s="30">
        <f t="shared" si="136"/>
        <v>1.0416656416377712E-2</v>
      </c>
      <c r="V268" s="38">
        <f t="shared" si="137"/>
        <v>7.3691899642918486E-4</v>
      </c>
      <c r="W268" s="9">
        <f t="shared" si="172"/>
        <v>242109072</v>
      </c>
      <c r="X268" s="12">
        <f t="shared" si="172"/>
        <v>96.650005349999986</v>
      </c>
      <c r="Y268" s="11">
        <f t="shared" si="172"/>
        <v>0.579999924</v>
      </c>
      <c r="Z268" s="7">
        <f t="shared" si="165"/>
        <v>104277792</v>
      </c>
      <c r="AA268" s="7">
        <f t="shared" si="165"/>
        <v>15.9000092</v>
      </c>
      <c r="AB268" s="7">
        <f t="shared" si="165"/>
        <v>1.9999980999999778E-2</v>
      </c>
    </row>
    <row r="269" spans="1:28" x14ac:dyDescent="0.25">
      <c r="A269" s="2">
        <v>265</v>
      </c>
      <c r="B269">
        <v>3</v>
      </c>
      <c r="C269">
        <v>2</v>
      </c>
      <c r="D269">
        <v>1</v>
      </c>
      <c r="E269">
        <v>5</v>
      </c>
      <c r="G269">
        <v>357695808</v>
      </c>
      <c r="H269">
        <v>135.47999569999999</v>
      </c>
      <c r="I269">
        <v>2.9700000289999999</v>
      </c>
      <c r="J269" s="9">
        <f t="shared" si="155"/>
        <v>28379360</v>
      </c>
      <c r="K269" s="52"/>
      <c r="L269" s="9">
        <f t="shared" si="171"/>
        <v>4.510009800000006</v>
      </c>
      <c r="M269" s="9">
        <f t="shared" si="171"/>
        <v>0</v>
      </c>
      <c r="N269" s="29">
        <f t="shared" ref="N269:N332" si="173">ABS(G269-G262)</f>
        <v>305138968</v>
      </c>
      <c r="O269" s="30">
        <f t="shared" ref="O269:O332" si="174">(N269/ABS(G262))/3</f>
        <v>1.9352949936360961</v>
      </c>
      <c r="P269" s="30">
        <f t="shared" ref="P269:P332" si="175">(N269/ABS(G262))/(IF(AND(D269=1,D262=0),(2400-600)/600,IF(AND(D269=2,D262=1),(6000-2400)/2400,IF(AND(D269=0,D262=2),ABS(600-6000)/6000,"Not Valid"))))</f>
        <v>1.9352949936360961</v>
      </c>
      <c r="Q269" s="29">
        <f t="shared" ref="Q269:Q332" si="176">ABS(H269-H262)</f>
        <v>96.279994939999995</v>
      </c>
      <c r="R269" s="30">
        <f t="shared" ref="R269:R332" si="177">(Q269/ABS(H262))/3</f>
        <v>0.81870742409308728</v>
      </c>
      <c r="S269" s="30">
        <f t="shared" ref="S269:S332" si="178">(Q269/ABS(H262))/(IF(AND(D269=1,D262=0),(2400-600)/600,IF(AND(D269=2,D262=1),(6000-2400)/2400,IF(AND(D269=0,D262=2),ABS(600-6000)/6000,"Not Valid"))))</f>
        <v>0.81870742409308728</v>
      </c>
      <c r="T269" s="37">
        <f t="shared" ref="T269:T332" si="179">ABS(I269-I262)</f>
        <v>8.999991499999993E-2</v>
      </c>
      <c r="U269" s="30">
        <f t="shared" ref="U269:U332" si="180">(T269/ABS(I262))/3</f>
        <v>1.0416656416377712E-2</v>
      </c>
      <c r="V269" s="38">
        <f t="shared" ref="V269:V332" si="181">(T269/ABS(H262))/(IF(AND(D269=1,D262=0),(2400-600)/600,IF(AND(D269=2,D262=1),(6000-2400)/2400,IF(AND(D269=0,D262=2),ABS(600-6000)/6000,"Not Valid"))))</f>
        <v>7.6530538482230996E-4</v>
      </c>
      <c r="W269" s="9">
        <f t="shared" si="172"/>
        <v>223058832</v>
      </c>
      <c r="X269" s="12">
        <f t="shared" si="172"/>
        <v>92.679996459999984</v>
      </c>
      <c r="Y269" s="11">
        <f t="shared" si="172"/>
        <v>0.579999924</v>
      </c>
      <c r="Z269" s="7">
        <f t="shared" si="165"/>
        <v>97051408</v>
      </c>
      <c r="AA269" s="7">
        <f t="shared" si="165"/>
        <v>15.379997199999991</v>
      </c>
      <c r="AB269" s="7">
        <f t="shared" si="165"/>
        <v>1.9999980999999778E-2</v>
      </c>
    </row>
    <row r="270" spans="1:28" x14ac:dyDescent="0.25">
      <c r="A270" s="2">
        <v>266</v>
      </c>
      <c r="B270">
        <v>3</v>
      </c>
      <c r="C270">
        <v>2</v>
      </c>
      <c r="D270">
        <v>1</v>
      </c>
      <c r="E270">
        <v>6</v>
      </c>
      <c r="G270">
        <v>297362784</v>
      </c>
      <c r="H270">
        <v>121.48999790000001</v>
      </c>
      <c r="I270">
        <v>2.9700000289999999</v>
      </c>
      <c r="J270" s="9">
        <f t="shared" si="155"/>
        <v>60333024</v>
      </c>
      <c r="K270" s="52">
        <f t="shared" ref="K270" si="182">AVERAGE(J265:J270)</f>
        <v>20674602.666666668</v>
      </c>
      <c r="L270" s="9">
        <f t="shared" si="171"/>
        <v>13.989997799999983</v>
      </c>
      <c r="M270" s="9">
        <f t="shared" si="171"/>
        <v>0</v>
      </c>
      <c r="N270" s="29">
        <f t="shared" si="173"/>
        <v>255429248</v>
      </c>
      <c r="O270" s="30">
        <f t="shared" si="174"/>
        <v>2.0304293600870356</v>
      </c>
      <c r="P270" s="30">
        <f t="shared" si="175"/>
        <v>2.0304293600870356</v>
      </c>
      <c r="Q270" s="29">
        <f t="shared" si="176"/>
        <v>86.07999805</v>
      </c>
      <c r="R270" s="30">
        <f t="shared" si="177"/>
        <v>0.81031722126181638</v>
      </c>
      <c r="S270" s="30">
        <f t="shared" si="178"/>
        <v>0.81031722126181638</v>
      </c>
      <c r="T270" s="37">
        <f t="shared" si="179"/>
        <v>8.999991499999993E-2</v>
      </c>
      <c r="U270" s="30">
        <f t="shared" si="180"/>
        <v>1.0416656416377712E-2</v>
      </c>
      <c r="V270" s="38">
        <f t="shared" si="181"/>
        <v>8.4721750335355181E-4</v>
      </c>
      <c r="W270" s="9">
        <f t="shared" si="172"/>
        <v>185028024</v>
      </c>
      <c r="X270" s="12">
        <f t="shared" si="172"/>
        <v>81.569999730000006</v>
      </c>
      <c r="Y270" s="11">
        <f t="shared" si="172"/>
        <v>0.579999924</v>
      </c>
      <c r="Z270" s="7">
        <f t="shared" ref="Z270:AB285" si="183">ABS(G270-G165)</f>
        <v>80391712</v>
      </c>
      <c r="AA270" s="7">
        <f t="shared" si="183"/>
        <v>13.90000160000001</v>
      </c>
      <c r="AB270" s="7">
        <f t="shared" si="183"/>
        <v>1.9999980999999778E-2</v>
      </c>
    </row>
    <row r="271" spans="1:28" x14ac:dyDescent="0.25">
      <c r="A271" s="2">
        <v>267</v>
      </c>
      <c r="B271">
        <v>3</v>
      </c>
      <c r="C271">
        <v>2</v>
      </c>
      <c r="D271">
        <v>2</v>
      </c>
      <c r="E271">
        <v>0</v>
      </c>
      <c r="G271">
        <v>1510772608</v>
      </c>
      <c r="H271">
        <v>359.32998659999998</v>
      </c>
      <c r="I271">
        <v>3.1400001049999999</v>
      </c>
      <c r="K271" s="52"/>
      <c r="N271" s="29">
        <f t="shared" si="173"/>
        <v>1098220384</v>
      </c>
      <c r="O271" s="30">
        <f t="shared" si="174"/>
        <v>0.88733847507590535</v>
      </c>
      <c r="P271" s="30">
        <f t="shared" si="175"/>
        <v>1.7746769501518107</v>
      </c>
      <c r="Q271" s="29">
        <f t="shared" si="176"/>
        <v>226.73999029999999</v>
      </c>
      <c r="R271" s="30">
        <f t="shared" si="177"/>
        <v>0.57002789709457635</v>
      </c>
      <c r="S271" s="30">
        <f t="shared" si="178"/>
        <v>1.1400557941891527</v>
      </c>
      <c r="T271" s="37">
        <f t="shared" si="179"/>
        <v>0.170000076</v>
      </c>
      <c r="U271" s="30">
        <f t="shared" si="180"/>
        <v>1.9079694089794232E-2</v>
      </c>
      <c r="V271" s="38">
        <f t="shared" si="181"/>
        <v>8.5476572262337418E-4</v>
      </c>
      <c r="W271" s="9">
        <f t="shared" si="172"/>
        <v>948837376</v>
      </c>
      <c r="X271" s="12">
        <f t="shared" si="172"/>
        <v>280.58998873999997</v>
      </c>
      <c r="Y271" s="11">
        <f t="shared" si="172"/>
        <v>0.61000013399999986</v>
      </c>
      <c r="Z271" s="7">
        <f t="shared" si="183"/>
        <v>383981824</v>
      </c>
      <c r="AA271" s="7">
        <f t="shared" si="183"/>
        <v>40.829986599999984</v>
      </c>
      <c r="AB271" s="7">
        <f t="shared" si="183"/>
        <v>5.0000191000000083E-2</v>
      </c>
    </row>
    <row r="272" spans="1:28" x14ac:dyDescent="0.25">
      <c r="A272" s="2">
        <v>268</v>
      </c>
      <c r="B272">
        <v>3</v>
      </c>
      <c r="C272">
        <v>2</v>
      </c>
      <c r="D272">
        <v>2</v>
      </c>
      <c r="E272">
        <v>1</v>
      </c>
      <c r="G272">
        <v>1513190016</v>
      </c>
      <c r="H272">
        <v>376.05999759999997</v>
      </c>
      <c r="I272">
        <v>3.1400001049999999</v>
      </c>
      <c r="J272" s="9">
        <f t="shared" ref="J272" si="184">ABS(G272-G271)</f>
        <v>2417408</v>
      </c>
      <c r="K272" s="52"/>
      <c r="L272" s="9">
        <f t="shared" ref="L272:M277" si="185">ABS(H272-H271)</f>
        <v>16.73001099999999</v>
      </c>
      <c r="M272" s="9">
        <f t="shared" si="185"/>
        <v>0</v>
      </c>
      <c r="N272" s="29">
        <f t="shared" si="173"/>
        <v>1096208704</v>
      </c>
      <c r="O272" s="30">
        <f t="shared" si="174"/>
        <v>0.87630522236289898</v>
      </c>
      <c r="P272" s="30">
        <f t="shared" si="175"/>
        <v>1.752610444725798</v>
      </c>
      <c r="Q272" s="29">
        <f t="shared" si="176"/>
        <v>237.63999939999997</v>
      </c>
      <c r="R272" s="30">
        <f t="shared" si="177"/>
        <v>0.57226798268614132</v>
      </c>
      <c r="S272" s="30">
        <f t="shared" si="178"/>
        <v>1.1445359653722826</v>
      </c>
      <c r="T272" s="37">
        <f t="shared" si="179"/>
        <v>0.170000076</v>
      </c>
      <c r="U272" s="30">
        <f t="shared" si="180"/>
        <v>1.9079694089794232E-2</v>
      </c>
      <c r="V272" s="38">
        <f t="shared" si="181"/>
        <v>8.1876452444571693E-4</v>
      </c>
      <c r="W272" s="9">
        <f t="shared" si="172"/>
        <v>942113728</v>
      </c>
      <c r="X272" s="12">
        <f t="shared" si="172"/>
        <v>294.79000095999999</v>
      </c>
      <c r="Y272" s="11">
        <f t="shared" si="172"/>
        <v>0.61000013399999986</v>
      </c>
      <c r="Z272" s="7">
        <f t="shared" si="183"/>
        <v>382378496</v>
      </c>
      <c r="AA272" s="7">
        <f t="shared" si="183"/>
        <v>42.470001299999979</v>
      </c>
      <c r="AB272" s="7">
        <f t="shared" si="183"/>
        <v>5.0000191000000083E-2</v>
      </c>
    </row>
    <row r="273" spans="1:28" x14ac:dyDescent="0.25">
      <c r="A273" s="2">
        <v>269</v>
      </c>
      <c r="B273">
        <v>3</v>
      </c>
      <c r="C273">
        <v>2</v>
      </c>
      <c r="D273">
        <v>2</v>
      </c>
      <c r="E273">
        <v>2</v>
      </c>
      <c r="G273">
        <v>1511163904</v>
      </c>
      <c r="H273">
        <v>367.8399963</v>
      </c>
      <c r="I273">
        <v>3.1400001049999999</v>
      </c>
      <c r="J273" s="9">
        <f t="shared" si="151"/>
        <v>2026112</v>
      </c>
      <c r="K273" s="52"/>
      <c r="L273" s="9">
        <f t="shared" si="185"/>
        <v>8.2200012999999785</v>
      </c>
      <c r="M273" s="9">
        <f t="shared" si="185"/>
        <v>0</v>
      </c>
      <c r="N273" s="29">
        <f t="shared" si="173"/>
        <v>1097032960</v>
      </c>
      <c r="O273" s="30">
        <f t="shared" si="174"/>
        <v>0.88300007191284247</v>
      </c>
      <c r="P273" s="30">
        <f t="shared" si="175"/>
        <v>1.7660001438256849</v>
      </c>
      <c r="Q273" s="29">
        <f t="shared" si="176"/>
        <v>232.05999750000001</v>
      </c>
      <c r="R273" s="30">
        <f t="shared" si="177"/>
        <v>0.569696075884779</v>
      </c>
      <c r="S273" s="30">
        <f t="shared" si="178"/>
        <v>1.139392151769558</v>
      </c>
      <c r="T273" s="37">
        <f t="shared" si="179"/>
        <v>0.170000076</v>
      </c>
      <c r="U273" s="30">
        <f t="shared" si="180"/>
        <v>1.9079694089794232E-2</v>
      </c>
      <c r="V273" s="38">
        <f t="shared" si="181"/>
        <v>8.3468393726337262E-4</v>
      </c>
      <c r="W273" s="9">
        <f t="shared" si="172"/>
        <v>944859712</v>
      </c>
      <c r="X273" s="12">
        <f t="shared" si="172"/>
        <v>287.88999934999998</v>
      </c>
      <c r="Y273" s="11">
        <f t="shared" si="172"/>
        <v>0.61000013399999986</v>
      </c>
      <c r="Z273" s="7">
        <f t="shared" si="183"/>
        <v>383246208</v>
      </c>
      <c r="AA273" s="7">
        <f t="shared" si="183"/>
        <v>41.570007299999986</v>
      </c>
      <c r="AB273" s="7">
        <f t="shared" si="183"/>
        <v>5.0000191000000083E-2</v>
      </c>
    </row>
    <row r="274" spans="1:28" x14ac:dyDescent="0.25">
      <c r="A274" s="2">
        <v>270</v>
      </c>
      <c r="B274">
        <v>3</v>
      </c>
      <c r="C274">
        <v>2</v>
      </c>
      <c r="D274">
        <v>2</v>
      </c>
      <c r="E274">
        <v>3</v>
      </c>
      <c r="G274">
        <v>1484592384</v>
      </c>
      <c r="H274">
        <v>393.11999509999998</v>
      </c>
      <c r="I274">
        <v>3.1400001049999999</v>
      </c>
      <c r="J274" s="9">
        <f t="shared" si="151"/>
        <v>26571520</v>
      </c>
      <c r="K274" s="52"/>
      <c r="L274" s="9">
        <f t="shared" si="185"/>
        <v>25.279998799999987</v>
      </c>
      <c r="M274" s="9">
        <f t="shared" si="185"/>
        <v>0</v>
      </c>
      <c r="N274" s="29">
        <f t="shared" si="173"/>
        <v>1070805152</v>
      </c>
      <c r="O274" s="30">
        <f t="shared" si="174"/>
        <v>0.86260527890494865</v>
      </c>
      <c r="P274" s="30">
        <f t="shared" si="175"/>
        <v>1.7252105578098973</v>
      </c>
      <c r="Q274" s="29">
        <f t="shared" si="176"/>
        <v>248.47999569999999</v>
      </c>
      <c r="R274" s="30">
        <f t="shared" si="177"/>
        <v>0.5726401104598825</v>
      </c>
      <c r="S274" s="30">
        <f t="shared" si="178"/>
        <v>1.145280220919765</v>
      </c>
      <c r="T274" s="37">
        <f t="shared" si="179"/>
        <v>0.170000076</v>
      </c>
      <c r="U274" s="30">
        <f t="shared" si="180"/>
        <v>1.9079694089794232E-2</v>
      </c>
      <c r="V274" s="38">
        <f t="shared" si="181"/>
        <v>7.8355492581673794E-4</v>
      </c>
      <c r="W274" s="9">
        <f t="shared" si="172"/>
        <v>910917504</v>
      </c>
      <c r="X274" s="12">
        <f t="shared" si="172"/>
        <v>309.17999265999998</v>
      </c>
      <c r="Y274" s="11">
        <f t="shared" si="172"/>
        <v>0.60000014299999993</v>
      </c>
      <c r="Z274" s="7">
        <f t="shared" si="183"/>
        <v>371830144</v>
      </c>
      <c r="AA274" s="7">
        <f t="shared" si="183"/>
        <v>43.959991399999979</v>
      </c>
      <c r="AB274" s="7">
        <f t="shared" si="183"/>
        <v>5.0000191000000083E-2</v>
      </c>
    </row>
    <row r="275" spans="1:28" x14ac:dyDescent="0.25">
      <c r="A275" s="2">
        <v>271</v>
      </c>
      <c r="B275">
        <v>3</v>
      </c>
      <c r="C275">
        <v>2</v>
      </c>
      <c r="D275">
        <v>2</v>
      </c>
      <c r="E275">
        <v>4</v>
      </c>
      <c r="G275">
        <v>1372372096</v>
      </c>
      <c r="H275">
        <v>381.14999390000003</v>
      </c>
      <c r="I275">
        <v>3.1400001049999999</v>
      </c>
      <c r="J275" s="9">
        <f t="shared" si="151"/>
        <v>112220288</v>
      </c>
      <c r="K275" s="52"/>
      <c r="L275" s="9">
        <f t="shared" si="185"/>
        <v>11.970001199999956</v>
      </c>
      <c r="M275" s="9">
        <f t="shared" si="185"/>
        <v>0</v>
      </c>
      <c r="N275" s="29">
        <f t="shared" si="173"/>
        <v>986296928</v>
      </c>
      <c r="O275" s="30">
        <f t="shared" si="174"/>
        <v>0.85155863395665643</v>
      </c>
      <c r="P275" s="30">
        <f t="shared" si="175"/>
        <v>1.7031172679133129</v>
      </c>
      <c r="Q275" s="29">
        <f t="shared" si="176"/>
        <v>241.15998840000003</v>
      </c>
      <c r="R275" s="30">
        <f t="shared" si="177"/>
        <v>0.57423144254394654</v>
      </c>
      <c r="S275" s="30">
        <f t="shared" si="178"/>
        <v>1.1484628850878931</v>
      </c>
      <c r="T275" s="37">
        <f t="shared" si="179"/>
        <v>0.170000076</v>
      </c>
      <c r="U275" s="30">
        <f t="shared" si="180"/>
        <v>1.9079694089794232E-2</v>
      </c>
      <c r="V275" s="38">
        <f t="shared" si="181"/>
        <v>8.0958196690691616E-4</v>
      </c>
      <c r="W275" s="9">
        <f t="shared" si="172"/>
        <v>832237696</v>
      </c>
      <c r="X275" s="12">
        <f t="shared" si="172"/>
        <v>299.02999115</v>
      </c>
      <c r="Y275" s="11">
        <f t="shared" si="172"/>
        <v>0.60000014299999993</v>
      </c>
      <c r="Z275" s="7">
        <f t="shared" si="183"/>
        <v>341155904</v>
      </c>
      <c r="AA275" s="7">
        <f t="shared" si="183"/>
        <v>42.779998800000044</v>
      </c>
      <c r="AB275" s="7">
        <f t="shared" si="183"/>
        <v>5.0000191000000083E-2</v>
      </c>
    </row>
    <row r="276" spans="1:28" x14ac:dyDescent="0.25">
      <c r="A276" s="2">
        <v>272</v>
      </c>
      <c r="B276">
        <v>3</v>
      </c>
      <c r="C276">
        <v>2</v>
      </c>
      <c r="D276">
        <v>2</v>
      </c>
      <c r="E276">
        <v>5</v>
      </c>
      <c r="G276">
        <v>1277373184</v>
      </c>
      <c r="H276">
        <v>365.80999759999997</v>
      </c>
      <c r="I276">
        <v>3.1400001049999999</v>
      </c>
      <c r="J276" s="9">
        <f t="shared" si="151"/>
        <v>94998912</v>
      </c>
      <c r="K276" s="52"/>
      <c r="L276" s="9">
        <f t="shared" si="185"/>
        <v>15.339996300000053</v>
      </c>
      <c r="M276" s="9">
        <f t="shared" si="185"/>
        <v>0</v>
      </c>
      <c r="N276" s="29">
        <f t="shared" si="173"/>
        <v>919677376</v>
      </c>
      <c r="O276" s="30">
        <f t="shared" si="174"/>
        <v>0.85703863024677485</v>
      </c>
      <c r="P276" s="30">
        <f t="shared" si="175"/>
        <v>1.7140772604935497</v>
      </c>
      <c r="Q276" s="29">
        <f t="shared" si="176"/>
        <v>230.33000189999998</v>
      </c>
      <c r="R276" s="30">
        <f t="shared" si="177"/>
        <v>0.5667011347565315</v>
      </c>
      <c r="S276" s="30">
        <f t="shared" si="178"/>
        <v>1.133402269513063</v>
      </c>
      <c r="T276" s="37">
        <f t="shared" si="179"/>
        <v>0.170000076</v>
      </c>
      <c r="U276" s="30">
        <f t="shared" si="180"/>
        <v>1.9079694089794232E-2</v>
      </c>
      <c r="V276" s="38">
        <f t="shared" si="181"/>
        <v>8.3653223794721452E-4</v>
      </c>
      <c r="W276" s="9">
        <f t="shared" si="172"/>
        <v>769636256</v>
      </c>
      <c r="X276" s="12">
        <f t="shared" si="172"/>
        <v>283.75000003999997</v>
      </c>
      <c r="Y276" s="11">
        <f t="shared" si="172"/>
        <v>0.60000014299999993</v>
      </c>
      <c r="Z276" s="7">
        <f t="shared" si="183"/>
        <v>318874560</v>
      </c>
      <c r="AA276" s="7">
        <f t="shared" si="183"/>
        <v>40.709991500000001</v>
      </c>
      <c r="AB276" s="7">
        <f t="shared" si="183"/>
        <v>5.0000191000000083E-2</v>
      </c>
    </row>
    <row r="277" spans="1:28" x14ac:dyDescent="0.25">
      <c r="A277" s="2">
        <v>273</v>
      </c>
      <c r="B277">
        <v>3</v>
      </c>
      <c r="C277">
        <v>2</v>
      </c>
      <c r="D277">
        <v>2</v>
      </c>
      <c r="E277">
        <v>6</v>
      </c>
      <c r="G277">
        <v>1057999040</v>
      </c>
      <c r="H277">
        <v>326.6600037</v>
      </c>
      <c r="I277">
        <v>3.1400001049999999</v>
      </c>
      <c r="J277" s="9">
        <f t="shared" si="151"/>
        <v>219374144</v>
      </c>
      <c r="K277" s="52">
        <f t="shared" ref="K277" si="186">AVERAGE(J272:J277)</f>
        <v>76268064</v>
      </c>
      <c r="L277" s="9">
        <f t="shared" si="185"/>
        <v>39.14999389999997</v>
      </c>
      <c r="M277" s="9">
        <f t="shared" si="185"/>
        <v>0</v>
      </c>
      <c r="N277" s="29">
        <f t="shared" si="173"/>
        <v>760636256</v>
      </c>
      <c r="O277" s="30">
        <f t="shared" si="174"/>
        <v>0.85264677461005567</v>
      </c>
      <c r="P277" s="30">
        <f t="shared" si="175"/>
        <v>1.7052935492201113</v>
      </c>
      <c r="Q277" s="29">
        <f t="shared" si="176"/>
        <v>205.17000580000001</v>
      </c>
      <c r="R277" s="30">
        <f t="shared" si="177"/>
        <v>0.56292701551963187</v>
      </c>
      <c r="S277" s="30">
        <f t="shared" si="178"/>
        <v>1.1258540310392637</v>
      </c>
      <c r="T277" s="37">
        <f t="shared" si="179"/>
        <v>0.170000076</v>
      </c>
      <c r="U277" s="30">
        <f t="shared" si="180"/>
        <v>1.9079694089794232E-2</v>
      </c>
      <c r="V277" s="38">
        <f t="shared" si="181"/>
        <v>9.3286184837443299E-4</v>
      </c>
      <c r="W277" s="9">
        <f t="shared" si="172"/>
        <v>626532032</v>
      </c>
      <c r="X277" s="12">
        <f t="shared" si="172"/>
        <v>249.55000309000002</v>
      </c>
      <c r="Y277" s="11">
        <f t="shared" si="172"/>
        <v>0.60000014299999993</v>
      </c>
      <c r="Z277" s="7">
        <f t="shared" si="183"/>
        <v>262082304</v>
      </c>
      <c r="AA277" s="7">
        <f t="shared" si="183"/>
        <v>36.529998799999987</v>
      </c>
      <c r="AB277" s="7">
        <f t="shared" si="183"/>
        <v>5.0000191000000083E-2</v>
      </c>
    </row>
    <row r="278" spans="1:28" x14ac:dyDescent="0.25">
      <c r="A278" s="2">
        <v>274</v>
      </c>
      <c r="B278">
        <v>3</v>
      </c>
      <c r="C278">
        <v>3</v>
      </c>
      <c r="D278">
        <v>0</v>
      </c>
      <c r="E278">
        <v>0</v>
      </c>
      <c r="G278">
        <v>132009232</v>
      </c>
      <c r="H278">
        <v>75.61000061</v>
      </c>
      <c r="I278">
        <v>3.4400000569999998</v>
      </c>
      <c r="K278" s="52"/>
      <c r="N278" s="29">
        <f t="shared" si="173"/>
        <v>1378763376</v>
      </c>
      <c r="O278" s="30">
        <f t="shared" si="174"/>
        <v>0.30420712525918397</v>
      </c>
      <c r="P278" s="30">
        <f t="shared" si="175"/>
        <v>1.0140237508639465</v>
      </c>
      <c r="Q278" s="29">
        <f t="shared" si="176"/>
        <v>283.71998599</v>
      </c>
      <c r="R278" s="30">
        <f t="shared" si="177"/>
        <v>0.26319353293665065</v>
      </c>
      <c r="S278" s="30">
        <f t="shared" si="178"/>
        <v>0.87731177645550207</v>
      </c>
      <c r="T278" s="37">
        <f t="shared" si="179"/>
        <v>0.29999995199999985</v>
      </c>
      <c r="U278" s="30">
        <f t="shared" si="180"/>
        <v>3.1847127597468647E-2</v>
      </c>
      <c r="V278" s="38">
        <f t="shared" si="181"/>
        <v>9.276522762656621E-4</v>
      </c>
      <c r="W278" s="9">
        <f t="shared" si="172"/>
        <v>71720644</v>
      </c>
      <c r="X278" s="12">
        <f t="shared" si="172"/>
        <v>35.799999239999998</v>
      </c>
      <c r="Y278" s="11">
        <f t="shared" si="172"/>
        <v>0.55999994299999978</v>
      </c>
      <c r="Z278" s="7">
        <f t="shared" si="183"/>
        <v>33451008</v>
      </c>
      <c r="AA278" s="7">
        <f t="shared" si="183"/>
        <v>8.3099975599999993</v>
      </c>
      <c r="AB278" s="7">
        <f t="shared" si="183"/>
        <v>9.9999899999998476E-3</v>
      </c>
    </row>
    <row r="279" spans="1:28" x14ac:dyDescent="0.25">
      <c r="A279" s="2">
        <v>275</v>
      </c>
      <c r="B279">
        <v>3</v>
      </c>
      <c r="C279">
        <v>3</v>
      </c>
      <c r="D279">
        <v>0</v>
      </c>
      <c r="E279">
        <v>1</v>
      </c>
      <c r="G279">
        <v>132411608</v>
      </c>
      <c r="H279">
        <v>77.02999878</v>
      </c>
      <c r="I279">
        <v>3.4400000569999998</v>
      </c>
      <c r="J279" s="9">
        <f t="shared" ref="J279" si="187">ABS(G279-G278)</f>
        <v>402376</v>
      </c>
      <c r="K279" s="52"/>
      <c r="L279" s="9">
        <f t="shared" ref="L279:M284" si="188">ABS(H279-H278)</f>
        <v>1.4199981699999995</v>
      </c>
      <c r="M279" s="9">
        <f t="shared" si="188"/>
        <v>0</v>
      </c>
      <c r="N279" s="29">
        <f t="shared" si="173"/>
        <v>1380778408</v>
      </c>
      <c r="O279" s="30">
        <f t="shared" si="174"/>
        <v>0.30416501858107248</v>
      </c>
      <c r="P279" s="30">
        <f t="shared" si="175"/>
        <v>1.0138833952702415</v>
      </c>
      <c r="Q279" s="29">
        <f t="shared" si="176"/>
        <v>299.02999881999995</v>
      </c>
      <c r="R279" s="30">
        <f t="shared" si="177"/>
        <v>0.26505522233012246</v>
      </c>
      <c r="S279" s="30">
        <f t="shared" si="178"/>
        <v>0.88351740776707488</v>
      </c>
      <c r="T279" s="37">
        <f t="shared" si="179"/>
        <v>0.29999995199999985</v>
      </c>
      <c r="U279" s="30">
        <f t="shared" si="180"/>
        <v>3.1847127597468647E-2</v>
      </c>
      <c r="V279" s="38">
        <f t="shared" si="181"/>
        <v>8.8638324237440736E-4</v>
      </c>
      <c r="W279" s="9">
        <f t="shared" si="172"/>
        <v>70555428</v>
      </c>
      <c r="X279" s="12">
        <f t="shared" si="172"/>
        <v>36.11000061</v>
      </c>
      <c r="Y279" s="11">
        <f t="shared" si="172"/>
        <v>0.55999994299999978</v>
      </c>
      <c r="Z279" s="7">
        <f t="shared" si="183"/>
        <v>33399080</v>
      </c>
      <c r="AA279" s="7">
        <f t="shared" si="183"/>
        <v>8.4499969499999992</v>
      </c>
      <c r="AB279" s="7">
        <f t="shared" si="183"/>
        <v>9.9999899999998476E-3</v>
      </c>
    </row>
    <row r="280" spans="1:28" x14ac:dyDescent="0.25">
      <c r="A280" s="2">
        <v>276</v>
      </c>
      <c r="B280">
        <v>3</v>
      </c>
      <c r="C280">
        <v>3</v>
      </c>
      <c r="D280">
        <v>0</v>
      </c>
      <c r="E280">
        <v>2</v>
      </c>
      <c r="G280">
        <v>131957944</v>
      </c>
      <c r="H280">
        <v>75.940002440000001</v>
      </c>
      <c r="I280">
        <v>3.4400000569999998</v>
      </c>
      <c r="J280" s="9">
        <f t="shared" si="155"/>
        <v>453664</v>
      </c>
      <c r="K280" s="52"/>
      <c r="L280" s="9">
        <f t="shared" si="188"/>
        <v>1.089996339999999</v>
      </c>
      <c r="M280" s="9">
        <f t="shared" si="188"/>
        <v>0</v>
      </c>
      <c r="N280" s="29">
        <f t="shared" si="173"/>
        <v>1379205960</v>
      </c>
      <c r="O280" s="30">
        <f t="shared" si="174"/>
        <v>0.30422598024151853</v>
      </c>
      <c r="P280" s="30">
        <f t="shared" si="175"/>
        <v>1.0140866008050617</v>
      </c>
      <c r="Q280" s="29">
        <f t="shared" si="176"/>
        <v>291.89999386</v>
      </c>
      <c r="R280" s="30">
        <f t="shared" si="177"/>
        <v>0.2645171784799013</v>
      </c>
      <c r="S280" s="30">
        <f t="shared" si="178"/>
        <v>0.88172392826633761</v>
      </c>
      <c r="T280" s="37">
        <f t="shared" si="179"/>
        <v>0.29999995199999985</v>
      </c>
      <c r="U280" s="30">
        <f t="shared" si="180"/>
        <v>3.1847127597468647E-2</v>
      </c>
      <c r="V280" s="38">
        <f t="shared" si="181"/>
        <v>9.0619096170320348E-4</v>
      </c>
      <c r="W280" s="9">
        <f t="shared" si="172"/>
        <v>71058812</v>
      </c>
      <c r="X280" s="12">
        <f t="shared" si="172"/>
        <v>35.560001370000002</v>
      </c>
      <c r="Y280" s="11">
        <f t="shared" si="172"/>
        <v>0.55999994299999978</v>
      </c>
      <c r="Z280" s="7">
        <f t="shared" si="183"/>
        <v>33404736</v>
      </c>
      <c r="AA280" s="7">
        <f t="shared" si="183"/>
        <v>8.3400039699999979</v>
      </c>
      <c r="AB280" s="7">
        <f t="shared" si="183"/>
        <v>9.9999899999998476E-3</v>
      </c>
    </row>
    <row r="281" spans="1:28" x14ac:dyDescent="0.25">
      <c r="A281" s="2">
        <v>277</v>
      </c>
      <c r="B281">
        <v>3</v>
      </c>
      <c r="C281">
        <v>3</v>
      </c>
      <c r="D281">
        <v>0</v>
      </c>
      <c r="E281">
        <v>3</v>
      </c>
      <c r="G281">
        <v>129714672</v>
      </c>
      <c r="H281">
        <v>77.290000919999997</v>
      </c>
      <c r="I281">
        <v>3.4400000569999998</v>
      </c>
      <c r="J281" s="9">
        <f t="shared" si="155"/>
        <v>2243272</v>
      </c>
      <c r="K281" s="52"/>
      <c r="L281" s="9">
        <f t="shared" si="188"/>
        <v>1.3499984799999964</v>
      </c>
      <c r="M281" s="9">
        <f t="shared" si="188"/>
        <v>0</v>
      </c>
      <c r="N281" s="29">
        <f t="shared" si="173"/>
        <v>1354877712</v>
      </c>
      <c r="O281" s="30">
        <f t="shared" si="174"/>
        <v>0.30420868978403703</v>
      </c>
      <c r="P281" s="30">
        <f t="shared" si="175"/>
        <v>1.01402896594679</v>
      </c>
      <c r="Q281" s="29">
        <f t="shared" si="176"/>
        <v>315.82999417999997</v>
      </c>
      <c r="R281" s="30">
        <f t="shared" si="177"/>
        <v>0.26779778703417739</v>
      </c>
      <c r="S281" s="30">
        <f t="shared" si="178"/>
        <v>0.89265929011392464</v>
      </c>
      <c r="T281" s="37">
        <f t="shared" si="179"/>
        <v>0.29999995199999985</v>
      </c>
      <c r="U281" s="30">
        <f t="shared" si="180"/>
        <v>3.1847127597468647E-2</v>
      </c>
      <c r="V281" s="38">
        <f t="shared" si="181"/>
        <v>8.4791738948614939E-4</v>
      </c>
      <c r="W281" s="9">
        <f t="shared" si="172"/>
        <v>67459708</v>
      </c>
      <c r="X281" s="12">
        <f t="shared" si="172"/>
        <v>35.36000061</v>
      </c>
      <c r="Y281" s="11">
        <f t="shared" si="172"/>
        <v>0.55999994299999978</v>
      </c>
      <c r="Z281" s="7">
        <f t="shared" si="183"/>
        <v>32629936</v>
      </c>
      <c r="AA281" s="7">
        <f t="shared" si="183"/>
        <v>8.5200042799999949</v>
      </c>
      <c r="AB281" s="7">
        <f t="shared" si="183"/>
        <v>9.9999899999998476E-3</v>
      </c>
    </row>
    <row r="282" spans="1:28" x14ac:dyDescent="0.25">
      <c r="A282" s="2">
        <v>278</v>
      </c>
      <c r="B282">
        <v>3</v>
      </c>
      <c r="C282">
        <v>3</v>
      </c>
      <c r="D282">
        <v>0</v>
      </c>
      <c r="E282">
        <v>4</v>
      </c>
      <c r="G282">
        <v>119283904</v>
      </c>
      <c r="H282">
        <v>74.790000919999997</v>
      </c>
      <c r="I282">
        <v>3.4400000569999998</v>
      </c>
      <c r="J282" s="9">
        <f t="shared" si="155"/>
        <v>10430768</v>
      </c>
      <c r="K282" s="52"/>
      <c r="L282" s="9">
        <f t="shared" si="188"/>
        <v>2.5</v>
      </c>
      <c r="M282" s="9">
        <f t="shared" si="188"/>
        <v>0</v>
      </c>
      <c r="N282" s="29">
        <f t="shared" si="173"/>
        <v>1253088192</v>
      </c>
      <c r="O282" s="30">
        <f t="shared" si="174"/>
        <v>0.3043606505971978</v>
      </c>
      <c r="P282" s="30">
        <f t="shared" si="175"/>
        <v>1.0145355019906594</v>
      </c>
      <c r="Q282" s="29">
        <f t="shared" si="176"/>
        <v>306.35999298000002</v>
      </c>
      <c r="R282" s="30">
        <f t="shared" si="177"/>
        <v>0.26792601152918449</v>
      </c>
      <c r="S282" s="30">
        <f t="shared" si="178"/>
        <v>0.89308670509728161</v>
      </c>
      <c r="T282" s="37">
        <f t="shared" si="179"/>
        <v>0.29999995199999985</v>
      </c>
      <c r="U282" s="30">
        <f t="shared" si="180"/>
        <v>3.1847127597468647E-2</v>
      </c>
      <c r="V282" s="38">
        <f t="shared" si="181"/>
        <v>8.7454620316078087E-4</v>
      </c>
      <c r="W282" s="9">
        <f t="shared" ref="W282:Y297" si="189">ABS(G282-G261)</f>
        <v>61383576</v>
      </c>
      <c r="X282" s="12">
        <f t="shared" si="189"/>
        <v>34.080001839999994</v>
      </c>
      <c r="Y282" s="11">
        <f t="shared" si="189"/>
        <v>0.55999994299999978</v>
      </c>
      <c r="Z282" s="7">
        <f t="shared" si="183"/>
        <v>30097648</v>
      </c>
      <c r="AA282" s="7">
        <f t="shared" si="183"/>
        <v>8.3199996999999968</v>
      </c>
      <c r="AB282" s="7">
        <f t="shared" si="183"/>
        <v>9.9999899999998476E-3</v>
      </c>
    </row>
    <row r="283" spans="1:28" x14ac:dyDescent="0.25">
      <c r="A283" s="2">
        <v>279</v>
      </c>
      <c r="B283">
        <v>3</v>
      </c>
      <c r="C283">
        <v>3</v>
      </c>
      <c r="D283">
        <v>0</v>
      </c>
      <c r="E283">
        <v>5</v>
      </c>
      <c r="G283">
        <v>108953520</v>
      </c>
      <c r="H283">
        <v>69.339996339999999</v>
      </c>
      <c r="I283">
        <v>3.4400000569999998</v>
      </c>
      <c r="J283" s="9">
        <f t="shared" si="155"/>
        <v>10330384</v>
      </c>
      <c r="K283" s="52"/>
      <c r="L283" s="9">
        <f t="shared" si="188"/>
        <v>5.4500045799999981</v>
      </c>
      <c r="M283" s="9">
        <f t="shared" si="188"/>
        <v>0</v>
      </c>
      <c r="N283" s="29">
        <f t="shared" si="173"/>
        <v>1168419664</v>
      </c>
      <c r="O283" s="30">
        <f t="shared" si="174"/>
        <v>0.30490167338077873</v>
      </c>
      <c r="P283" s="30">
        <f t="shared" si="175"/>
        <v>1.0163389112692622</v>
      </c>
      <c r="Q283" s="29">
        <f t="shared" si="176"/>
        <v>296.47000126</v>
      </c>
      <c r="R283" s="30">
        <f t="shared" si="177"/>
        <v>0.27014935185394545</v>
      </c>
      <c r="S283" s="30">
        <f t="shared" si="178"/>
        <v>0.90049783951315154</v>
      </c>
      <c r="T283" s="37">
        <f t="shared" si="179"/>
        <v>0.29999995199999985</v>
      </c>
      <c r="U283" s="30">
        <f t="shared" si="180"/>
        <v>3.1847127597468647E-2</v>
      </c>
      <c r="V283" s="38">
        <f t="shared" si="181"/>
        <v>9.1121971019635095E-4</v>
      </c>
      <c r="W283" s="9">
        <f t="shared" si="189"/>
        <v>56396680</v>
      </c>
      <c r="X283" s="12">
        <f t="shared" si="189"/>
        <v>30.139995579999997</v>
      </c>
      <c r="Y283" s="11">
        <f t="shared" si="189"/>
        <v>0.55999994299999978</v>
      </c>
      <c r="Z283" s="7">
        <f t="shared" si="183"/>
        <v>27993760</v>
      </c>
      <c r="AA283" s="7">
        <f t="shared" si="183"/>
        <v>7.8299980199999979</v>
      </c>
      <c r="AB283" s="7">
        <f t="shared" si="183"/>
        <v>9.9999899999998476E-3</v>
      </c>
    </row>
    <row r="284" spans="1:28" x14ac:dyDescent="0.25">
      <c r="A284" s="2">
        <v>280</v>
      </c>
      <c r="B284">
        <v>3</v>
      </c>
      <c r="C284">
        <v>3</v>
      </c>
      <c r="D284">
        <v>0</v>
      </c>
      <c r="E284">
        <v>6</v>
      </c>
      <c r="G284">
        <v>87375104</v>
      </c>
      <c r="H284">
        <v>61.259998320000001</v>
      </c>
      <c r="I284">
        <v>3.4400000569999998</v>
      </c>
      <c r="J284" s="9">
        <f t="shared" si="155"/>
        <v>21578416</v>
      </c>
      <c r="K284" s="52">
        <f t="shared" ref="K284" si="190">AVERAGE(J279:J284)</f>
        <v>7573146.666666667</v>
      </c>
      <c r="L284" s="9">
        <f t="shared" si="188"/>
        <v>8.0799980199999979</v>
      </c>
      <c r="M284" s="9">
        <f t="shared" si="188"/>
        <v>0</v>
      </c>
      <c r="N284" s="29">
        <f t="shared" si="173"/>
        <v>970623936</v>
      </c>
      <c r="O284" s="30">
        <f t="shared" si="174"/>
        <v>0.30580492020106181</v>
      </c>
      <c r="P284" s="30">
        <f t="shared" si="175"/>
        <v>1.0193497340035393</v>
      </c>
      <c r="Q284" s="29">
        <f t="shared" si="176"/>
        <v>265.40000537999998</v>
      </c>
      <c r="R284" s="30">
        <f t="shared" si="177"/>
        <v>0.27082185592958774</v>
      </c>
      <c r="S284" s="30">
        <f t="shared" si="178"/>
        <v>0.90273951976529243</v>
      </c>
      <c r="T284" s="37">
        <f t="shared" si="179"/>
        <v>0.29999995199999985</v>
      </c>
      <c r="U284" s="30">
        <f t="shared" si="180"/>
        <v>3.1847127597468647E-2</v>
      </c>
      <c r="V284" s="38">
        <f t="shared" si="181"/>
        <v>1.0204288135199082E-3</v>
      </c>
      <c r="W284" s="9">
        <f t="shared" si="189"/>
        <v>45441568</v>
      </c>
      <c r="X284" s="12">
        <f t="shared" si="189"/>
        <v>25.849998470000003</v>
      </c>
      <c r="Y284" s="11">
        <f t="shared" si="189"/>
        <v>0.55999994299999978</v>
      </c>
      <c r="Z284" s="7">
        <f t="shared" si="183"/>
        <v>23063508</v>
      </c>
      <c r="AA284" s="7">
        <f t="shared" si="183"/>
        <v>7.1899986299999981</v>
      </c>
      <c r="AB284" s="7">
        <f t="shared" si="183"/>
        <v>9.9999899999998476E-3</v>
      </c>
    </row>
    <row r="285" spans="1:28" x14ac:dyDescent="0.25">
      <c r="A285" s="2">
        <v>281</v>
      </c>
      <c r="B285">
        <v>3</v>
      </c>
      <c r="C285">
        <v>3</v>
      </c>
      <c r="D285">
        <v>1</v>
      </c>
      <c r="E285">
        <v>0</v>
      </c>
      <c r="G285">
        <v>702602240</v>
      </c>
      <c r="H285">
        <v>317.14999390000003</v>
      </c>
      <c r="I285">
        <v>3.579999924</v>
      </c>
      <c r="K285" s="52"/>
      <c r="N285" s="29">
        <f t="shared" si="173"/>
        <v>570593008</v>
      </c>
      <c r="O285" s="30">
        <f t="shared" si="174"/>
        <v>1.4407906663174386</v>
      </c>
      <c r="P285" s="30">
        <f t="shared" si="175"/>
        <v>1.4407906663174386</v>
      </c>
      <c r="Q285" s="29">
        <f t="shared" si="176"/>
        <v>241.53999329000004</v>
      </c>
      <c r="R285" s="30">
        <f t="shared" si="177"/>
        <v>1.0648502902672663</v>
      </c>
      <c r="S285" s="30">
        <f t="shared" si="178"/>
        <v>1.0648502902672663</v>
      </c>
      <c r="T285" s="37">
        <f t="shared" si="179"/>
        <v>0.13999986700000022</v>
      </c>
      <c r="U285" s="30">
        <f t="shared" si="180"/>
        <v>1.3565878360487891E-2</v>
      </c>
      <c r="V285" s="38">
        <f t="shared" si="181"/>
        <v>6.1720171877847321E-4</v>
      </c>
      <c r="W285" s="9">
        <f t="shared" si="189"/>
        <v>290050016</v>
      </c>
      <c r="X285" s="12">
        <f t="shared" si="189"/>
        <v>184.55999760000003</v>
      </c>
      <c r="Y285" s="11">
        <f t="shared" si="189"/>
        <v>0.60999989500000007</v>
      </c>
      <c r="Z285" s="7">
        <f t="shared" si="183"/>
        <v>158443968</v>
      </c>
      <c r="AA285" s="7">
        <f t="shared" si="183"/>
        <v>35.410003700000004</v>
      </c>
      <c r="AB285" s="7">
        <f t="shared" si="183"/>
        <v>9.9999909999999304E-3</v>
      </c>
    </row>
    <row r="286" spans="1:28" x14ac:dyDescent="0.25">
      <c r="A286" s="2">
        <v>282</v>
      </c>
      <c r="B286">
        <v>3</v>
      </c>
      <c r="C286">
        <v>3</v>
      </c>
      <c r="D286">
        <v>1</v>
      </c>
      <c r="E286">
        <v>1</v>
      </c>
      <c r="G286">
        <v>701162496</v>
      </c>
      <c r="H286">
        <v>323.4100037</v>
      </c>
      <c r="I286">
        <v>3.579999924</v>
      </c>
      <c r="J286" s="9">
        <f t="shared" ref="J286" si="191">ABS(G286-G285)</f>
        <v>1439744</v>
      </c>
      <c r="K286" s="52"/>
      <c r="L286" s="9">
        <f t="shared" ref="L286:M291" si="192">ABS(H286-H285)</f>
        <v>6.2600097999999775</v>
      </c>
      <c r="M286" s="9">
        <f t="shared" si="192"/>
        <v>0</v>
      </c>
      <c r="N286" s="29">
        <f t="shared" si="173"/>
        <v>568750888</v>
      </c>
      <c r="O286" s="30">
        <f t="shared" si="174"/>
        <v>1.4317749946313871</v>
      </c>
      <c r="P286" s="30">
        <f t="shared" si="175"/>
        <v>1.4317749946313871</v>
      </c>
      <c r="Q286" s="29">
        <f t="shared" si="176"/>
        <v>246.38000492</v>
      </c>
      <c r="R286" s="30">
        <f t="shared" si="177"/>
        <v>1.0661647359131201</v>
      </c>
      <c r="S286" s="30">
        <f t="shared" si="178"/>
        <v>1.0661647359131201</v>
      </c>
      <c r="T286" s="37">
        <f t="shared" si="179"/>
        <v>0.13999986700000022</v>
      </c>
      <c r="U286" s="30">
        <f t="shared" si="180"/>
        <v>1.3565878360487891E-2</v>
      </c>
      <c r="V286" s="38">
        <f t="shared" si="181"/>
        <v>6.0582400457534328E-4</v>
      </c>
      <c r="W286" s="9">
        <f t="shared" si="189"/>
        <v>284181184</v>
      </c>
      <c r="X286" s="12">
        <f t="shared" si="189"/>
        <v>184.9900055</v>
      </c>
      <c r="Y286" s="11">
        <f t="shared" si="189"/>
        <v>0.60999989500000007</v>
      </c>
      <c r="Z286" s="7">
        <f t="shared" ref="Z286:AB301" si="193">ABS(G286-G181)</f>
        <v>157653824</v>
      </c>
      <c r="AA286" s="7">
        <f t="shared" si="193"/>
        <v>35.920013499999982</v>
      </c>
      <c r="AB286" s="7">
        <f t="shared" si="193"/>
        <v>9.9999909999999304E-3</v>
      </c>
    </row>
    <row r="287" spans="1:28" x14ac:dyDescent="0.25">
      <c r="A287" s="2">
        <v>283</v>
      </c>
      <c r="B287">
        <v>3</v>
      </c>
      <c r="C287">
        <v>3</v>
      </c>
      <c r="D287">
        <v>1</v>
      </c>
      <c r="E287">
        <v>2</v>
      </c>
      <c r="G287">
        <v>701496832</v>
      </c>
      <c r="H287">
        <v>318.23999020000002</v>
      </c>
      <c r="I287">
        <v>3.579999924</v>
      </c>
      <c r="J287" s="9">
        <f t="shared" si="151"/>
        <v>334336</v>
      </c>
      <c r="K287" s="52"/>
      <c r="L287" s="9">
        <f t="shared" si="192"/>
        <v>5.1700134999999818</v>
      </c>
      <c r="M287" s="9">
        <f t="shared" si="192"/>
        <v>0</v>
      </c>
      <c r="N287" s="29">
        <f t="shared" si="173"/>
        <v>569538888</v>
      </c>
      <c r="O287" s="30">
        <f t="shared" si="174"/>
        <v>1.4386878898325364</v>
      </c>
      <c r="P287" s="30">
        <f t="shared" si="175"/>
        <v>1.4386878898325364</v>
      </c>
      <c r="Q287" s="29">
        <f t="shared" si="176"/>
        <v>242.29998776000002</v>
      </c>
      <c r="R287" s="30">
        <f t="shared" si="177"/>
        <v>1.0635588621488419</v>
      </c>
      <c r="S287" s="30">
        <f t="shared" si="178"/>
        <v>1.0635588621488419</v>
      </c>
      <c r="T287" s="37">
        <f t="shared" si="179"/>
        <v>0.13999986700000022</v>
      </c>
      <c r="U287" s="30">
        <f t="shared" si="180"/>
        <v>1.3565878360487891E-2</v>
      </c>
      <c r="V287" s="38">
        <f t="shared" si="181"/>
        <v>6.1451963173433639E-4</v>
      </c>
      <c r="W287" s="9">
        <f t="shared" si="189"/>
        <v>287365888</v>
      </c>
      <c r="X287" s="12">
        <f t="shared" si="189"/>
        <v>182.45999140000004</v>
      </c>
      <c r="Y287" s="11">
        <f t="shared" si="189"/>
        <v>0.60999989500000007</v>
      </c>
      <c r="Z287" s="7">
        <f t="shared" si="193"/>
        <v>158100288</v>
      </c>
      <c r="AA287" s="7">
        <f t="shared" si="193"/>
        <v>35.459991400000035</v>
      </c>
      <c r="AB287" s="7">
        <f t="shared" si="193"/>
        <v>9.9999909999999304E-3</v>
      </c>
    </row>
    <row r="288" spans="1:28" x14ac:dyDescent="0.25">
      <c r="A288" s="2">
        <v>284</v>
      </c>
      <c r="B288">
        <v>3</v>
      </c>
      <c r="C288">
        <v>3</v>
      </c>
      <c r="D288">
        <v>1</v>
      </c>
      <c r="E288">
        <v>3</v>
      </c>
      <c r="G288">
        <v>684662464</v>
      </c>
      <c r="H288">
        <v>323.23999020000002</v>
      </c>
      <c r="I288">
        <v>3.579999924</v>
      </c>
      <c r="J288" s="9">
        <f t="shared" si="151"/>
        <v>16834368</v>
      </c>
      <c r="K288" s="52"/>
      <c r="L288" s="9">
        <f t="shared" si="192"/>
        <v>5</v>
      </c>
      <c r="M288" s="9">
        <f t="shared" si="192"/>
        <v>0</v>
      </c>
      <c r="N288" s="29">
        <f t="shared" si="173"/>
        <v>554947792</v>
      </c>
      <c r="O288" s="30">
        <f t="shared" si="174"/>
        <v>1.4260730454094919</v>
      </c>
      <c r="P288" s="30">
        <f t="shared" si="175"/>
        <v>1.4260730454094919</v>
      </c>
      <c r="Q288" s="29">
        <f t="shared" si="176"/>
        <v>245.94998928000001</v>
      </c>
      <c r="R288" s="30">
        <f t="shared" si="177"/>
        <v>1.0607236225143521</v>
      </c>
      <c r="S288" s="30">
        <f t="shared" si="178"/>
        <v>1.0607236225143521</v>
      </c>
      <c r="T288" s="37">
        <f t="shared" si="179"/>
        <v>0.13999986700000022</v>
      </c>
      <c r="U288" s="30">
        <f t="shared" si="180"/>
        <v>1.3565878360487891E-2</v>
      </c>
      <c r="V288" s="38">
        <f t="shared" si="181"/>
        <v>6.0378602377862938E-4</v>
      </c>
      <c r="W288" s="9">
        <f t="shared" si="189"/>
        <v>270875232</v>
      </c>
      <c r="X288" s="12">
        <f t="shared" si="189"/>
        <v>178.59999080000003</v>
      </c>
      <c r="Y288" s="11">
        <f t="shared" si="189"/>
        <v>0.60999989500000007</v>
      </c>
      <c r="Z288" s="7">
        <f t="shared" si="193"/>
        <v>153363584</v>
      </c>
      <c r="AA288" s="7">
        <f t="shared" si="193"/>
        <v>35.709991400000035</v>
      </c>
      <c r="AB288" s="7">
        <f t="shared" si="193"/>
        <v>9.9999909999999304E-3</v>
      </c>
    </row>
    <row r="289" spans="1:28" x14ac:dyDescent="0.25">
      <c r="A289" s="2">
        <v>285</v>
      </c>
      <c r="B289">
        <v>3</v>
      </c>
      <c r="C289">
        <v>3</v>
      </c>
      <c r="D289">
        <v>1</v>
      </c>
      <c r="E289">
        <v>4</v>
      </c>
      <c r="G289">
        <v>630130112</v>
      </c>
      <c r="H289">
        <v>311.92001340000002</v>
      </c>
      <c r="I289">
        <v>3.579999924</v>
      </c>
      <c r="J289" s="9">
        <f t="shared" si="151"/>
        <v>54532352</v>
      </c>
      <c r="K289" s="52"/>
      <c r="L289" s="9">
        <f t="shared" si="192"/>
        <v>11.319976800000006</v>
      </c>
      <c r="M289" s="9">
        <f t="shared" si="192"/>
        <v>0</v>
      </c>
      <c r="N289" s="29">
        <f t="shared" si="173"/>
        <v>510846208</v>
      </c>
      <c r="O289" s="30">
        <f t="shared" si="174"/>
        <v>1.4275360180476095</v>
      </c>
      <c r="P289" s="30">
        <f t="shared" si="175"/>
        <v>1.4275360180476095</v>
      </c>
      <c r="Q289" s="29">
        <f t="shared" si="176"/>
        <v>237.13001248</v>
      </c>
      <c r="R289" s="30">
        <f t="shared" si="177"/>
        <v>1.0568703907074821</v>
      </c>
      <c r="S289" s="30">
        <f t="shared" si="178"/>
        <v>1.0568703907074821</v>
      </c>
      <c r="T289" s="37">
        <f t="shared" si="179"/>
        <v>0.13999986700000022</v>
      </c>
      <c r="U289" s="30">
        <f t="shared" si="180"/>
        <v>1.3565878360487891E-2</v>
      </c>
      <c r="V289" s="38">
        <f t="shared" si="181"/>
        <v>6.2396873591766516E-4</v>
      </c>
      <c r="W289" s="9">
        <f t="shared" si="189"/>
        <v>244054944</v>
      </c>
      <c r="X289" s="12">
        <f t="shared" si="189"/>
        <v>171.93000790000002</v>
      </c>
      <c r="Y289" s="11">
        <f t="shared" si="189"/>
        <v>0.60999989500000007</v>
      </c>
      <c r="Z289" s="7">
        <f t="shared" si="193"/>
        <v>140496832</v>
      </c>
      <c r="AA289" s="7">
        <f t="shared" si="193"/>
        <v>34.420013400000016</v>
      </c>
      <c r="AB289" s="7">
        <f t="shared" si="193"/>
        <v>9.9999909999999304E-3</v>
      </c>
    </row>
    <row r="290" spans="1:28" x14ac:dyDescent="0.25">
      <c r="A290" s="2">
        <v>286</v>
      </c>
      <c r="B290">
        <v>3</v>
      </c>
      <c r="C290">
        <v>3</v>
      </c>
      <c r="D290">
        <v>1</v>
      </c>
      <c r="E290">
        <v>5</v>
      </c>
      <c r="G290">
        <v>583954688</v>
      </c>
      <c r="H290">
        <v>282.82000729999999</v>
      </c>
      <c r="I290">
        <v>3.579999924</v>
      </c>
      <c r="J290" s="9">
        <f t="shared" si="151"/>
        <v>46175424</v>
      </c>
      <c r="K290" s="52"/>
      <c r="L290" s="9">
        <f t="shared" si="192"/>
        <v>29.10000610000003</v>
      </c>
      <c r="M290" s="9">
        <f t="shared" si="192"/>
        <v>0</v>
      </c>
      <c r="N290" s="29">
        <f t="shared" si="173"/>
        <v>475001168</v>
      </c>
      <c r="O290" s="30">
        <f t="shared" si="174"/>
        <v>1.4532226463786271</v>
      </c>
      <c r="P290" s="30">
        <f t="shared" si="175"/>
        <v>1.4532226463786271</v>
      </c>
      <c r="Q290" s="29">
        <f t="shared" si="176"/>
        <v>213.48001095999999</v>
      </c>
      <c r="R290" s="30">
        <f t="shared" si="177"/>
        <v>1.0262475830602751</v>
      </c>
      <c r="S290" s="30">
        <f t="shared" si="178"/>
        <v>1.0262475830602751</v>
      </c>
      <c r="T290" s="37">
        <f t="shared" si="179"/>
        <v>0.13999986700000022</v>
      </c>
      <c r="U290" s="30">
        <f t="shared" si="180"/>
        <v>1.3565878360487891E-2</v>
      </c>
      <c r="V290" s="38">
        <f t="shared" si="181"/>
        <v>6.7301160652662086E-4</v>
      </c>
      <c r="W290" s="9">
        <f t="shared" si="189"/>
        <v>226258880</v>
      </c>
      <c r="X290" s="12">
        <f t="shared" si="189"/>
        <v>147.3400116</v>
      </c>
      <c r="Y290" s="11">
        <f t="shared" si="189"/>
        <v>0.60999989500000007</v>
      </c>
      <c r="Z290" s="7">
        <f t="shared" si="193"/>
        <v>131193952</v>
      </c>
      <c r="AA290" s="7">
        <f t="shared" si="193"/>
        <v>31.120010399999984</v>
      </c>
      <c r="AB290" s="7">
        <f t="shared" si="193"/>
        <v>9.9999909999999304E-3</v>
      </c>
    </row>
    <row r="291" spans="1:28" x14ac:dyDescent="0.25">
      <c r="A291" s="2">
        <v>287</v>
      </c>
      <c r="B291">
        <v>3</v>
      </c>
      <c r="C291">
        <v>3</v>
      </c>
      <c r="D291">
        <v>1</v>
      </c>
      <c r="E291">
        <v>6</v>
      </c>
      <c r="G291">
        <v>478390944</v>
      </c>
      <c r="H291">
        <v>244.67999270000001</v>
      </c>
      <c r="I291">
        <v>3.579999924</v>
      </c>
      <c r="J291" s="9">
        <f t="shared" si="151"/>
        <v>105563744</v>
      </c>
      <c r="K291" s="52">
        <f t="shared" ref="K291" si="194">AVERAGE(J286:J291)</f>
        <v>37479994.666666664</v>
      </c>
      <c r="L291" s="9">
        <f t="shared" si="192"/>
        <v>38.140014599999972</v>
      </c>
      <c r="M291" s="9">
        <f t="shared" si="192"/>
        <v>0</v>
      </c>
      <c r="N291" s="29">
        <f t="shared" si="173"/>
        <v>391015840</v>
      </c>
      <c r="O291" s="30">
        <f t="shared" si="174"/>
        <v>1.4917133985137612</v>
      </c>
      <c r="P291" s="30">
        <f t="shared" si="175"/>
        <v>1.4917133985137612</v>
      </c>
      <c r="Q291" s="29">
        <f t="shared" si="176"/>
        <v>183.41999438000002</v>
      </c>
      <c r="R291" s="30">
        <f t="shared" si="177"/>
        <v>0.99804113293137087</v>
      </c>
      <c r="S291" s="30">
        <f t="shared" si="178"/>
        <v>0.99804113293137087</v>
      </c>
      <c r="T291" s="37">
        <f t="shared" si="179"/>
        <v>0.13999986700000022</v>
      </c>
      <c r="U291" s="30">
        <f t="shared" si="180"/>
        <v>1.3565878360487891E-2</v>
      </c>
      <c r="V291" s="38">
        <f t="shared" si="181"/>
        <v>7.6177968679600524E-4</v>
      </c>
      <c r="W291" s="9">
        <f t="shared" si="189"/>
        <v>181028160</v>
      </c>
      <c r="X291" s="12">
        <f t="shared" si="189"/>
        <v>123.18999480000001</v>
      </c>
      <c r="Y291" s="11">
        <f t="shared" si="189"/>
        <v>0.60999989500000007</v>
      </c>
      <c r="Z291" s="7">
        <f t="shared" si="193"/>
        <v>107620800</v>
      </c>
      <c r="AA291" s="7">
        <f t="shared" si="193"/>
        <v>26.869995100000011</v>
      </c>
      <c r="AB291" s="7">
        <f t="shared" si="193"/>
        <v>9.9999909999999304E-3</v>
      </c>
    </row>
    <row r="292" spans="1:28" x14ac:dyDescent="0.25">
      <c r="A292" s="2">
        <v>288</v>
      </c>
      <c r="B292">
        <v>3</v>
      </c>
      <c r="C292">
        <v>3</v>
      </c>
      <c r="D292">
        <v>2</v>
      </c>
      <c r="E292">
        <v>0</v>
      </c>
      <c r="G292">
        <v>2066699264</v>
      </c>
      <c r="H292">
        <v>-9999.9902340000008</v>
      </c>
      <c r="I292">
        <v>3.880000114</v>
      </c>
      <c r="K292" s="52"/>
      <c r="N292" s="29">
        <f t="shared" si="173"/>
        <v>1364097024</v>
      </c>
      <c r="O292" s="30">
        <f t="shared" si="174"/>
        <v>0.64716418780560681</v>
      </c>
      <c r="P292" s="30">
        <f t="shared" si="175"/>
        <v>1.2943283756112136</v>
      </c>
      <c r="Q292" s="29">
        <f t="shared" si="176"/>
        <v>10317.140227900001</v>
      </c>
      <c r="R292" s="30">
        <f t="shared" si="177"/>
        <v>10.843597063784566</v>
      </c>
      <c r="S292" s="30">
        <f t="shared" si="178"/>
        <v>21.687194127569132</v>
      </c>
      <c r="T292" s="37">
        <f t="shared" si="179"/>
        <v>0.30000019</v>
      </c>
      <c r="U292" s="30">
        <f t="shared" si="180"/>
        <v>2.7932979177720599E-2</v>
      </c>
      <c r="V292" s="38">
        <f t="shared" si="181"/>
        <v>6.3061683907750081E-4</v>
      </c>
      <c r="W292" s="9">
        <f t="shared" si="189"/>
        <v>555926656</v>
      </c>
      <c r="X292" s="12">
        <f t="shared" si="189"/>
        <v>10359.320220600001</v>
      </c>
      <c r="Y292" s="11">
        <f t="shared" si="189"/>
        <v>0.74000000900000007</v>
      </c>
      <c r="Z292" s="7">
        <f t="shared" si="193"/>
        <v>427504000</v>
      </c>
      <c r="AA292" s="7">
        <f t="shared" si="193"/>
        <v>0</v>
      </c>
      <c r="AB292" s="7">
        <f t="shared" si="193"/>
        <v>6.000018099999993E-2</v>
      </c>
    </row>
    <row r="293" spans="1:28" x14ac:dyDescent="0.25">
      <c r="A293" s="2">
        <v>289</v>
      </c>
      <c r="B293">
        <v>3</v>
      </c>
      <c r="C293">
        <v>3</v>
      </c>
      <c r="D293">
        <v>2</v>
      </c>
      <c r="E293">
        <v>1</v>
      </c>
      <c r="G293">
        <v>2055135744</v>
      </c>
      <c r="H293">
        <v>-9999.9902340000008</v>
      </c>
      <c r="I293">
        <v>3.880000114</v>
      </c>
      <c r="J293" s="9">
        <f t="shared" ref="J293" si="195">ABS(G293-G292)</f>
        <v>11563520</v>
      </c>
      <c r="K293" s="52"/>
      <c r="L293" s="9">
        <f t="shared" ref="L293:M298" si="196">ABS(H293-H292)</f>
        <v>0</v>
      </c>
      <c r="M293" s="9">
        <f t="shared" si="196"/>
        <v>0</v>
      </c>
      <c r="N293" s="29">
        <f t="shared" si="173"/>
        <v>1353973248</v>
      </c>
      <c r="O293" s="30">
        <f t="shared" si="174"/>
        <v>0.64368020048807628</v>
      </c>
      <c r="P293" s="30">
        <f t="shared" si="175"/>
        <v>1.2873604009761526</v>
      </c>
      <c r="Q293" s="29">
        <f t="shared" si="176"/>
        <v>10323.400237700002</v>
      </c>
      <c r="R293" s="30">
        <f t="shared" si="177"/>
        <v>10.640157611694393</v>
      </c>
      <c r="S293" s="30">
        <f t="shared" si="178"/>
        <v>21.280315223388786</v>
      </c>
      <c r="T293" s="37">
        <f t="shared" si="179"/>
        <v>0.30000019</v>
      </c>
      <c r="U293" s="30">
        <f t="shared" si="180"/>
        <v>2.7932979177720599E-2</v>
      </c>
      <c r="V293" s="38">
        <f t="shared" si="181"/>
        <v>6.1841045230063381E-4</v>
      </c>
      <c r="W293" s="9">
        <f t="shared" si="189"/>
        <v>541945728</v>
      </c>
      <c r="X293" s="12">
        <f t="shared" si="189"/>
        <v>10376.0502316</v>
      </c>
      <c r="Y293" s="11">
        <f t="shared" si="189"/>
        <v>0.74000000900000007</v>
      </c>
      <c r="Z293" s="7">
        <f t="shared" si="193"/>
        <v>424138752</v>
      </c>
      <c r="AA293" s="7">
        <f t="shared" si="193"/>
        <v>0</v>
      </c>
      <c r="AB293" s="7">
        <f t="shared" si="193"/>
        <v>6.000018099999993E-2</v>
      </c>
    </row>
    <row r="294" spans="1:28" x14ac:dyDescent="0.25">
      <c r="A294" s="2">
        <v>290</v>
      </c>
      <c r="B294">
        <v>3</v>
      </c>
      <c r="C294">
        <v>3</v>
      </c>
      <c r="D294">
        <v>2</v>
      </c>
      <c r="E294">
        <v>2</v>
      </c>
      <c r="G294">
        <v>2062000384</v>
      </c>
      <c r="H294">
        <v>-9999.9902340000008</v>
      </c>
      <c r="I294">
        <v>3.880000114</v>
      </c>
      <c r="J294" s="9">
        <f t="shared" si="155"/>
        <v>6864640</v>
      </c>
      <c r="K294" s="52"/>
      <c r="L294" s="9">
        <f t="shared" si="196"/>
        <v>0</v>
      </c>
      <c r="M294" s="9">
        <f t="shared" si="196"/>
        <v>0</v>
      </c>
      <c r="N294" s="29">
        <f t="shared" si="173"/>
        <v>1360503552</v>
      </c>
      <c r="O294" s="30">
        <f t="shared" si="174"/>
        <v>0.64647645336764692</v>
      </c>
      <c r="P294" s="30">
        <f t="shared" si="175"/>
        <v>1.2929529067352938</v>
      </c>
      <c r="Q294" s="29">
        <f t="shared" si="176"/>
        <v>10318.230224200001</v>
      </c>
      <c r="R294" s="30">
        <f t="shared" si="177"/>
        <v>10.807598606862115</v>
      </c>
      <c r="S294" s="30">
        <f t="shared" si="178"/>
        <v>21.61519721372423</v>
      </c>
      <c r="T294" s="37">
        <f t="shared" si="179"/>
        <v>0.30000019</v>
      </c>
      <c r="U294" s="30">
        <f t="shared" si="180"/>
        <v>2.7932979177720599E-2</v>
      </c>
      <c r="V294" s="38">
        <f t="shared" si="181"/>
        <v>6.2845692818484333E-4</v>
      </c>
      <c r="W294" s="9">
        <f t="shared" si="189"/>
        <v>550836480</v>
      </c>
      <c r="X294" s="12">
        <f t="shared" si="189"/>
        <v>10367.8302303</v>
      </c>
      <c r="Y294" s="11">
        <f t="shared" si="189"/>
        <v>0.74000000900000007</v>
      </c>
      <c r="Z294" s="7">
        <f t="shared" si="193"/>
        <v>426279808</v>
      </c>
      <c r="AA294" s="7">
        <f t="shared" si="193"/>
        <v>0</v>
      </c>
      <c r="AB294" s="7">
        <f t="shared" si="193"/>
        <v>6.000018099999993E-2</v>
      </c>
    </row>
    <row r="295" spans="1:28" x14ac:dyDescent="0.25">
      <c r="A295" s="2">
        <v>291</v>
      </c>
      <c r="B295">
        <v>3</v>
      </c>
      <c r="C295">
        <v>3</v>
      </c>
      <c r="D295">
        <v>2</v>
      </c>
      <c r="E295">
        <v>3</v>
      </c>
      <c r="G295">
        <v>2000547328</v>
      </c>
      <c r="H295">
        <v>-9999.9902340000008</v>
      </c>
      <c r="I295">
        <v>3.880000114</v>
      </c>
      <c r="J295" s="9">
        <f t="shared" si="155"/>
        <v>61453056</v>
      </c>
      <c r="K295" s="52"/>
      <c r="L295" s="9">
        <f t="shared" si="196"/>
        <v>0</v>
      </c>
      <c r="M295" s="9">
        <f t="shared" si="196"/>
        <v>0</v>
      </c>
      <c r="N295" s="29">
        <f t="shared" si="173"/>
        <v>1315884864</v>
      </c>
      <c r="O295" s="30">
        <f t="shared" si="174"/>
        <v>0.64064894902723923</v>
      </c>
      <c r="P295" s="30">
        <f t="shared" si="175"/>
        <v>1.2812978980544785</v>
      </c>
      <c r="Q295" s="29">
        <f t="shared" si="176"/>
        <v>10323.230224200001</v>
      </c>
      <c r="R295" s="30">
        <f t="shared" si="177"/>
        <v>10.645578658973738</v>
      </c>
      <c r="S295" s="30">
        <f t="shared" si="178"/>
        <v>21.291157317947476</v>
      </c>
      <c r="T295" s="37">
        <f t="shared" si="179"/>
        <v>0.30000019</v>
      </c>
      <c r="U295" s="30">
        <f t="shared" si="180"/>
        <v>2.7932979177720599E-2</v>
      </c>
      <c r="V295" s="38">
        <f t="shared" si="181"/>
        <v>6.1873571566104651E-4</v>
      </c>
      <c r="W295" s="9">
        <f t="shared" si="189"/>
        <v>515954944</v>
      </c>
      <c r="X295" s="12">
        <f t="shared" si="189"/>
        <v>10393.110229100001</v>
      </c>
      <c r="Y295" s="11">
        <f t="shared" si="189"/>
        <v>0.74000000900000007</v>
      </c>
      <c r="Z295" s="7">
        <f t="shared" si="193"/>
        <v>412183936</v>
      </c>
      <c r="AA295" s="7">
        <f t="shared" si="193"/>
        <v>0</v>
      </c>
      <c r="AB295" s="7">
        <f t="shared" si="193"/>
        <v>5.000019E-2</v>
      </c>
    </row>
    <row r="296" spans="1:28" x14ac:dyDescent="0.25">
      <c r="A296" s="2">
        <v>292</v>
      </c>
      <c r="B296">
        <v>3</v>
      </c>
      <c r="C296">
        <v>3</v>
      </c>
      <c r="D296">
        <v>2</v>
      </c>
      <c r="E296">
        <v>4</v>
      </c>
      <c r="G296">
        <v>1831280512</v>
      </c>
      <c r="H296">
        <v>-9999.9902340000008</v>
      </c>
      <c r="I296">
        <v>3.880000114</v>
      </c>
      <c r="J296" s="9">
        <f t="shared" si="155"/>
        <v>169266816</v>
      </c>
      <c r="K296" s="52"/>
      <c r="L296" s="9">
        <f t="shared" si="196"/>
        <v>0</v>
      </c>
      <c r="M296" s="9">
        <f t="shared" si="196"/>
        <v>0</v>
      </c>
      <c r="N296" s="29">
        <f t="shared" si="173"/>
        <v>1201150400</v>
      </c>
      <c r="O296" s="30">
        <f t="shared" si="174"/>
        <v>0.63539808531903119</v>
      </c>
      <c r="P296" s="30">
        <f t="shared" si="175"/>
        <v>1.2707961706380624</v>
      </c>
      <c r="Q296" s="29">
        <f t="shared" si="176"/>
        <v>10311.910247400001</v>
      </c>
      <c r="R296" s="30">
        <f t="shared" si="177"/>
        <v>11.019823249981947</v>
      </c>
      <c r="S296" s="30">
        <f t="shared" si="178"/>
        <v>22.039646499963894</v>
      </c>
      <c r="T296" s="37">
        <f t="shared" si="179"/>
        <v>0.30000019</v>
      </c>
      <c r="U296" s="30">
        <f t="shared" si="180"/>
        <v>2.7932979177720599E-2</v>
      </c>
      <c r="V296" s="38">
        <f t="shared" si="181"/>
        <v>6.4119042727210477E-4</v>
      </c>
      <c r="W296" s="9">
        <f t="shared" si="189"/>
        <v>458908416</v>
      </c>
      <c r="X296" s="12">
        <f t="shared" si="189"/>
        <v>10381.140227900001</v>
      </c>
      <c r="Y296" s="11">
        <f t="shared" si="189"/>
        <v>0.74000000900000007</v>
      </c>
      <c r="Z296" s="7">
        <f t="shared" si="193"/>
        <v>375679744</v>
      </c>
      <c r="AA296" s="7">
        <f t="shared" si="193"/>
        <v>0</v>
      </c>
      <c r="AB296" s="7">
        <f t="shared" si="193"/>
        <v>5.000019E-2</v>
      </c>
    </row>
    <row r="297" spans="1:28" x14ac:dyDescent="0.25">
      <c r="A297" s="2">
        <v>293</v>
      </c>
      <c r="B297">
        <v>3</v>
      </c>
      <c r="C297">
        <v>3</v>
      </c>
      <c r="D297">
        <v>2</v>
      </c>
      <c r="E297">
        <v>5</v>
      </c>
      <c r="G297">
        <v>1708411520</v>
      </c>
      <c r="H297">
        <v>-9999.9902340000008</v>
      </c>
      <c r="I297">
        <v>3.880000114</v>
      </c>
      <c r="J297" s="9">
        <f t="shared" si="155"/>
        <v>122868992</v>
      </c>
      <c r="K297" s="52"/>
      <c r="L297" s="9">
        <f t="shared" si="196"/>
        <v>0</v>
      </c>
      <c r="M297" s="9">
        <f t="shared" si="196"/>
        <v>0</v>
      </c>
      <c r="N297" s="29">
        <f t="shared" si="173"/>
        <v>1124456832</v>
      </c>
      <c r="O297" s="30">
        <f t="shared" si="174"/>
        <v>0.64186306181345365</v>
      </c>
      <c r="P297" s="30">
        <f t="shared" si="175"/>
        <v>1.2837261236269073</v>
      </c>
      <c r="Q297" s="29">
        <f t="shared" si="176"/>
        <v>10282.810241300002</v>
      </c>
      <c r="R297" s="30">
        <f t="shared" si="177"/>
        <v>12.119380967736321</v>
      </c>
      <c r="S297" s="30">
        <f t="shared" si="178"/>
        <v>24.238761935472642</v>
      </c>
      <c r="T297" s="37">
        <f t="shared" si="179"/>
        <v>0.30000019</v>
      </c>
      <c r="U297" s="30">
        <f t="shared" si="180"/>
        <v>2.7932979177720599E-2</v>
      </c>
      <c r="V297" s="38">
        <f t="shared" si="181"/>
        <v>7.0716399655034823E-4</v>
      </c>
      <c r="W297" s="9">
        <f t="shared" si="189"/>
        <v>431038336</v>
      </c>
      <c r="X297" s="12">
        <f t="shared" si="189"/>
        <v>10365.8002316</v>
      </c>
      <c r="Y297" s="11">
        <f t="shared" si="189"/>
        <v>0.74000000900000007</v>
      </c>
      <c r="Z297" s="7">
        <f t="shared" si="193"/>
        <v>351854336</v>
      </c>
      <c r="AA297" s="7">
        <f t="shared" si="193"/>
        <v>10836.600219400001</v>
      </c>
      <c r="AB297" s="7">
        <f t="shared" si="193"/>
        <v>5.000019E-2</v>
      </c>
    </row>
    <row r="298" spans="1:28" x14ac:dyDescent="0.25">
      <c r="A298" s="2">
        <v>294</v>
      </c>
      <c r="B298">
        <v>3</v>
      </c>
      <c r="C298">
        <v>3</v>
      </c>
      <c r="D298">
        <v>2</v>
      </c>
      <c r="E298">
        <v>6</v>
      </c>
      <c r="G298">
        <v>1399131648</v>
      </c>
      <c r="H298">
        <v>794.35998540000003</v>
      </c>
      <c r="I298">
        <v>3.880000114</v>
      </c>
      <c r="J298" s="9">
        <f t="shared" si="155"/>
        <v>309279872</v>
      </c>
      <c r="K298" s="52">
        <f t="shared" ref="K298" si="197">AVERAGE(J293:J298)</f>
        <v>113549482.66666667</v>
      </c>
      <c r="L298" s="9">
        <f t="shared" si="196"/>
        <v>10794.350219400001</v>
      </c>
      <c r="M298" s="9">
        <f t="shared" si="196"/>
        <v>0</v>
      </c>
      <c r="N298" s="29">
        <f t="shared" si="173"/>
        <v>920740704</v>
      </c>
      <c r="O298" s="30">
        <f t="shared" si="174"/>
        <v>0.64155388359525467</v>
      </c>
      <c r="P298" s="30">
        <f t="shared" si="175"/>
        <v>1.2831077671905093</v>
      </c>
      <c r="Q298" s="29">
        <f t="shared" si="176"/>
        <v>549.67999269999996</v>
      </c>
      <c r="R298" s="30">
        <f t="shared" si="177"/>
        <v>0.7488420373544229</v>
      </c>
      <c r="S298" s="30">
        <f t="shared" si="178"/>
        <v>1.4976840747088458</v>
      </c>
      <c r="T298" s="37">
        <f t="shared" si="179"/>
        <v>0.30000019</v>
      </c>
      <c r="U298" s="30">
        <f t="shared" si="180"/>
        <v>2.7932979177720599E-2</v>
      </c>
      <c r="V298" s="38">
        <f t="shared" si="181"/>
        <v>8.173946895277418E-4</v>
      </c>
      <c r="W298" s="9">
        <f t="shared" ref="W298:Y313" si="198">ABS(G298-G277)</f>
        <v>341132608</v>
      </c>
      <c r="X298" s="12">
        <f t="shared" si="198"/>
        <v>467.69998170000002</v>
      </c>
      <c r="Y298" s="11">
        <f t="shared" si="198"/>
        <v>0.74000000900000007</v>
      </c>
      <c r="Z298" s="7">
        <f t="shared" si="193"/>
        <v>288332800</v>
      </c>
      <c r="AA298" s="7">
        <f t="shared" si="193"/>
        <v>92.839965900000038</v>
      </c>
      <c r="AB298" s="7">
        <f t="shared" si="193"/>
        <v>5.000019E-2</v>
      </c>
    </row>
    <row r="299" spans="1:28" x14ac:dyDescent="0.25">
      <c r="A299" s="2">
        <v>295</v>
      </c>
      <c r="B299">
        <v>3</v>
      </c>
      <c r="C299">
        <v>4</v>
      </c>
      <c r="D299">
        <v>0</v>
      </c>
      <c r="E299">
        <v>0</v>
      </c>
      <c r="G299">
        <v>177701696</v>
      </c>
      <c r="H299">
        <v>120.6299973</v>
      </c>
      <c r="I299">
        <v>3.960000038</v>
      </c>
      <c r="K299" s="52"/>
      <c r="N299" s="29">
        <f t="shared" si="173"/>
        <v>1888997568</v>
      </c>
      <c r="O299" s="30">
        <f t="shared" si="174"/>
        <v>0.30467222153130841</v>
      </c>
      <c r="P299" s="30">
        <f t="shared" si="175"/>
        <v>1.015574071771028</v>
      </c>
      <c r="Q299" s="29">
        <f t="shared" si="176"/>
        <v>10120.620231300001</v>
      </c>
      <c r="R299" s="30">
        <f t="shared" si="177"/>
        <v>0.33735433717024571</v>
      </c>
      <c r="S299" s="30">
        <f t="shared" si="178"/>
        <v>1.1245144572341523</v>
      </c>
      <c r="T299" s="37">
        <f t="shared" si="179"/>
        <v>7.9999924E-2</v>
      </c>
      <c r="U299" s="30">
        <f t="shared" si="180"/>
        <v>6.8728455025332336E-3</v>
      </c>
      <c r="V299" s="38">
        <f t="shared" si="181"/>
        <v>8.8888891253335632E-6</v>
      </c>
      <c r="W299" s="9">
        <f t="shared" si="198"/>
        <v>45692464</v>
      </c>
      <c r="X299" s="12">
        <f t="shared" si="198"/>
        <v>45.019996689999999</v>
      </c>
      <c r="Y299" s="11">
        <f t="shared" si="198"/>
        <v>0.51999998100000022</v>
      </c>
      <c r="Z299" s="7">
        <f t="shared" si="193"/>
        <v>39622432</v>
      </c>
      <c r="AA299" s="7">
        <f t="shared" si="193"/>
        <v>12.540001000000004</v>
      </c>
      <c r="AB299" s="7">
        <f t="shared" si="193"/>
        <v>0</v>
      </c>
    </row>
    <row r="300" spans="1:28" x14ac:dyDescent="0.25">
      <c r="A300" s="2">
        <v>296</v>
      </c>
      <c r="B300">
        <v>3</v>
      </c>
      <c r="C300">
        <v>4</v>
      </c>
      <c r="D300">
        <v>0</v>
      </c>
      <c r="E300">
        <v>1</v>
      </c>
      <c r="G300">
        <v>176920880</v>
      </c>
      <c r="H300">
        <v>121.23999790000001</v>
      </c>
      <c r="I300">
        <v>3.960000038</v>
      </c>
      <c r="J300" s="9">
        <f t="shared" ref="J300:J361" si="199">ABS(G300-G299)</f>
        <v>780816</v>
      </c>
      <c r="K300" s="52"/>
      <c r="L300" s="9">
        <f t="shared" ref="L300:M305" si="200">ABS(H300-H299)</f>
        <v>0.61000060000000644</v>
      </c>
      <c r="M300" s="9">
        <f t="shared" si="200"/>
        <v>0</v>
      </c>
      <c r="N300" s="29">
        <f t="shared" si="173"/>
        <v>1878214864</v>
      </c>
      <c r="O300" s="30">
        <f t="shared" si="174"/>
        <v>0.30463760029533765</v>
      </c>
      <c r="P300" s="30">
        <f t="shared" si="175"/>
        <v>1.0154586676511255</v>
      </c>
      <c r="Q300" s="29">
        <f t="shared" si="176"/>
        <v>10121.230231900001</v>
      </c>
      <c r="R300" s="30">
        <f t="shared" si="177"/>
        <v>0.33737467054343662</v>
      </c>
      <c r="S300" s="30">
        <f t="shared" si="178"/>
        <v>1.1245822351447887</v>
      </c>
      <c r="T300" s="37">
        <f t="shared" si="179"/>
        <v>7.9999924E-2</v>
      </c>
      <c r="U300" s="30">
        <f t="shared" si="180"/>
        <v>6.8728455025332336E-3</v>
      </c>
      <c r="V300" s="38">
        <f t="shared" si="181"/>
        <v>8.8888891253335632E-6</v>
      </c>
      <c r="W300" s="9">
        <f t="shared" si="198"/>
        <v>44509272</v>
      </c>
      <c r="X300" s="12">
        <f t="shared" si="198"/>
        <v>44.209999120000006</v>
      </c>
      <c r="Y300" s="11">
        <f t="shared" si="198"/>
        <v>0.51999998100000022</v>
      </c>
      <c r="Z300" s="7">
        <f t="shared" si="193"/>
        <v>39395088</v>
      </c>
      <c r="AA300" s="7">
        <f t="shared" si="193"/>
        <v>12.610000600000006</v>
      </c>
      <c r="AB300" s="7">
        <f t="shared" si="193"/>
        <v>0</v>
      </c>
    </row>
    <row r="301" spans="1:28" x14ac:dyDescent="0.25">
      <c r="A301" s="2">
        <v>297</v>
      </c>
      <c r="B301">
        <v>3</v>
      </c>
      <c r="C301">
        <v>4</v>
      </c>
      <c r="D301">
        <v>0</v>
      </c>
      <c r="E301">
        <v>2</v>
      </c>
      <c r="G301">
        <v>177309520</v>
      </c>
      <c r="H301">
        <v>120.58000180000001</v>
      </c>
      <c r="I301">
        <v>3.960000038</v>
      </c>
      <c r="J301" s="9">
        <f t="shared" si="199"/>
        <v>388640</v>
      </c>
      <c r="K301" s="52"/>
      <c r="L301" s="9">
        <f t="shared" si="200"/>
        <v>0.65999610000000075</v>
      </c>
      <c r="M301" s="9">
        <f t="shared" si="200"/>
        <v>0</v>
      </c>
      <c r="N301" s="29">
        <f t="shared" si="173"/>
        <v>1884690864</v>
      </c>
      <c r="O301" s="30">
        <f t="shared" si="174"/>
        <v>0.30467030601678102</v>
      </c>
      <c r="P301" s="30">
        <f t="shared" si="175"/>
        <v>1.0155676867226033</v>
      </c>
      <c r="Q301" s="29">
        <f t="shared" si="176"/>
        <v>10120.570235800002</v>
      </c>
      <c r="R301" s="30">
        <f t="shared" si="177"/>
        <v>0.33735267065195157</v>
      </c>
      <c r="S301" s="30">
        <f t="shared" si="178"/>
        <v>1.1245089021731718</v>
      </c>
      <c r="T301" s="37">
        <f t="shared" si="179"/>
        <v>7.9999924E-2</v>
      </c>
      <c r="U301" s="30">
        <f t="shared" si="180"/>
        <v>6.8728455025332336E-3</v>
      </c>
      <c r="V301" s="38">
        <f t="shared" si="181"/>
        <v>8.8888891253335632E-6</v>
      </c>
      <c r="W301" s="9">
        <f t="shared" si="198"/>
        <v>45351576</v>
      </c>
      <c r="X301" s="12">
        <f t="shared" si="198"/>
        <v>44.639999360000004</v>
      </c>
      <c r="Y301" s="11">
        <f t="shared" si="198"/>
        <v>0.51999998100000022</v>
      </c>
      <c r="Z301" s="7">
        <f t="shared" si="193"/>
        <v>39528720</v>
      </c>
      <c r="AA301" s="7">
        <f t="shared" si="193"/>
        <v>12.54000090000001</v>
      </c>
      <c r="AB301" s="7">
        <f t="shared" si="193"/>
        <v>0</v>
      </c>
    </row>
    <row r="302" spans="1:28" x14ac:dyDescent="0.25">
      <c r="A302" s="2">
        <v>298</v>
      </c>
      <c r="B302">
        <v>3</v>
      </c>
      <c r="C302">
        <v>4</v>
      </c>
      <c r="D302">
        <v>0</v>
      </c>
      <c r="E302">
        <v>3</v>
      </c>
      <c r="G302">
        <v>172148208</v>
      </c>
      <c r="H302">
        <v>119.66999819999999</v>
      </c>
      <c r="I302">
        <v>3.960000038</v>
      </c>
      <c r="J302" s="9">
        <f t="shared" si="199"/>
        <v>5161312</v>
      </c>
      <c r="K302" s="52"/>
      <c r="L302" s="9">
        <f t="shared" si="200"/>
        <v>0.91000360000001024</v>
      </c>
      <c r="M302" s="9">
        <f t="shared" si="200"/>
        <v>0</v>
      </c>
      <c r="N302" s="29">
        <f t="shared" si="173"/>
        <v>1828399120</v>
      </c>
      <c r="O302" s="30">
        <f t="shared" si="174"/>
        <v>0.30464981497970006</v>
      </c>
      <c r="P302" s="30">
        <f t="shared" si="175"/>
        <v>1.0154993832656667</v>
      </c>
      <c r="Q302" s="29">
        <f t="shared" si="176"/>
        <v>10119.6602322</v>
      </c>
      <c r="R302" s="30">
        <f t="shared" si="177"/>
        <v>0.33732233716899446</v>
      </c>
      <c r="S302" s="30">
        <f t="shared" si="178"/>
        <v>1.124407790563315</v>
      </c>
      <c r="T302" s="37">
        <f t="shared" si="179"/>
        <v>7.9999924E-2</v>
      </c>
      <c r="U302" s="30">
        <f t="shared" si="180"/>
        <v>6.8728455025332336E-3</v>
      </c>
      <c r="V302" s="38">
        <f t="shared" si="181"/>
        <v>8.8888891253335632E-6</v>
      </c>
      <c r="W302" s="9">
        <f t="shared" si="198"/>
        <v>42433536</v>
      </c>
      <c r="X302" s="12">
        <f t="shared" si="198"/>
        <v>42.379997279999998</v>
      </c>
      <c r="Y302" s="11">
        <f t="shared" si="198"/>
        <v>0.51999998100000022</v>
      </c>
      <c r="Z302" s="7">
        <f t="shared" ref="Z302:AB317" si="201">ABS(G302-G197)</f>
        <v>38360224</v>
      </c>
      <c r="AA302" s="7">
        <f t="shared" si="201"/>
        <v>12.479995799999998</v>
      </c>
      <c r="AB302" s="7">
        <f t="shared" si="201"/>
        <v>0</v>
      </c>
    </row>
    <row r="303" spans="1:28" x14ac:dyDescent="0.25">
      <c r="A303" s="2">
        <v>299</v>
      </c>
      <c r="B303">
        <v>3</v>
      </c>
      <c r="C303">
        <v>4</v>
      </c>
      <c r="D303">
        <v>0</v>
      </c>
      <c r="E303">
        <v>4</v>
      </c>
      <c r="G303">
        <v>156671360</v>
      </c>
      <c r="H303">
        <v>113.4100037</v>
      </c>
      <c r="I303">
        <v>3.960000038</v>
      </c>
      <c r="J303" s="9">
        <f t="shared" si="199"/>
        <v>15476848</v>
      </c>
      <c r="K303" s="52"/>
      <c r="L303" s="9">
        <f t="shared" si="200"/>
        <v>6.2599944999999906</v>
      </c>
      <c r="M303" s="9">
        <f t="shared" si="200"/>
        <v>0</v>
      </c>
      <c r="N303" s="29">
        <f t="shared" si="173"/>
        <v>1674609152</v>
      </c>
      <c r="O303" s="30">
        <f t="shared" si="174"/>
        <v>0.30481569972971279</v>
      </c>
      <c r="P303" s="30">
        <f t="shared" si="175"/>
        <v>1.016052332432376</v>
      </c>
      <c r="Q303" s="29">
        <f t="shared" si="176"/>
        <v>10113.400237700002</v>
      </c>
      <c r="R303" s="30">
        <f t="shared" si="177"/>
        <v>0.33711367048187729</v>
      </c>
      <c r="S303" s="30">
        <f t="shared" si="178"/>
        <v>1.1237122349395909</v>
      </c>
      <c r="T303" s="37">
        <f t="shared" si="179"/>
        <v>7.9999924E-2</v>
      </c>
      <c r="U303" s="30">
        <f t="shared" si="180"/>
        <v>6.8728455025332336E-3</v>
      </c>
      <c r="V303" s="38">
        <f t="shared" si="181"/>
        <v>8.8888891253335632E-6</v>
      </c>
      <c r="W303" s="9">
        <f t="shared" si="198"/>
        <v>37387456</v>
      </c>
      <c r="X303" s="12">
        <f t="shared" si="198"/>
        <v>38.620002780000007</v>
      </c>
      <c r="Y303" s="11">
        <f t="shared" si="198"/>
        <v>0.51999998100000022</v>
      </c>
      <c r="Z303" s="7">
        <f t="shared" si="201"/>
        <v>35091128</v>
      </c>
      <c r="AA303" s="7">
        <f t="shared" si="201"/>
        <v>11.930000300000003</v>
      </c>
      <c r="AB303" s="7">
        <f t="shared" si="201"/>
        <v>0</v>
      </c>
    </row>
    <row r="304" spans="1:28" x14ac:dyDescent="0.25">
      <c r="A304" s="2">
        <v>300</v>
      </c>
      <c r="B304">
        <v>3</v>
      </c>
      <c r="C304">
        <v>4</v>
      </c>
      <c r="D304">
        <v>0</v>
      </c>
      <c r="E304">
        <v>5</v>
      </c>
      <c r="G304">
        <v>144694240</v>
      </c>
      <c r="H304">
        <v>104.6999969</v>
      </c>
      <c r="I304">
        <v>3.960000038</v>
      </c>
      <c r="J304" s="9">
        <f t="shared" si="199"/>
        <v>11977120</v>
      </c>
      <c r="K304" s="52"/>
      <c r="L304" s="9">
        <f t="shared" si="200"/>
        <v>8.7100068000000022</v>
      </c>
      <c r="M304" s="9">
        <f t="shared" si="200"/>
        <v>0</v>
      </c>
      <c r="N304" s="29">
        <f t="shared" si="173"/>
        <v>1563717280</v>
      </c>
      <c r="O304" s="30">
        <f t="shared" si="174"/>
        <v>0.30510160299863426</v>
      </c>
      <c r="P304" s="30">
        <f t="shared" si="175"/>
        <v>1.0170053433287809</v>
      </c>
      <c r="Q304" s="29">
        <f t="shared" si="176"/>
        <v>10104.690230900002</v>
      </c>
      <c r="R304" s="30">
        <f t="shared" si="177"/>
        <v>0.33682333663833725</v>
      </c>
      <c r="S304" s="30">
        <f t="shared" si="178"/>
        <v>1.1227444554611241</v>
      </c>
      <c r="T304" s="37">
        <f t="shared" si="179"/>
        <v>7.9999924E-2</v>
      </c>
      <c r="U304" s="30">
        <f t="shared" si="180"/>
        <v>6.8728455025332336E-3</v>
      </c>
      <c r="V304" s="38">
        <f t="shared" si="181"/>
        <v>8.8888891253335632E-6</v>
      </c>
      <c r="W304" s="9">
        <f t="shared" si="198"/>
        <v>35740720</v>
      </c>
      <c r="X304" s="12">
        <f t="shared" si="198"/>
        <v>35.360000560000003</v>
      </c>
      <c r="Y304" s="11">
        <f t="shared" si="198"/>
        <v>0.51999998100000022</v>
      </c>
      <c r="Z304" s="7">
        <f t="shared" si="201"/>
        <v>32787872</v>
      </c>
      <c r="AA304" s="7">
        <f t="shared" si="201"/>
        <v>11.079994150000005</v>
      </c>
      <c r="AB304" s="7">
        <f t="shared" si="201"/>
        <v>0</v>
      </c>
    </row>
    <row r="305" spans="1:28" x14ac:dyDescent="0.25">
      <c r="A305" s="2">
        <v>301</v>
      </c>
      <c r="B305">
        <v>3</v>
      </c>
      <c r="C305">
        <v>4</v>
      </c>
      <c r="D305">
        <v>0</v>
      </c>
      <c r="E305">
        <v>6</v>
      </c>
      <c r="G305">
        <v>115592200</v>
      </c>
      <c r="H305">
        <v>88.940002440000001</v>
      </c>
      <c r="I305">
        <v>3.960000038</v>
      </c>
      <c r="J305" s="9">
        <f t="shared" si="199"/>
        <v>29102040</v>
      </c>
      <c r="K305" s="52">
        <f t="shared" ref="K305" si="202">AVERAGE(J300:J305)</f>
        <v>10481129.333333334</v>
      </c>
      <c r="L305" s="9">
        <f t="shared" si="200"/>
        <v>15.759994460000001</v>
      </c>
      <c r="M305" s="9">
        <f t="shared" si="200"/>
        <v>0</v>
      </c>
      <c r="N305" s="29">
        <f t="shared" si="173"/>
        <v>1283539448</v>
      </c>
      <c r="O305" s="30">
        <f t="shared" si="174"/>
        <v>0.3057942998275075</v>
      </c>
      <c r="P305" s="30">
        <f t="shared" si="175"/>
        <v>1.0193143327583583</v>
      </c>
      <c r="Q305" s="29">
        <f t="shared" si="176"/>
        <v>705.41998295999997</v>
      </c>
      <c r="R305" s="30">
        <f t="shared" si="177"/>
        <v>0.29601188207081608</v>
      </c>
      <c r="S305" s="30">
        <f t="shared" si="178"/>
        <v>0.98670627356938689</v>
      </c>
      <c r="T305" s="37">
        <f t="shared" si="179"/>
        <v>7.9999924E-2</v>
      </c>
      <c r="U305" s="30">
        <f t="shared" si="180"/>
        <v>6.8728455025332336E-3</v>
      </c>
      <c r="V305" s="38">
        <f t="shared" si="181"/>
        <v>1.1189990190616724E-4</v>
      </c>
      <c r="W305" s="9">
        <f t="shared" si="198"/>
        <v>28217096</v>
      </c>
      <c r="X305" s="12">
        <f t="shared" si="198"/>
        <v>27.68000412</v>
      </c>
      <c r="Y305" s="11">
        <f t="shared" si="198"/>
        <v>0.51999998100000022</v>
      </c>
      <c r="Z305" s="7">
        <f t="shared" si="201"/>
        <v>26886520</v>
      </c>
      <c r="AA305" s="7">
        <f t="shared" si="201"/>
        <v>9.6700057999999984</v>
      </c>
      <c r="AB305" s="7">
        <f t="shared" si="201"/>
        <v>0</v>
      </c>
    </row>
    <row r="306" spans="1:28" x14ac:dyDescent="0.25">
      <c r="A306" s="2">
        <v>302</v>
      </c>
      <c r="B306">
        <v>3</v>
      </c>
      <c r="C306">
        <v>4</v>
      </c>
      <c r="D306">
        <v>1</v>
      </c>
      <c r="E306">
        <v>0</v>
      </c>
      <c r="G306">
        <v>822169280</v>
      </c>
      <c r="H306">
        <v>504.26000979999998</v>
      </c>
      <c r="I306">
        <v>4.0900001530000001</v>
      </c>
      <c r="K306" s="52"/>
      <c r="N306" s="29">
        <f t="shared" si="173"/>
        <v>644467584</v>
      </c>
      <c r="O306" s="30">
        <f t="shared" si="174"/>
        <v>1.2088940783097535</v>
      </c>
      <c r="P306" s="30">
        <f t="shared" si="175"/>
        <v>1.2088940783097535</v>
      </c>
      <c r="Q306" s="29">
        <f t="shared" si="176"/>
        <v>383.63001249999996</v>
      </c>
      <c r="R306" s="30">
        <f t="shared" si="177"/>
        <v>1.060073561266119</v>
      </c>
      <c r="S306" s="30">
        <f t="shared" si="178"/>
        <v>1.060073561266119</v>
      </c>
      <c r="T306" s="37">
        <f t="shared" si="179"/>
        <v>0.13000011500000008</v>
      </c>
      <c r="U306" s="30">
        <f t="shared" si="180"/>
        <v>1.0942770517889245E-2</v>
      </c>
      <c r="V306" s="38">
        <f t="shared" si="181"/>
        <v>3.5922550473825376E-4</v>
      </c>
      <c r="W306" s="9">
        <f t="shared" si="198"/>
        <v>119567040</v>
      </c>
      <c r="X306" s="12">
        <f t="shared" si="198"/>
        <v>187.11001589999995</v>
      </c>
      <c r="Y306" s="11">
        <f t="shared" si="198"/>
        <v>0.51000022900000008</v>
      </c>
      <c r="Z306" s="7">
        <f t="shared" si="201"/>
        <v>164476160</v>
      </c>
      <c r="AA306" s="7">
        <f t="shared" si="201"/>
        <v>48.190002499999991</v>
      </c>
      <c r="AB306" s="7">
        <f t="shared" si="201"/>
        <v>0</v>
      </c>
    </row>
    <row r="307" spans="1:28" x14ac:dyDescent="0.25">
      <c r="A307" s="2">
        <v>303</v>
      </c>
      <c r="B307">
        <v>3</v>
      </c>
      <c r="C307">
        <v>4</v>
      </c>
      <c r="D307">
        <v>1</v>
      </c>
      <c r="E307">
        <v>1</v>
      </c>
      <c r="G307">
        <v>817639168</v>
      </c>
      <c r="H307">
        <v>506.2999878</v>
      </c>
      <c r="I307">
        <v>4.0900001530000001</v>
      </c>
      <c r="J307" s="9">
        <f t="shared" ref="J307:J368" si="203">ABS(G307-G306)</f>
        <v>4530112</v>
      </c>
      <c r="K307" s="52"/>
      <c r="L307" s="9">
        <f t="shared" ref="L307:M312" si="204">ABS(H307-H306)</f>
        <v>2.0399780000000192</v>
      </c>
      <c r="M307" s="9">
        <f t="shared" si="204"/>
        <v>0</v>
      </c>
      <c r="N307" s="29">
        <f t="shared" si="173"/>
        <v>640718288</v>
      </c>
      <c r="O307" s="30">
        <f t="shared" si="174"/>
        <v>1.2071653875261454</v>
      </c>
      <c r="P307" s="30">
        <f t="shared" si="175"/>
        <v>1.2071653875261454</v>
      </c>
      <c r="Q307" s="29">
        <f t="shared" si="176"/>
        <v>385.05998990000001</v>
      </c>
      <c r="R307" s="30">
        <f t="shared" si="177"/>
        <v>1.0586714961223755</v>
      </c>
      <c r="S307" s="30">
        <f t="shared" si="178"/>
        <v>1.0586714961223755</v>
      </c>
      <c r="T307" s="37">
        <f t="shared" si="179"/>
        <v>0.13000011500000008</v>
      </c>
      <c r="U307" s="30">
        <f t="shared" si="180"/>
        <v>1.0942770517889245E-2</v>
      </c>
      <c r="V307" s="38">
        <f t="shared" si="181"/>
        <v>3.5741811627552569E-4</v>
      </c>
      <c r="W307" s="9">
        <f t="shared" si="198"/>
        <v>116476672</v>
      </c>
      <c r="X307" s="12">
        <f t="shared" si="198"/>
        <v>182.88998409999999</v>
      </c>
      <c r="Y307" s="11">
        <f t="shared" si="198"/>
        <v>0.51000022900000008</v>
      </c>
      <c r="Z307" s="7">
        <f t="shared" si="201"/>
        <v>163348992</v>
      </c>
      <c r="AA307" s="7">
        <f t="shared" si="201"/>
        <v>48.389984099999992</v>
      </c>
      <c r="AB307" s="7">
        <f t="shared" si="201"/>
        <v>0</v>
      </c>
    </row>
    <row r="308" spans="1:28" x14ac:dyDescent="0.25">
      <c r="A308" s="2">
        <v>304</v>
      </c>
      <c r="B308">
        <v>3</v>
      </c>
      <c r="C308">
        <v>4</v>
      </c>
      <c r="D308">
        <v>1</v>
      </c>
      <c r="E308">
        <v>2</v>
      </c>
      <c r="G308">
        <v>820325632</v>
      </c>
      <c r="H308">
        <v>503.86999509999998</v>
      </c>
      <c r="I308">
        <v>4.0900001530000001</v>
      </c>
      <c r="J308" s="9">
        <f t="shared" si="203"/>
        <v>2686464</v>
      </c>
      <c r="K308" s="52"/>
      <c r="L308" s="9">
        <f t="shared" si="204"/>
        <v>2.4299927000000139</v>
      </c>
      <c r="M308" s="9">
        <f t="shared" si="204"/>
        <v>0</v>
      </c>
      <c r="N308" s="29">
        <f t="shared" si="173"/>
        <v>643016112</v>
      </c>
      <c r="O308" s="30">
        <f t="shared" si="174"/>
        <v>1.2088392320953776</v>
      </c>
      <c r="P308" s="30">
        <f t="shared" si="175"/>
        <v>1.2088392320953776</v>
      </c>
      <c r="Q308" s="29">
        <f t="shared" si="176"/>
        <v>383.28999329999999</v>
      </c>
      <c r="R308" s="30">
        <f t="shared" si="177"/>
        <v>1.0595731397642092</v>
      </c>
      <c r="S308" s="30">
        <f t="shared" si="178"/>
        <v>1.0595731397642092</v>
      </c>
      <c r="T308" s="37">
        <f t="shared" si="179"/>
        <v>0.13000011500000008</v>
      </c>
      <c r="U308" s="30">
        <f t="shared" si="180"/>
        <v>1.0942770517889245E-2</v>
      </c>
      <c r="V308" s="38">
        <f t="shared" si="181"/>
        <v>3.5937444866306756E-4</v>
      </c>
      <c r="W308" s="9">
        <f t="shared" si="198"/>
        <v>118828800</v>
      </c>
      <c r="X308" s="12">
        <f t="shared" si="198"/>
        <v>185.63000489999996</v>
      </c>
      <c r="Y308" s="11">
        <f t="shared" si="198"/>
        <v>0.51000022900000008</v>
      </c>
      <c r="Z308" s="7">
        <f t="shared" si="201"/>
        <v>164085248</v>
      </c>
      <c r="AA308" s="7">
        <f t="shared" si="201"/>
        <v>48.14999389999997</v>
      </c>
      <c r="AB308" s="7">
        <f t="shared" si="201"/>
        <v>0</v>
      </c>
    </row>
    <row r="309" spans="1:28" x14ac:dyDescent="0.25">
      <c r="A309" s="2">
        <v>305</v>
      </c>
      <c r="B309">
        <v>3</v>
      </c>
      <c r="C309">
        <v>4</v>
      </c>
      <c r="D309">
        <v>1</v>
      </c>
      <c r="E309">
        <v>3</v>
      </c>
      <c r="G309">
        <v>795608448</v>
      </c>
      <c r="H309">
        <v>498.5499878</v>
      </c>
      <c r="I309">
        <v>4.0900001530000001</v>
      </c>
      <c r="J309" s="9">
        <f t="shared" si="203"/>
        <v>24717184</v>
      </c>
      <c r="K309" s="52"/>
      <c r="L309" s="9">
        <f t="shared" si="204"/>
        <v>5.3200072999999861</v>
      </c>
      <c r="M309" s="9">
        <f t="shared" si="204"/>
        <v>0</v>
      </c>
      <c r="N309" s="29">
        <f t="shared" si="173"/>
        <v>623460240</v>
      </c>
      <c r="O309" s="30">
        <f t="shared" si="174"/>
        <v>1.2072160518801334</v>
      </c>
      <c r="P309" s="30">
        <f t="shared" si="175"/>
        <v>1.2072160518801334</v>
      </c>
      <c r="Q309" s="29">
        <f t="shared" si="176"/>
        <v>378.87998959999999</v>
      </c>
      <c r="R309" s="30">
        <f t="shared" si="177"/>
        <v>1.0553466346309903</v>
      </c>
      <c r="S309" s="30">
        <f t="shared" si="178"/>
        <v>1.0553466346309903</v>
      </c>
      <c r="T309" s="37">
        <f t="shared" si="179"/>
        <v>0.13000011500000008</v>
      </c>
      <c r="U309" s="30">
        <f t="shared" si="180"/>
        <v>1.0942770517889245E-2</v>
      </c>
      <c r="V309" s="38">
        <f t="shared" si="181"/>
        <v>3.6210723087206248E-4</v>
      </c>
      <c r="W309" s="9">
        <f t="shared" si="198"/>
        <v>110945984</v>
      </c>
      <c r="X309" s="12">
        <f t="shared" si="198"/>
        <v>175.30999759999997</v>
      </c>
      <c r="Y309" s="11">
        <f t="shared" si="198"/>
        <v>0.51000022900000008</v>
      </c>
      <c r="Z309" s="7">
        <f t="shared" si="201"/>
        <v>158842496</v>
      </c>
      <c r="AA309" s="7">
        <f t="shared" si="201"/>
        <v>47.66998289999998</v>
      </c>
      <c r="AB309" s="7">
        <f t="shared" si="201"/>
        <v>0</v>
      </c>
    </row>
    <row r="310" spans="1:28" x14ac:dyDescent="0.25">
      <c r="A310" s="2">
        <v>306</v>
      </c>
      <c r="B310">
        <v>3</v>
      </c>
      <c r="C310">
        <v>4</v>
      </c>
      <c r="D310">
        <v>1</v>
      </c>
      <c r="E310">
        <v>4</v>
      </c>
      <c r="G310">
        <v>726867264</v>
      </c>
      <c r="H310">
        <v>468.07998659999998</v>
      </c>
      <c r="I310">
        <v>4.0900001530000001</v>
      </c>
      <c r="J310" s="9">
        <f t="shared" si="203"/>
        <v>68741184</v>
      </c>
      <c r="K310" s="52"/>
      <c r="L310" s="9">
        <f t="shared" si="204"/>
        <v>30.470001200000013</v>
      </c>
      <c r="M310" s="9">
        <f t="shared" si="204"/>
        <v>0</v>
      </c>
      <c r="N310" s="29">
        <f t="shared" si="173"/>
        <v>570195904</v>
      </c>
      <c r="O310" s="30">
        <f t="shared" si="174"/>
        <v>1.2131464316983867</v>
      </c>
      <c r="P310" s="30">
        <f t="shared" si="175"/>
        <v>1.2131464316983867</v>
      </c>
      <c r="Q310" s="29">
        <f t="shared" si="176"/>
        <v>354.66998289999998</v>
      </c>
      <c r="R310" s="30">
        <f t="shared" si="177"/>
        <v>1.0424417932836494</v>
      </c>
      <c r="S310" s="30">
        <f t="shared" si="178"/>
        <v>1.0424417932836494</v>
      </c>
      <c r="T310" s="37">
        <f t="shared" si="179"/>
        <v>0.13000011500000008</v>
      </c>
      <c r="U310" s="30">
        <f t="shared" si="180"/>
        <v>1.0942770517889245E-2</v>
      </c>
      <c r="V310" s="38">
        <f t="shared" si="181"/>
        <v>3.8209479104943096E-4</v>
      </c>
      <c r="W310" s="9">
        <f t="shared" si="198"/>
        <v>96737152</v>
      </c>
      <c r="X310" s="12">
        <f t="shared" si="198"/>
        <v>156.15997319999997</v>
      </c>
      <c r="Y310" s="11">
        <f t="shared" si="198"/>
        <v>0.51000022900000008</v>
      </c>
      <c r="Z310" s="7">
        <f t="shared" si="201"/>
        <v>145187712</v>
      </c>
      <c r="AA310" s="7">
        <f t="shared" si="201"/>
        <v>44.829986599999984</v>
      </c>
      <c r="AB310" s="7">
        <f t="shared" si="201"/>
        <v>0</v>
      </c>
    </row>
    <row r="311" spans="1:28" x14ac:dyDescent="0.25">
      <c r="A311" s="2">
        <v>307</v>
      </c>
      <c r="B311">
        <v>3</v>
      </c>
      <c r="C311">
        <v>4</v>
      </c>
      <c r="D311">
        <v>1</v>
      </c>
      <c r="E311">
        <v>5</v>
      </c>
      <c r="G311">
        <v>678227072</v>
      </c>
      <c r="H311">
        <v>431.05999759999997</v>
      </c>
      <c r="I311">
        <v>4.0900001530000001</v>
      </c>
      <c r="J311" s="9">
        <f t="shared" si="203"/>
        <v>48640192</v>
      </c>
      <c r="K311" s="52"/>
      <c r="L311" s="9">
        <f t="shared" si="204"/>
        <v>37.01998900000001</v>
      </c>
      <c r="M311" s="9">
        <f t="shared" si="204"/>
        <v>0</v>
      </c>
      <c r="N311" s="29">
        <f t="shared" si="173"/>
        <v>533532832</v>
      </c>
      <c r="O311" s="30">
        <f t="shared" si="174"/>
        <v>1.2291040564802949</v>
      </c>
      <c r="P311" s="30">
        <f t="shared" si="175"/>
        <v>1.2291040564802949</v>
      </c>
      <c r="Q311" s="29">
        <f t="shared" si="176"/>
        <v>326.3600007</v>
      </c>
      <c r="R311" s="30">
        <f t="shared" si="177"/>
        <v>1.0390321883572089</v>
      </c>
      <c r="S311" s="30">
        <f t="shared" si="178"/>
        <v>1.0390321883572089</v>
      </c>
      <c r="T311" s="37">
        <f t="shared" si="179"/>
        <v>0.13000011500000008</v>
      </c>
      <c r="U311" s="30">
        <f t="shared" si="180"/>
        <v>1.0942770517889245E-2</v>
      </c>
      <c r="V311" s="38">
        <f t="shared" si="181"/>
        <v>4.1388130802004535E-4</v>
      </c>
      <c r="W311" s="9">
        <f t="shared" si="198"/>
        <v>94272384</v>
      </c>
      <c r="X311" s="12">
        <f t="shared" si="198"/>
        <v>148.23999029999999</v>
      </c>
      <c r="Y311" s="11">
        <f t="shared" si="198"/>
        <v>0.51000022900000008</v>
      </c>
      <c r="Z311" s="7">
        <f t="shared" si="201"/>
        <v>135832448</v>
      </c>
      <c r="AA311" s="7">
        <f t="shared" si="201"/>
        <v>41.290008599999965</v>
      </c>
      <c r="AB311" s="7">
        <f t="shared" si="201"/>
        <v>0</v>
      </c>
    </row>
    <row r="312" spans="1:28" x14ac:dyDescent="0.25">
      <c r="A312" s="2">
        <v>308</v>
      </c>
      <c r="B312">
        <v>3</v>
      </c>
      <c r="C312">
        <v>4</v>
      </c>
      <c r="D312">
        <v>1</v>
      </c>
      <c r="E312">
        <v>6</v>
      </c>
      <c r="G312">
        <v>552722752</v>
      </c>
      <c r="H312">
        <v>358.63000490000002</v>
      </c>
      <c r="I312">
        <v>4.0900001530000001</v>
      </c>
      <c r="J312" s="9">
        <f t="shared" si="203"/>
        <v>125504320</v>
      </c>
      <c r="K312" s="52">
        <f t="shared" ref="K312" si="205">AVERAGE(J307:J312)</f>
        <v>45803242.666666664</v>
      </c>
      <c r="L312" s="9">
        <f t="shared" si="204"/>
        <v>72.429992699999957</v>
      </c>
      <c r="M312" s="9">
        <f t="shared" si="204"/>
        <v>0</v>
      </c>
      <c r="N312" s="29">
        <f t="shared" si="173"/>
        <v>437130552</v>
      </c>
      <c r="O312" s="30">
        <f t="shared" si="174"/>
        <v>1.2605537743896214</v>
      </c>
      <c r="P312" s="30">
        <f t="shared" si="175"/>
        <v>1.2605537743896214</v>
      </c>
      <c r="Q312" s="29">
        <f t="shared" si="176"/>
        <v>269.69000246000002</v>
      </c>
      <c r="R312" s="30">
        <f t="shared" si="177"/>
        <v>1.0107562966091894</v>
      </c>
      <c r="S312" s="30">
        <f t="shared" si="178"/>
        <v>1.0107562966091894</v>
      </c>
      <c r="T312" s="37">
        <f t="shared" si="179"/>
        <v>0.13000011500000008</v>
      </c>
      <c r="U312" s="30">
        <f t="shared" si="180"/>
        <v>1.0942770517889245E-2</v>
      </c>
      <c r="V312" s="38">
        <f t="shared" si="181"/>
        <v>4.8722026622272595E-4</v>
      </c>
      <c r="W312" s="9">
        <f t="shared" si="198"/>
        <v>74331808</v>
      </c>
      <c r="X312" s="12">
        <f t="shared" si="198"/>
        <v>113.9500122</v>
      </c>
      <c r="Y312" s="11">
        <f t="shared" si="198"/>
        <v>0.51000022900000008</v>
      </c>
      <c r="Z312" s="7">
        <f t="shared" si="201"/>
        <v>111278080</v>
      </c>
      <c r="AA312" s="7">
        <f t="shared" si="201"/>
        <v>34.429992700000014</v>
      </c>
      <c r="AB312" s="7">
        <f t="shared" si="201"/>
        <v>0</v>
      </c>
    </row>
    <row r="313" spans="1:28" x14ac:dyDescent="0.25">
      <c r="A313" s="2">
        <v>309</v>
      </c>
      <c r="B313">
        <v>3</v>
      </c>
      <c r="C313">
        <v>4</v>
      </c>
      <c r="D313">
        <v>2</v>
      </c>
      <c r="E313">
        <v>0</v>
      </c>
      <c r="G313">
        <v>2233258752</v>
      </c>
      <c r="H313">
        <v>-9999.9902340000008</v>
      </c>
      <c r="I313">
        <v>4.4099998469999999</v>
      </c>
      <c r="K313" s="52"/>
      <c r="N313" s="29">
        <f t="shared" si="173"/>
        <v>1411089472</v>
      </c>
      <c r="O313" s="30">
        <f t="shared" si="174"/>
        <v>0.57210013652338521</v>
      </c>
      <c r="P313" s="30">
        <f t="shared" si="175"/>
        <v>1.1442002730467704</v>
      </c>
      <c r="Q313" s="29">
        <f t="shared" si="176"/>
        <v>10504.250243800001</v>
      </c>
      <c r="R313" s="30">
        <f t="shared" si="177"/>
        <v>6.9436732635650964</v>
      </c>
      <c r="S313" s="30">
        <f t="shared" si="178"/>
        <v>13.887346527130193</v>
      </c>
      <c r="T313" s="37">
        <f t="shared" si="179"/>
        <v>0.31999969399999983</v>
      </c>
      <c r="U313" s="30">
        <f t="shared" si="180"/>
        <v>2.607984368617372E-2</v>
      </c>
      <c r="V313" s="38">
        <f t="shared" si="181"/>
        <v>4.2306176414414772E-4</v>
      </c>
      <c r="W313" s="9">
        <f t="shared" si="198"/>
        <v>166559488</v>
      </c>
      <c r="X313" s="12">
        <f t="shared" si="198"/>
        <v>0</v>
      </c>
      <c r="Y313" s="11">
        <f t="shared" si="198"/>
        <v>0.52999973299999992</v>
      </c>
      <c r="Z313" s="7">
        <f t="shared" si="201"/>
        <v>432294912</v>
      </c>
      <c r="AA313" s="7">
        <f t="shared" si="201"/>
        <v>0</v>
      </c>
      <c r="AB313" s="7">
        <f t="shared" si="201"/>
        <v>5.9999942000000139E-2</v>
      </c>
    </row>
    <row r="314" spans="1:28" x14ac:dyDescent="0.25">
      <c r="A314" s="2">
        <v>310</v>
      </c>
      <c r="B314">
        <v>3</v>
      </c>
      <c r="C314">
        <v>4</v>
      </c>
      <c r="D314">
        <v>2</v>
      </c>
      <c r="E314">
        <v>1</v>
      </c>
      <c r="G314">
        <v>2217433600</v>
      </c>
      <c r="H314">
        <v>-9999.9902340000008</v>
      </c>
      <c r="I314">
        <v>4.4099998469999999</v>
      </c>
      <c r="J314" s="9">
        <f t="shared" ref="J314" si="206">ABS(G314-G313)</f>
        <v>15825152</v>
      </c>
      <c r="K314" s="52"/>
      <c r="L314" s="9">
        <f t="shared" ref="L314:M319" si="207">ABS(H314-H313)</f>
        <v>0</v>
      </c>
      <c r="M314" s="9">
        <f t="shared" si="207"/>
        <v>0</v>
      </c>
      <c r="N314" s="29">
        <f t="shared" si="173"/>
        <v>1399794432</v>
      </c>
      <c r="O314" s="30">
        <f t="shared" si="174"/>
        <v>0.57066510786332592</v>
      </c>
      <c r="P314" s="30">
        <f t="shared" si="175"/>
        <v>1.1413302157266518</v>
      </c>
      <c r="Q314" s="29">
        <f t="shared" si="176"/>
        <v>10506.2902218</v>
      </c>
      <c r="R314" s="30">
        <f t="shared" si="177"/>
        <v>6.9170389590912009</v>
      </c>
      <c r="S314" s="30">
        <f t="shared" si="178"/>
        <v>13.834077918182402</v>
      </c>
      <c r="T314" s="37">
        <f t="shared" si="179"/>
        <v>0.31999969399999983</v>
      </c>
      <c r="U314" s="30">
        <f t="shared" si="180"/>
        <v>2.607984368617372E-2</v>
      </c>
      <c r="V314" s="38">
        <f t="shared" si="181"/>
        <v>4.2135716862312997E-4</v>
      </c>
      <c r="W314" s="9">
        <f t="shared" ref="W314:Y329" si="208">ABS(G314-G293)</f>
        <v>162297856</v>
      </c>
      <c r="X314" s="12">
        <f t="shared" si="208"/>
        <v>0</v>
      </c>
      <c r="Y314" s="11">
        <f t="shared" si="208"/>
        <v>0.52999973299999992</v>
      </c>
      <c r="Z314" s="7">
        <f t="shared" si="201"/>
        <v>428571264</v>
      </c>
      <c r="AA314" s="7">
        <f t="shared" si="201"/>
        <v>0</v>
      </c>
      <c r="AB314" s="7">
        <f t="shared" si="201"/>
        <v>5.9999942000000139E-2</v>
      </c>
    </row>
    <row r="315" spans="1:28" x14ac:dyDescent="0.25">
      <c r="A315" s="2">
        <v>311</v>
      </c>
      <c r="B315">
        <v>3</v>
      </c>
      <c r="C315">
        <v>4</v>
      </c>
      <c r="D315">
        <v>2</v>
      </c>
      <c r="E315">
        <v>2</v>
      </c>
      <c r="G315">
        <v>2227760128</v>
      </c>
      <c r="H315">
        <v>-9999.9902340000008</v>
      </c>
      <c r="I315">
        <v>4.4099998469999999</v>
      </c>
      <c r="J315" s="9">
        <f t="shared" si="199"/>
        <v>10326528</v>
      </c>
      <c r="K315" s="52"/>
      <c r="L315" s="9">
        <f t="shared" si="207"/>
        <v>0</v>
      </c>
      <c r="M315" s="9">
        <f t="shared" si="207"/>
        <v>0</v>
      </c>
      <c r="N315" s="29">
        <f t="shared" si="173"/>
        <v>1407434496</v>
      </c>
      <c r="O315" s="30">
        <f t="shared" si="174"/>
        <v>0.57190073514611328</v>
      </c>
      <c r="P315" s="30">
        <f t="shared" si="175"/>
        <v>1.1438014702922266</v>
      </c>
      <c r="Q315" s="29">
        <f t="shared" si="176"/>
        <v>10503.860229100001</v>
      </c>
      <c r="R315" s="30">
        <f t="shared" si="177"/>
        <v>6.9487899201825956</v>
      </c>
      <c r="S315" s="30">
        <f t="shared" si="178"/>
        <v>13.897579840365191</v>
      </c>
      <c r="T315" s="37">
        <f t="shared" si="179"/>
        <v>0.31999969399999983</v>
      </c>
      <c r="U315" s="30">
        <f t="shared" si="180"/>
        <v>2.607984368617372E-2</v>
      </c>
      <c r="V315" s="38">
        <f t="shared" si="181"/>
        <v>4.2338923017433156E-4</v>
      </c>
      <c r="W315" s="9">
        <f t="shared" si="208"/>
        <v>165759744</v>
      </c>
      <c r="X315" s="12">
        <f t="shared" si="208"/>
        <v>0</v>
      </c>
      <c r="Y315" s="11">
        <f t="shared" si="208"/>
        <v>0.52999973299999992</v>
      </c>
      <c r="Z315" s="7">
        <f t="shared" si="201"/>
        <v>431172736</v>
      </c>
      <c r="AA315" s="7">
        <f t="shared" si="201"/>
        <v>0</v>
      </c>
      <c r="AB315" s="7">
        <f t="shared" si="201"/>
        <v>5.9999942000000139E-2</v>
      </c>
    </row>
    <row r="316" spans="1:28" x14ac:dyDescent="0.25">
      <c r="A316" s="2">
        <v>312</v>
      </c>
      <c r="B316">
        <v>3</v>
      </c>
      <c r="C316">
        <v>4</v>
      </c>
      <c r="D316">
        <v>2</v>
      </c>
      <c r="E316">
        <v>3</v>
      </c>
      <c r="G316">
        <v>2154349312</v>
      </c>
      <c r="H316">
        <v>-9999.9902340000008</v>
      </c>
      <c r="I316">
        <v>4.4099998469999999</v>
      </c>
      <c r="J316" s="9">
        <f t="shared" si="199"/>
        <v>73410816</v>
      </c>
      <c r="K316" s="52"/>
      <c r="L316" s="9">
        <f t="shared" si="207"/>
        <v>0</v>
      </c>
      <c r="M316" s="9">
        <f t="shared" si="207"/>
        <v>0</v>
      </c>
      <c r="N316" s="29">
        <f t="shared" si="173"/>
        <v>1358740864</v>
      </c>
      <c r="O316" s="30">
        <f t="shared" si="174"/>
        <v>0.56926698361721428</v>
      </c>
      <c r="P316" s="30">
        <f t="shared" si="175"/>
        <v>1.1385339672344286</v>
      </c>
      <c r="Q316" s="29">
        <f t="shared" si="176"/>
        <v>10498.5402218</v>
      </c>
      <c r="R316" s="30">
        <f t="shared" si="177"/>
        <v>7.0193831970778087</v>
      </c>
      <c r="S316" s="30">
        <f t="shared" si="178"/>
        <v>14.038766394155617</v>
      </c>
      <c r="T316" s="37">
        <f t="shared" si="179"/>
        <v>0.31999969399999983</v>
      </c>
      <c r="U316" s="30">
        <f t="shared" si="180"/>
        <v>2.607984368617372E-2</v>
      </c>
      <c r="V316" s="38">
        <f t="shared" si="181"/>
        <v>4.2790719998756611E-4</v>
      </c>
      <c r="W316" s="9">
        <f t="shared" si="208"/>
        <v>153801984</v>
      </c>
      <c r="X316" s="12">
        <f t="shared" si="208"/>
        <v>0</v>
      </c>
      <c r="Y316" s="11">
        <f t="shared" si="208"/>
        <v>0.52999973299999992</v>
      </c>
      <c r="Z316" s="7">
        <f t="shared" si="201"/>
        <v>416249344</v>
      </c>
      <c r="AA316" s="7">
        <f t="shared" si="201"/>
        <v>0</v>
      </c>
      <c r="AB316" s="7">
        <f t="shared" si="201"/>
        <v>5.9999942000000139E-2</v>
      </c>
    </row>
    <row r="317" spans="1:28" x14ac:dyDescent="0.25">
      <c r="A317" s="2">
        <v>313</v>
      </c>
      <c r="B317">
        <v>3</v>
      </c>
      <c r="C317">
        <v>4</v>
      </c>
      <c r="D317">
        <v>2</v>
      </c>
      <c r="E317">
        <v>4</v>
      </c>
      <c r="G317">
        <v>1964439040</v>
      </c>
      <c r="H317">
        <v>-9999.9902340000008</v>
      </c>
      <c r="I317">
        <v>4.4099998469999999</v>
      </c>
      <c r="J317" s="9">
        <f t="shared" si="199"/>
        <v>189910272</v>
      </c>
      <c r="K317" s="52"/>
      <c r="L317" s="9">
        <f t="shared" si="207"/>
        <v>0</v>
      </c>
      <c r="M317" s="9">
        <f t="shared" si="207"/>
        <v>0</v>
      </c>
      <c r="N317" s="29">
        <f t="shared" si="173"/>
        <v>1237571776</v>
      </c>
      <c r="O317" s="30">
        <f t="shared" si="174"/>
        <v>0.56753680591307154</v>
      </c>
      <c r="P317" s="30">
        <f t="shared" si="175"/>
        <v>1.1350736118261431</v>
      </c>
      <c r="Q317" s="29">
        <f t="shared" si="176"/>
        <v>10468.070220600001</v>
      </c>
      <c r="R317" s="30">
        <f t="shared" si="177"/>
        <v>7.454616390556871</v>
      </c>
      <c r="S317" s="30">
        <f t="shared" si="178"/>
        <v>14.909232781113742</v>
      </c>
      <c r="T317" s="37">
        <f t="shared" si="179"/>
        <v>0.31999969399999983</v>
      </c>
      <c r="U317" s="30">
        <f t="shared" si="180"/>
        <v>2.607984368617372E-2</v>
      </c>
      <c r="V317" s="38">
        <f t="shared" si="181"/>
        <v>4.5576212493707427E-4</v>
      </c>
      <c r="W317" s="9">
        <f t="shared" si="208"/>
        <v>133158528</v>
      </c>
      <c r="X317" s="12">
        <f t="shared" si="208"/>
        <v>0</v>
      </c>
      <c r="Y317" s="11">
        <f t="shared" si="208"/>
        <v>0.52999973299999992</v>
      </c>
      <c r="Z317" s="7">
        <f t="shared" si="201"/>
        <v>379605120</v>
      </c>
      <c r="AA317" s="7">
        <f t="shared" si="201"/>
        <v>0</v>
      </c>
      <c r="AB317" s="7">
        <f t="shared" si="201"/>
        <v>5.9999942000000139E-2</v>
      </c>
    </row>
    <row r="318" spans="1:28" x14ac:dyDescent="0.25">
      <c r="A318" s="2">
        <v>314</v>
      </c>
      <c r="B318">
        <v>3</v>
      </c>
      <c r="C318">
        <v>4</v>
      </c>
      <c r="D318">
        <v>2</v>
      </c>
      <c r="E318">
        <v>5</v>
      </c>
      <c r="G318">
        <v>1839107456</v>
      </c>
      <c r="H318">
        <v>-9999.9902340000008</v>
      </c>
      <c r="I318">
        <v>4.4099998469999999</v>
      </c>
      <c r="J318" s="9">
        <f t="shared" si="199"/>
        <v>125331584</v>
      </c>
      <c r="K318" s="52"/>
      <c r="L318" s="9">
        <f t="shared" si="207"/>
        <v>0</v>
      </c>
      <c r="M318" s="9">
        <f t="shared" si="207"/>
        <v>0</v>
      </c>
      <c r="N318" s="29">
        <f t="shared" si="173"/>
        <v>1160880384</v>
      </c>
      <c r="O318" s="30">
        <f t="shared" si="174"/>
        <v>0.57054656762506817</v>
      </c>
      <c r="P318" s="30">
        <f t="shared" si="175"/>
        <v>1.1410931352501363</v>
      </c>
      <c r="Q318" s="29">
        <f t="shared" si="176"/>
        <v>10431.0502316</v>
      </c>
      <c r="R318" s="30">
        <f t="shared" si="177"/>
        <v>8.0662013715620802</v>
      </c>
      <c r="S318" s="30">
        <f t="shared" si="178"/>
        <v>16.13240274312416</v>
      </c>
      <c r="T318" s="37">
        <f t="shared" si="179"/>
        <v>0.31999969399999983</v>
      </c>
      <c r="U318" s="30">
        <f t="shared" si="180"/>
        <v>2.607984368617372E-2</v>
      </c>
      <c r="V318" s="38">
        <f t="shared" si="181"/>
        <v>4.9490356451793672E-4</v>
      </c>
      <c r="W318" s="9">
        <f t="shared" si="208"/>
        <v>130695936</v>
      </c>
      <c r="X318" s="12">
        <f t="shared" si="208"/>
        <v>0</v>
      </c>
      <c r="Y318" s="11">
        <f t="shared" si="208"/>
        <v>0.52999973299999992</v>
      </c>
      <c r="Z318" s="7">
        <f t="shared" ref="Z318:AB333" si="209">ABS(G318-G213)</f>
        <v>355422720</v>
      </c>
      <c r="AA318" s="7">
        <f t="shared" si="209"/>
        <v>0</v>
      </c>
      <c r="AB318" s="7">
        <f t="shared" si="209"/>
        <v>5.9999942000000139E-2</v>
      </c>
    </row>
    <row r="319" spans="1:28" x14ac:dyDescent="0.25">
      <c r="A319" s="2">
        <v>315</v>
      </c>
      <c r="B319">
        <v>3</v>
      </c>
      <c r="C319">
        <v>4</v>
      </c>
      <c r="D319">
        <v>2</v>
      </c>
      <c r="E319">
        <v>6</v>
      </c>
      <c r="G319">
        <v>1503726848</v>
      </c>
      <c r="H319">
        <v>-9999.9902340000008</v>
      </c>
      <c r="I319">
        <v>4.4099998469999999</v>
      </c>
      <c r="J319" s="9">
        <f t="shared" si="199"/>
        <v>335380608</v>
      </c>
      <c r="K319" s="52">
        <f t="shared" ref="K319" si="210">AVERAGE(J314:J319)</f>
        <v>125030826.66666667</v>
      </c>
      <c r="L319" s="9">
        <f t="shared" si="207"/>
        <v>0</v>
      </c>
      <c r="M319" s="9">
        <f t="shared" si="207"/>
        <v>0</v>
      </c>
      <c r="N319" s="29">
        <f t="shared" si="173"/>
        <v>951004096</v>
      </c>
      <c r="O319" s="30">
        <f t="shared" si="174"/>
        <v>0.5735268978638558</v>
      </c>
      <c r="P319" s="30">
        <f t="shared" si="175"/>
        <v>1.1470537957277116</v>
      </c>
      <c r="Q319" s="29">
        <f t="shared" si="176"/>
        <v>10358.620238900001</v>
      </c>
      <c r="R319" s="30">
        <f t="shared" si="177"/>
        <v>9.627954621168584</v>
      </c>
      <c r="S319" s="30">
        <f t="shared" si="178"/>
        <v>19.255909242337168</v>
      </c>
      <c r="T319" s="37">
        <f t="shared" si="179"/>
        <v>0.31999969399999983</v>
      </c>
      <c r="U319" s="30">
        <f t="shared" si="180"/>
        <v>2.607984368617372E-2</v>
      </c>
      <c r="V319" s="38">
        <f t="shared" si="181"/>
        <v>5.9485577452678226E-4</v>
      </c>
      <c r="W319" s="9">
        <f t="shared" si="208"/>
        <v>104595200</v>
      </c>
      <c r="X319" s="12">
        <f t="shared" si="208"/>
        <v>10794.350219400001</v>
      </c>
      <c r="Y319" s="11">
        <f t="shared" si="208"/>
        <v>0.52999973299999992</v>
      </c>
      <c r="Z319" s="7">
        <f t="shared" si="209"/>
        <v>291362048</v>
      </c>
      <c r="AA319" s="7">
        <f t="shared" si="209"/>
        <v>0</v>
      </c>
      <c r="AB319" s="7">
        <f t="shared" si="209"/>
        <v>5.9999942000000139E-2</v>
      </c>
    </row>
    <row r="320" spans="1:28" x14ac:dyDescent="0.25">
      <c r="A320" s="2">
        <v>316</v>
      </c>
      <c r="B320">
        <v>4</v>
      </c>
      <c r="C320">
        <v>0</v>
      </c>
      <c r="D320">
        <v>0</v>
      </c>
      <c r="E320">
        <v>0</v>
      </c>
      <c r="G320">
        <v>14318056</v>
      </c>
      <c r="H320">
        <v>19.530000690000001</v>
      </c>
      <c r="I320">
        <v>2.3399999139999998</v>
      </c>
      <c r="K320" s="52"/>
      <c r="N320" s="29">
        <f t="shared" si="173"/>
        <v>2218940696</v>
      </c>
      <c r="O320" s="30">
        <f t="shared" si="174"/>
        <v>0.33119623868227283</v>
      </c>
      <c r="P320" s="30">
        <f t="shared" si="175"/>
        <v>1.1039874622742427</v>
      </c>
      <c r="Q320" s="29">
        <f t="shared" si="176"/>
        <v>10019.520234690001</v>
      </c>
      <c r="R320" s="30">
        <f t="shared" si="177"/>
        <v>0.33398433399210053</v>
      </c>
      <c r="S320" s="30">
        <f t="shared" si="178"/>
        <v>1.1132811133070017</v>
      </c>
      <c r="T320" s="37">
        <f t="shared" si="179"/>
        <v>2.0699999330000001</v>
      </c>
      <c r="U320" s="30">
        <f t="shared" si="180"/>
        <v>0.15646258539805949</v>
      </c>
      <c r="V320" s="38">
        <f t="shared" si="181"/>
        <v>2.3000021717376761E-4</v>
      </c>
      <c r="W320" s="9">
        <f t="shared" si="208"/>
        <v>163383640</v>
      </c>
      <c r="X320" s="12">
        <f t="shared" si="208"/>
        <v>101.09999661000001</v>
      </c>
      <c r="Y320" s="11">
        <f t="shared" si="208"/>
        <v>1.6200001240000002</v>
      </c>
      <c r="Z320" s="7">
        <f t="shared" si="209"/>
        <v>9934028.5</v>
      </c>
      <c r="AA320" s="7">
        <f t="shared" si="209"/>
        <v>4.6400003500000011</v>
      </c>
      <c r="AB320" s="7">
        <f t="shared" si="209"/>
        <v>0</v>
      </c>
    </row>
    <row r="321" spans="1:28" x14ac:dyDescent="0.25">
      <c r="A321" s="2">
        <v>317</v>
      </c>
      <c r="B321">
        <v>4</v>
      </c>
      <c r="C321">
        <v>0</v>
      </c>
      <c r="D321">
        <v>0</v>
      </c>
      <c r="E321">
        <v>1</v>
      </c>
      <c r="G321">
        <v>15658970</v>
      </c>
      <c r="H321">
        <v>20.090000150000002</v>
      </c>
      <c r="I321">
        <v>2.3399999139999998</v>
      </c>
      <c r="J321" s="9">
        <f t="shared" ref="J321" si="211">ABS(G321-G320)</f>
        <v>1340914</v>
      </c>
      <c r="K321" s="52"/>
      <c r="L321" s="9">
        <f t="shared" ref="L321:M326" si="212">ABS(H321-H320)</f>
        <v>0.55999946000000023</v>
      </c>
      <c r="M321" s="9">
        <f t="shared" si="212"/>
        <v>0</v>
      </c>
      <c r="N321" s="29">
        <f t="shared" si="173"/>
        <v>2201774630</v>
      </c>
      <c r="O321" s="30">
        <f t="shared" si="174"/>
        <v>0.33097941542270609</v>
      </c>
      <c r="P321" s="30">
        <f t="shared" si="175"/>
        <v>1.1032647180756869</v>
      </c>
      <c r="Q321" s="29">
        <f t="shared" si="176"/>
        <v>10020.08023415</v>
      </c>
      <c r="R321" s="30">
        <f t="shared" si="177"/>
        <v>0.33400300065899713</v>
      </c>
      <c r="S321" s="30">
        <f t="shared" si="178"/>
        <v>1.1133433355299904</v>
      </c>
      <c r="T321" s="37">
        <f t="shared" si="179"/>
        <v>2.0699999330000001</v>
      </c>
      <c r="U321" s="30">
        <f t="shared" si="180"/>
        <v>0.15646258539805949</v>
      </c>
      <c r="V321" s="38">
        <f t="shared" si="181"/>
        <v>2.3000021717376761E-4</v>
      </c>
      <c r="W321" s="9">
        <f t="shared" si="208"/>
        <v>161261910</v>
      </c>
      <c r="X321" s="12">
        <f t="shared" si="208"/>
        <v>101.14999775000001</v>
      </c>
      <c r="Y321" s="11">
        <f t="shared" si="208"/>
        <v>1.6200001240000002</v>
      </c>
      <c r="Z321" s="7">
        <f t="shared" si="209"/>
        <v>10275301.5</v>
      </c>
      <c r="AA321" s="7">
        <f t="shared" si="209"/>
        <v>4.5900001500000016</v>
      </c>
      <c r="AB321" s="7">
        <f t="shared" si="209"/>
        <v>0</v>
      </c>
    </row>
    <row r="322" spans="1:28" x14ac:dyDescent="0.25">
      <c r="A322" s="2">
        <v>318</v>
      </c>
      <c r="B322">
        <v>4</v>
      </c>
      <c r="C322">
        <v>0</v>
      </c>
      <c r="D322">
        <v>0</v>
      </c>
      <c r="E322">
        <v>2</v>
      </c>
      <c r="G322">
        <v>14926740</v>
      </c>
      <c r="H322">
        <v>19.799999239999998</v>
      </c>
      <c r="I322">
        <v>2.3399999139999998</v>
      </c>
      <c r="J322" s="9">
        <f t="shared" si="203"/>
        <v>732230</v>
      </c>
      <c r="K322" s="52"/>
      <c r="L322" s="9">
        <f t="shared" si="212"/>
        <v>0.29000091000000339</v>
      </c>
      <c r="M322" s="9">
        <f t="shared" si="212"/>
        <v>0</v>
      </c>
      <c r="N322" s="29">
        <f t="shared" si="173"/>
        <v>2212833388</v>
      </c>
      <c r="O322" s="30">
        <f t="shared" si="174"/>
        <v>0.33109988820723402</v>
      </c>
      <c r="P322" s="30">
        <f t="shared" si="175"/>
        <v>1.1036662940241133</v>
      </c>
      <c r="Q322" s="29">
        <f t="shared" si="176"/>
        <v>10019.790233240001</v>
      </c>
      <c r="R322" s="30">
        <f t="shared" si="177"/>
        <v>0.33399333395255665</v>
      </c>
      <c r="S322" s="30">
        <f t="shared" si="178"/>
        <v>1.1133111131751887</v>
      </c>
      <c r="T322" s="37">
        <f t="shared" si="179"/>
        <v>2.0699999330000001</v>
      </c>
      <c r="U322" s="30">
        <f t="shared" si="180"/>
        <v>0.15646258539805949</v>
      </c>
      <c r="V322" s="38">
        <f t="shared" si="181"/>
        <v>2.3000021717376761E-4</v>
      </c>
      <c r="W322" s="9">
        <f t="shared" si="208"/>
        <v>162382780</v>
      </c>
      <c r="X322" s="12">
        <f t="shared" si="208"/>
        <v>100.78000256000001</v>
      </c>
      <c r="Y322" s="11">
        <f t="shared" si="208"/>
        <v>1.6200001240000002</v>
      </c>
      <c r="Z322" s="7">
        <f t="shared" si="209"/>
        <v>10069391</v>
      </c>
      <c r="AA322" s="7">
        <f t="shared" si="209"/>
        <v>4.6199989299999977</v>
      </c>
      <c r="AB322" s="7">
        <f t="shared" si="209"/>
        <v>0</v>
      </c>
    </row>
    <row r="323" spans="1:28" x14ac:dyDescent="0.25">
      <c r="A323" s="2">
        <v>319</v>
      </c>
      <c r="B323">
        <v>4</v>
      </c>
      <c r="C323">
        <v>0</v>
      </c>
      <c r="D323">
        <v>0</v>
      </c>
      <c r="E323">
        <v>3</v>
      </c>
      <c r="G323">
        <v>16702699</v>
      </c>
      <c r="H323">
        <v>20.549999239999998</v>
      </c>
      <c r="I323">
        <v>2.3399999139999998</v>
      </c>
      <c r="J323" s="9">
        <f t="shared" si="203"/>
        <v>1775959</v>
      </c>
      <c r="K323" s="52"/>
      <c r="L323" s="9">
        <f t="shared" si="212"/>
        <v>0.75</v>
      </c>
      <c r="M323" s="9">
        <f t="shared" si="212"/>
        <v>0</v>
      </c>
      <c r="N323" s="29">
        <f t="shared" si="173"/>
        <v>2137646613</v>
      </c>
      <c r="O323" s="30">
        <f t="shared" si="174"/>
        <v>0.33074899554636383</v>
      </c>
      <c r="P323" s="30">
        <f t="shared" si="175"/>
        <v>1.1024966518212127</v>
      </c>
      <c r="Q323" s="29">
        <f t="shared" si="176"/>
        <v>10020.540233240001</v>
      </c>
      <c r="R323" s="30">
        <f t="shared" si="177"/>
        <v>0.33401833397697162</v>
      </c>
      <c r="S323" s="30">
        <f t="shared" si="178"/>
        <v>1.1133944465899055</v>
      </c>
      <c r="T323" s="37">
        <f t="shared" si="179"/>
        <v>2.0699999330000001</v>
      </c>
      <c r="U323" s="30">
        <f t="shared" si="180"/>
        <v>0.15646258539805949</v>
      </c>
      <c r="V323" s="38">
        <f t="shared" si="181"/>
        <v>2.3000021717376761E-4</v>
      </c>
      <c r="W323" s="9">
        <f t="shared" si="208"/>
        <v>155445509</v>
      </c>
      <c r="X323" s="12">
        <f t="shared" si="208"/>
        <v>99.119998960000004</v>
      </c>
      <c r="Y323" s="11">
        <f t="shared" si="208"/>
        <v>1.6200001240000002</v>
      </c>
      <c r="Z323" s="7">
        <f t="shared" si="209"/>
        <v>10490280</v>
      </c>
      <c r="AA323" s="7">
        <f t="shared" si="209"/>
        <v>4.5899991999999976</v>
      </c>
      <c r="AB323" s="7">
        <f t="shared" si="209"/>
        <v>0</v>
      </c>
    </row>
    <row r="324" spans="1:28" x14ac:dyDescent="0.25">
      <c r="A324" s="2">
        <v>320</v>
      </c>
      <c r="B324">
        <v>4</v>
      </c>
      <c r="C324">
        <v>0</v>
      </c>
      <c r="D324">
        <v>0</v>
      </c>
      <c r="E324">
        <v>4</v>
      </c>
      <c r="G324">
        <v>15200837</v>
      </c>
      <c r="H324">
        <v>19.870000839999999</v>
      </c>
      <c r="I324">
        <v>2.3399999139999998</v>
      </c>
      <c r="J324" s="9">
        <f t="shared" si="203"/>
        <v>1501862</v>
      </c>
      <c r="K324" s="52"/>
      <c r="L324" s="9">
        <f t="shared" si="212"/>
        <v>0.67999839999999878</v>
      </c>
      <c r="M324" s="9">
        <f t="shared" si="212"/>
        <v>0</v>
      </c>
      <c r="N324" s="29">
        <f t="shared" si="173"/>
        <v>1949238203</v>
      </c>
      <c r="O324" s="30">
        <f t="shared" si="174"/>
        <v>0.3307539986919964</v>
      </c>
      <c r="P324" s="30">
        <f t="shared" si="175"/>
        <v>1.1025133289733213</v>
      </c>
      <c r="Q324" s="29">
        <f t="shared" si="176"/>
        <v>10019.86023484</v>
      </c>
      <c r="R324" s="30">
        <f t="shared" si="177"/>
        <v>0.33399566734150204</v>
      </c>
      <c r="S324" s="30">
        <f t="shared" si="178"/>
        <v>1.11331889113834</v>
      </c>
      <c r="T324" s="37">
        <f t="shared" si="179"/>
        <v>2.0699999330000001</v>
      </c>
      <c r="U324" s="30">
        <f t="shared" si="180"/>
        <v>0.15646258539805949</v>
      </c>
      <c r="V324" s="38">
        <f t="shared" si="181"/>
        <v>2.3000021717376761E-4</v>
      </c>
      <c r="W324" s="9">
        <f t="shared" si="208"/>
        <v>141470523</v>
      </c>
      <c r="X324" s="12">
        <f t="shared" si="208"/>
        <v>93.540002860000001</v>
      </c>
      <c r="Y324" s="11">
        <f t="shared" si="208"/>
        <v>1.6200001240000002</v>
      </c>
      <c r="Z324" s="7">
        <f t="shared" si="209"/>
        <v>10088701</v>
      </c>
      <c r="AA324" s="7">
        <f t="shared" si="209"/>
        <v>4.5500011499999999</v>
      </c>
      <c r="AB324" s="7">
        <f t="shared" si="209"/>
        <v>0</v>
      </c>
    </row>
    <row r="325" spans="1:28" x14ac:dyDescent="0.25">
      <c r="A325" s="2">
        <v>321</v>
      </c>
      <c r="B325">
        <v>4</v>
      </c>
      <c r="C325">
        <v>0</v>
      </c>
      <c r="D325">
        <v>0</v>
      </c>
      <c r="E325">
        <v>5</v>
      </c>
      <c r="G325">
        <v>13491281</v>
      </c>
      <c r="H325">
        <v>19.299999239999998</v>
      </c>
      <c r="I325">
        <v>2.3399999139999998</v>
      </c>
      <c r="J325" s="9">
        <f t="shared" si="203"/>
        <v>1709556</v>
      </c>
      <c r="K325" s="52"/>
      <c r="L325" s="9">
        <f t="shared" si="212"/>
        <v>0.57000160000000122</v>
      </c>
      <c r="M325" s="9">
        <f t="shared" si="212"/>
        <v>0</v>
      </c>
      <c r="N325" s="29">
        <f t="shared" si="173"/>
        <v>1825616175</v>
      </c>
      <c r="O325" s="30">
        <f t="shared" si="174"/>
        <v>0.33088807454652613</v>
      </c>
      <c r="P325" s="30">
        <f t="shared" si="175"/>
        <v>1.1029602484884204</v>
      </c>
      <c r="Q325" s="29">
        <f t="shared" si="176"/>
        <v>10019.290233240001</v>
      </c>
      <c r="R325" s="30">
        <f t="shared" si="177"/>
        <v>0.33397666726961323</v>
      </c>
      <c r="S325" s="30">
        <f t="shared" si="178"/>
        <v>1.1132555575653775</v>
      </c>
      <c r="T325" s="37">
        <f t="shared" si="179"/>
        <v>2.0699999330000001</v>
      </c>
      <c r="U325" s="30">
        <f t="shared" si="180"/>
        <v>0.15646258539805949</v>
      </c>
      <c r="V325" s="38">
        <f t="shared" si="181"/>
        <v>2.3000021717376761E-4</v>
      </c>
      <c r="W325" s="9">
        <f t="shared" si="208"/>
        <v>131202959</v>
      </c>
      <c r="X325" s="12">
        <f t="shared" si="208"/>
        <v>85.399997659999997</v>
      </c>
      <c r="Y325" s="11">
        <f t="shared" si="208"/>
        <v>1.6200001240000002</v>
      </c>
      <c r="Z325" s="7">
        <f t="shared" si="209"/>
        <v>9382160.5</v>
      </c>
      <c r="AA325" s="7">
        <f t="shared" si="209"/>
        <v>4.5299987799999979</v>
      </c>
      <c r="AB325" s="7">
        <f t="shared" si="209"/>
        <v>0</v>
      </c>
    </row>
    <row r="326" spans="1:28" x14ac:dyDescent="0.25">
      <c r="A326" s="2">
        <v>322</v>
      </c>
      <c r="B326">
        <v>4</v>
      </c>
      <c r="C326">
        <v>0</v>
      </c>
      <c r="D326">
        <v>0</v>
      </c>
      <c r="E326">
        <v>6</v>
      </c>
      <c r="G326">
        <v>9305694</v>
      </c>
      <c r="H326">
        <v>17.379999160000001</v>
      </c>
      <c r="I326">
        <v>2.3399999139999998</v>
      </c>
      <c r="J326" s="9">
        <f t="shared" si="203"/>
        <v>4185587</v>
      </c>
      <c r="K326" s="52">
        <f t="shared" ref="K326" si="213">AVERAGE(J321:J326)</f>
        <v>1874351.3333333333</v>
      </c>
      <c r="L326" s="9">
        <f t="shared" si="212"/>
        <v>1.9200000799999977</v>
      </c>
      <c r="M326" s="9">
        <f t="shared" si="212"/>
        <v>0</v>
      </c>
      <c r="N326" s="29">
        <f t="shared" si="173"/>
        <v>1494421154</v>
      </c>
      <c r="O326" s="30">
        <f t="shared" si="174"/>
        <v>0.33127052651165184</v>
      </c>
      <c r="P326" s="30">
        <f t="shared" si="175"/>
        <v>1.1042350883721728</v>
      </c>
      <c r="Q326" s="29">
        <f t="shared" si="176"/>
        <v>10017.370233160002</v>
      </c>
      <c r="R326" s="30">
        <f t="shared" si="177"/>
        <v>0.33391266720444412</v>
      </c>
      <c r="S326" s="30">
        <f t="shared" si="178"/>
        <v>1.1130422240148137</v>
      </c>
      <c r="T326" s="37">
        <f t="shared" si="179"/>
        <v>2.0699999330000001</v>
      </c>
      <c r="U326" s="30">
        <f t="shared" si="180"/>
        <v>0.15646258539805949</v>
      </c>
      <c r="V326" s="38">
        <f t="shared" si="181"/>
        <v>2.3000021717376761E-4</v>
      </c>
      <c r="W326" s="9">
        <f t="shared" si="208"/>
        <v>106286506</v>
      </c>
      <c r="X326" s="12">
        <f t="shared" si="208"/>
        <v>71.560003280000004</v>
      </c>
      <c r="Y326" s="11">
        <f t="shared" si="208"/>
        <v>1.6200001240000002</v>
      </c>
      <c r="Z326" s="7">
        <f t="shared" si="209"/>
        <v>8118859.6200000001</v>
      </c>
      <c r="AA326" s="7">
        <f t="shared" si="209"/>
        <v>4.5199995000000008</v>
      </c>
      <c r="AB326" s="7">
        <f t="shared" si="209"/>
        <v>0</v>
      </c>
    </row>
    <row r="327" spans="1:28" x14ac:dyDescent="0.25">
      <c r="A327" s="2">
        <v>323</v>
      </c>
      <c r="B327">
        <v>4</v>
      </c>
      <c r="C327">
        <v>0</v>
      </c>
      <c r="D327">
        <v>1</v>
      </c>
      <c r="E327">
        <v>0</v>
      </c>
      <c r="G327">
        <v>237345376</v>
      </c>
      <c r="H327">
        <v>47.47000122</v>
      </c>
      <c r="I327">
        <v>2.4000000950000002</v>
      </c>
      <c r="K327" s="52"/>
      <c r="N327" s="29">
        <f t="shared" si="173"/>
        <v>223027320</v>
      </c>
      <c r="O327" s="30">
        <f t="shared" si="174"/>
        <v>5.1922160382666478</v>
      </c>
      <c r="P327" s="30">
        <f t="shared" si="175"/>
        <v>5.1922160382666478</v>
      </c>
      <c r="Q327" s="29">
        <f t="shared" si="176"/>
        <v>27.940000529999999</v>
      </c>
      <c r="R327" s="30">
        <f t="shared" si="177"/>
        <v>0.47687317874846419</v>
      </c>
      <c r="S327" s="30">
        <f t="shared" si="178"/>
        <v>0.47687317874846419</v>
      </c>
      <c r="T327" s="37">
        <f t="shared" si="179"/>
        <v>6.0000181000000374E-2</v>
      </c>
      <c r="U327" s="30">
        <f t="shared" si="180"/>
        <v>8.5470346446061708E-3</v>
      </c>
      <c r="V327" s="38">
        <f t="shared" si="181"/>
        <v>1.0240685932783476E-3</v>
      </c>
      <c r="W327" s="9">
        <f t="shared" si="208"/>
        <v>584823904</v>
      </c>
      <c r="X327" s="12">
        <f t="shared" si="208"/>
        <v>456.79000857999995</v>
      </c>
      <c r="Y327" s="11">
        <f t="shared" si="208"/>
        <v>1.6900000579999999</v>
      </c>
      <c r="Z327" s="7">
        <f t="shared" si="209"/>
        <v>100552656</v>
      </c>
      <c r="AA327" s="7">
        <f t="shared" si="209"/>
        <v>6.5600013700000019</v>
      </c>
      <c r="AB327" s="7">
        <f t="shared" si="209"/>
        <v>9.9999900000002917E-3</v>
      </c>
    </row>
    <row r="328" spans="1:28" x14ac:dyDescent="0.25">
      <c r="A328" s="2">
        <v>324</v>
      </c>
      <c r="B328">
        <v>4</v>
      </c>
      <c r="C328">
        <v>0</v>
      </c>
      <c r="D328">
        <v>1</v>
      </c>
      <c r="E328">
        <v>1</v>
      </c>
      <c r="G328">
        <v>241181840</v>
      </c>
      <c r="H328">
        <v>48.25</v>
      </c>
      <c r="I328">
        <v>2.4000000950000002</v>
      </c>
      <c r="J328" s="9">
        <f t="shared" ref="J328" si="214">ABS(G328-G327)</f>
        <v>3836464</v>
      </c>
      <c r="K328" s="52"/>
      <c r="L328" s="9">
        <f t="shared" ref="L328:M333" si="215">ABS(H328-H327)</f>
        <v>0.77999877999999967</v>
      </c>
      <c r="M328" s="9">
        <f t="shared" si="215"/>
        <v>0</v>
      </c>
      <c r="N328" s="29">
        <f t="shared" si="173"/>
        <v>225522870</v>
      </c>
      <c r="O328" s="30">
        <f t="shared" si="174"/>
        <v>4.8007174162796149</v>
      </c>
      <c r="P328" s="30">
        <f t="shared" si="175"/>
        <v>4.8007174162796149</v>
      </c>
      <c r="Q328" s="29">
        <f t="shared" si="176"/>
        <v>28.159999849999998</v>
      </c>
      <c r="R328" s="30">
        <f t="shared" si="177"/>
        <v>0.46723078877959417</v>
      </c>
      <c r="S328" s="30">
        <f t="shared" si="178"/>
        <v>0.46723078877959417</v>
      </c>
      <c r="T328" s="37">
        <f t="shared" si="179"/>
        <v>6.0000181000000374E-2</v>
      </c>
      <c r="U328" s="30">
        <f t="shared" si="180"/>
        <v>8.5470346446061708E-3</v>
      </c>
      <c r="V328" s="38">
        <f t="shared" si="181"/>
        <v>9.9552315500273689E-4</v>
      </c>
      <c r="W328" s="9">
        <f t="shared" si="208"/>
        <v>576457328</v>
      </c>
      <c r="X328" s="12">
        <f t="shared" si="208"/>
        <v>458.0499878</v>
      </c>
      <c r="Y328" s="11">
        <f t="shared" si="208"/>
        <v>1.6900000579999999</v>
      </c>
      <c r="Z328" s="7">
        <f t="shared" si="209"/>
        <v>100872320</v>
      </c>
      <c r="AA328" s="7">
        <f t="shared" si="209"/>
        <v>6.5600013700000019</v>
      </c>
      <c r="AB328" s="7">
        <f t="shared" si="209"/>
        <v>9.9999900000002917E-3</v>
      </c>
    </row>
    <row r="329" spans="1:28" x14ac:dyDescent="0.25">
      <c r="A329" s="2">
        <v>325</v>
      </c>
      <c r="B329">
        <v>4</v>
      </c>
      <c r="C329">
        <v>0</v>
      </c>
      <c r="D329">
        <v>1</v>
      </c>
      <c r="E329">
        <v>2</v>
      </c>
      <c r="G329">
        <v>239069216</v>
      </c>
      <c r="H329">
        <v>47.83000183</v>
      </c>
      <c r="I329">
        <v>2.4000000950000002</v>
      </c>
      <c r="J329" s="9">
        <f t="shared" si="199"/>
        <v>2112624</v>
      </c>
      <c r="K329" s="52"/>
      <c r="L329" s="9">
        <f t="shared" si="215"/>
        <v>0.4199981699999995</v>
      </c>
      <c r="M329" s="9">
        <f t="shared" si="215"/>
        <v>0</v>
      </c>
      <c r="N329" s="29">
        <f t="shared" si="173"/>
        <v>224142476</v>
      </c>
      <c r="O329" s="30">
        <f t="shared" si="174"/>
        <v>5.0053902370287595</v>
      </c>
      <c r="P329" s="30">
        <f t="shared" si="175"/>
        <v>5.0053902370287595</v>
      </c>
      <c r="Q329" s="29">
        <f t="shared" si="176"/>
        <v>28.030002590000002</v>
      </c>
      <c r="R329" s="30">
        <f t="shared" si="177"/>
        <v>0.47188558360099558</v>
      </c>
      <c r="S329" s="30">
        <f t="shared" si="178"/>
        <v>0.47188558360099558</v>
      </c>
      <c r="T329" s="37">
        <f t="shared" si="179"/>
        <v>6.0000181000000374E-2</v>
      </c>
      <c r="U329" s="30">
        <f t="shared" si="180"/>
        <v>8.5470346446061708E-3</v>
      </c>
      <c r="V329" s="38">
        <f t="shared" si="181"/>
        <v>1.010104096010736E-3</v>
      </c>
      <c r="W329" s="9">
        <f t="shared" si="208"/>
        <v>581256416</v>
      </c>
      <c r="X329" s="12">
        <f t="shared" si="208"/>
        <v>456.03999326999997</v>
      </c>
      <c r="Y329" s="11">
        <f t="shared" si="208"/>
        <v>1.6900000579999999</v>
      </c>
      <c r="Z329" s="7">
        <f t="shared" si="209"/>
        <v>100701424</v>
      </c>
      <c r="AA329" s="7">
        <f t="shared" si="209"/>
        <v>6.5500030500000008</v>
      </c>
      <c r="AB329" s="7">
        <f t="shared" si="209"/>
        <v>9.9999900000002917E-3</v>
      </c>
    </row>
    <row r="330" spans="1:28" x14ac:dyDescent="0.25">
      <c r="A330" s="2">
        <v>326</v>
      </c>
      <c r="B330">
        <v>4</v>
      </c>
      <c r="C330">
        <v>0</v>
      </c>
      <c r="D330">
        <v>1</v>
      </c>
      <c r="E330">
        <v>3</v>
      </c>
      <c r="G330">
        <v>241505392</v>
      </c>
      <c r="H330">
        <v>48.849998470000003</v>
      </c>
      <c r="I330">
        <v>2.4100000860000002</v>
      </c>
      <c r="J330" s="9">
        <f t="shared" si="199"/>
        <v>2436176</v>
      </c>
      <c r="K330" s="52"/>
      <c r="L330" s="9">
        <f t="shared" si="215"/>
        <v>1.0199966400000022</v>
      </c>
      <c r="M330" s="9">
        <f t="shared" si="215"/>
        <v>9.9999909999999304E-3</v>
      </c>
      <c r="N330" s="29">
        <f t="shared" si="173"/>
        <v>224802693</v>
      </c>
      <c r="O330" s="30">
        <f t="shared" si="174"/>
        <v>4.4863546304702018</v>
      </c>
      <c r="P330" s="30">
        <f t="shared" si="175"/>
        <v>4.4863546304702018</v>
      </c>
      <c r="Q330" s="29">
        <f t="shared" si="176"/>
        <v>28.299999230000005</v>
      </c>
      <c r="R330" s="30">
        <f t="shared" si="177"/>
        <v>0.4590429890773402</v>
      </c>
      <c r="S330" s="30">
        <f t="shared" si="178"/>
        <v>0.4590429890773402</v>
      </c>
      <c r="T330" s="37">
        <f t="shared" si="179"/>
        <v>7.0000172000000305E-2</v>
      </c>
      <c r="U330" s="30">
        <f t="shared" si="180"/>
        <v>9.9715348394097281E-3</v>
      </c>
      <c r="V330" s="38">
        <f t="shared" si="181"/>
        <v>1.1354448432897737E-3</v>
      </c>
      <c r="W330" s="9">
        <f t="shared" ref="W330:Y345" si="216">ABS(G330-G309)</f>
        <v>554103056</v>
      </c>
      <c r="X330" s="12">
        <f t="shared" si="216"/>
        <v>449.69998932999999</v>
      </c>
      <c r="Y330" s="11">
        <f t="shared" si="216"/>
        <v>1.6800000669999999</v>
      </c>
      <c r="Z330" s="7">
        <f t="shared" si="209"/>
        <v>99460976</v>
      </c>
      <c r="AA330" s="7">
        <f t="shared" si="209"/>
        <v>6.5499992300000045</v>
      </c>
      <c r="AB330" s="7">
        <f t="shared" si="209"/>
        <v>1.9999981000000222E-2</v>
      </c>
    </row>
    <row r="331" spans="1:28" x14ac:dyDescent="0.25">
      <c r="A331" s="2">
        <v>327</v>
      </c>
      <c r="B331">
        <v>4</v>
      </c>
      <c r="C331">
        <v>0</v>
      </c>
      <c r="D331">
        <v>1</v>
      </c>
      <c r="E331">
        <v>4</v>
      </c>
      <c r="G331">
        <v>225544000</v>
      </c>
      <c r="H331">
        <v>47.680000309999997</v>
      </c>
      <c r="I331">
        <v>2.4100000860000002</v>
      </c>
      <c r="J331" s="9">
        <f t="shared" si="199"/>
        <v>15961392</v>
      </c>
      <c r="K331" s="52"/>
      <c r="L331" s="9">
        <f t="shared" si="215"/>
        <v>1.1699981600000058</v>
      </c>
      <c r="M331" s="9">
        <f t="shared" si="215"/>
        <v>0</v>
      </c>
      <c r="N331" s="29">
        <f t="shared" si="173"/>
        <v>210343163</v>
      </c>
      <c r="O331" s="30">
        <f t="shared" si="174"/>
        <v>4.6125346694176557</v>
      </c>
      <c r="P331" s="30">
        <f t="shared" si="175"/>
        <v>4.6125346694176557</v>
      </c>
      <c r="Q331" s="29">
        <f t="shared" si="176"/>
        <v>27.809999469999998</v>
      </c>
      <c r="R331" s="30">
        <f t="shared" si="177"/>
        <v>0.46653243238279263</v>
      </c>
      <c r="S331" s="30">
        <f t="shared" si="178"/>
        <v>0.46653243238279263</v>
      </c>
      <c r="T331" s="37">
        <f t="shared" si="179"/>
        <v>7.0000172000000305E-2</v>
      </c>
      <c r="U331" s="30">
        <f t="shared" si="180"/>
        <v>9.9715348394097281E-3</v>
      </c>
      <c r="V331" s="38">
        <f t="shared" si="181"/>
        <v>1.1743024499372276E-3</v>
      </c>
      <c r="W331" s="9">
        <f t="shared" si="216"/>
        <v>501323264</v>
      </c>
      <c r="X331" s="12">
        <f t="shared" si="216"/>
        <v>420.39998629000002</v>
      </c>
      <c r="Y331" s="11">
        <f t="shared" si="216"/>
        <v>1.6800000669999999</v>
      </c>
      <c r="Z331" s="7">
        <f t="shared" si="209"/>
        <v>92065104</v>
      </c>
      <c r="AA331" s="7">
        <f t="shared" si="209"/>
        <v>6.4500007699999955</v>
      </c>
      <c r="AB331" s="7">
        <f t="shared" si="209"/>
        <v>1.9999981000000222E-2</v>
      </c>
    </row>
    <row r="332" spans="1:28" x14ac:dyDescent="0.25">
      <c r="A332" s="2">
        <v>328</v>
      </c>
      <c r="B332">
        <v>4</v>
      </c>
      <c r="C332">
        <v>0</v>
      </c>
      <c r="D332">
        <v>1</v>
      </c>
      <c r="E332">
        <v>5</v>
      </c>
      <c r="G332">
        <v>211057648</v>
      </c>
      <c r="H332">
        <v>47.11000061</v>
      </c>
      <c r="I332">
        <v>2.4100000860000002</v>
      </c>
      <c r="J332" s="9">
        <f t="shared" si="199"/>
        <v>14486352</v>
      </c>
      <c r="K332" s="52"/>
      <c r="L332" s="9">
        <f t="shared" si="215"/>
        <v>0.56999969999999678</v>
      </c>
      <c r="M332" s="9">
        <f t="shared" si="215"/>
        <v>0</v>
      </c>
      <c r="N332" s="29">
        <f t="shared" si="173"/>
        <v>197566367</v>
      </c>
      <c r="O332" s="30">
        <f t="shared" si="174"/>
        <v>4.8813345201739304</v>
      </c>
      <c r="P332" s="30">
        <f t="shared" si="175"/>
        <v>4.8813345201739304</v>
      </c>
      <c r="Q332" s="29">
        <f t="shared" si="176"/>
        <v>27.810001370000002</v>
      </c>
      <c r="R332" s="30">
        <f t="shared" si="177"/>
        <v>0.48031092340429898</v>
      </c>
      <c r="S332" s="30">
        <f t="shared" si="178"/>
        <v>0.48031092340429898</v>
      </c>
      <c r="T332" s="37">
        <f t="shared" si="179"/>
        <v>7.0000172000000305E-2</v>
      </c>
      <c r="U332" s="30">
        <f t="shared" si="180"/>
        <v>9.9715348394097281E-3</v>
      </c>
      <c r="V332" s="38">
        <f t="shared" si="181"/>
        <v>1.2089840199738147E-3</v>
      </c>
      <c r="W332" s="9">
        <f t="shared" si="216"/>
        <v>467169424</v>
      </c>
      <c r="X332" s="12">
        <f t="shared" si="216"/>
        <v>383.94999698999999</v>
      </c>
      <c r="Y332" s="11">
        <f t="shared" si="216"/>
        <v>1.6800000669999999</v>
      </c>
      <c r="Z332" s="7">
        <f t="shared" si="209"/>
        <v>86262768</v>
      </c>
      <c r="AA332" s="7">
        <f t="shared" si="209"/>
        <v>6.4000015299999973</v>
      </c>
      <c r="AB332" s="7">
        <f t="shared" si="209"/>
        <v>1.9999981000000222E-2</v>
      </c>
    </row>
    <row r="333" spans="1:28" x14ac:dyDescent="0.25">
      <c r="A333" s="2">
        <v>329</v>
      </c>
      <c r="B333">
        <v>4</v>
      </c>
      <c r="C333">
        <v>0</v>
      </c>
      <c r="D333">
        <v>1</v>
      </c>
      <c r="E333">
        <v>6</v>
      </c>
      <c r="G333">
        <v>176272480</v>
      </c>
      <c r="H333">
        <v>44.25</v>
      </c>
      <c r="I333">
        <v>2.4100000860000002</v>
      </c>
      <c r="J333" s="9">
        <f t="shared" si="199"/>
        <v>34785168</v>
      </c>
      <c r="K333" s="52">
        <f t="shared" ref="K333" si="217">AVERAGE(J328:J333)</f>
        <v>12269696</v>
      </c>
      <c r="L333" s="9">
        <f t="shared" si="215"/>
        <v>2.8600006100000002</v>
      </c>
      <c r="M333" s="9">
        <f t="shared" si="215"/>
        <v>0</v>
      </c>
      <c r="N333" s="29">
        <f t="shared" ref="N333:N396" si="218">ABS(G333-G326)</f>
        <v>166966786</v>
      </c>
      <c r="O333" s="30">
        <f t="shared" ref="O333:O396" si="219">(N333/ABS(G326))/3</f>
        <v>5.9808108168325047</v>
      </c>
      <c r="P333" s="30">
        <f t="shared" ref="P333:P396" si="220">(N333/ABS(G326))/(IF(AND(D333=1,D326=0),(2400-600)/600,IF(AND(D333=2,D326=1),(6000-2400)/2400,IF(AND(D333=0,D326=2),ABS(600-6000)/6000,"Not Valid"))))</f>
        <v>5.9808108168325047</v>
      </c>
      <c r="Q333" s="29">
        <f t="shared" ref="Q333:Q396" si="221">ABS(H333-H326)</f>
        <v>26.870000839999999</v>
      </c>
      <c r="R333" s="30">
        <f t="shared" ref="R333:R396" si="222">(Q333/ABS(H326))/3</f>
        <v>0.5153433475002922</v>
      </c>
      <c r="S333" s="30">
        <f t="shared" ref="S333:S396" si="223">(Q333/ABS(H326))/(IF(AND(D333=1,D326=0),(2400-600)/600,IF(AND(D333=2,D326=1),(6000-2400)/2400,IF(AND(D333=0,D326=2),ABS(600-6000)/6000,"Not Valid"))))</f>
        <v>0.5153433475002922</v>
      </c>
      <c r="T333" s="37">
        <f t="shared" ref="T333:T396" si="224">ABS(I333-I326)</f>
        <v>7.0000172000000305E-2</v>
      </c>
      <c r="U333" s="30">
        <f t="shared" ref="U333:U396" si="225">(T333/ABS(I326))/3</f>
        <v>9.9715348394097281E-3</v>
      </c>
      <c r="V333" s="38">
        <f t="shared" ref="V333:V396" si="226">(T333/ABS(H326))/(IF(AND(D333=1,D326=0),(2400-600)/600,IF(AND(D333=2,D326=1),(6000-2400)/2400,IF(AND(D333=0,D326=2),ABS(600-6000)/6000,"Not Valid"))))</f>
        <v>1.342542680920749E-3</v>
      </c>
      <c r="W333" s="9">
        <f t="shared" si="216"/>
        <v>376450272</v>
      </c>
      <c r="X333" s="12">
        <f t="shared" si="216"/>
        <v>314.38000490000002</v>
      </c>
      <c r="Y333" s="11">
        <f t="shared" si="216"/>
        <v>1.6800000669999999</v>
      </c>
      <c r="Z333" s="7">
        <f t="shared" si="209"/>
        <v>72041224</v>
      </c>
      <c r="AA333" s="7">
        <f t="shared" si="209"/>
        <v>6.2200012200000003</v>
      </c>
      <c r="AB333" s="7">
        <f t="shared" si="209"/>
        <v>1.9999981000000222E-2</v>
      </c>
    </row>
    <row r="334" spans="1:28" x14ac:dyDescent="0.25">
      <c r="A334" s="2">
        <v>330</v>
      </c>
      <c r="B334">
        <v>4</v>
      </c>
      <c r="C334">
        <v>0</v>
      </c>
      <c r="D334">
        <v>2</v>
      </c>
      <c r="E334">
        <v>0</v>
      </c>
      <c r="G334">
        <v>854337024</v>
      </c>
      <c r="H334">
        <v>84.41999817</v>
      </c>
      <c r="I334">
        <v>2.5699999330000001</v>
      </c>
      <c r="K334" s="52"/>
      <c r="N334" s="29">
        <f t="shared" si="218"/>
        <v>616991648</v>
      </c>
      <c r="O334" s="30">
        <f t="shared" si="219"/>
        <v>0.86651733491815186</v>
      </c>
      <c r="P334" s="30">
        <f t="shared" si="220"/>
        <v>1.7330346698363037</v>
      </c>
      <c r="Q334" s="29">
        <f t="shared" si="221"/>
        <v>36.949996949999999</v>
      </c>
      <c r="R334" s="30">
        <f t="shared" si="222"/>
        <v>0.25946208833908263</v>
      </c>
      <c r="S334" s="30">
        <f t="shared" si="223"/>
        <v>0.51892417667816526</v>
      </c>
      <c r="T334" s="37">
        <f t="shared" si="224"/>
        <v>0.16999983799999985</v>
      </c>
      <c r="U334" s="30">
        <f t="shared" si="225"/>
        <v>2.3611087676505535E-2</v>
      </c>
      <c r="V334" s="38">
        <f t="shared" si="226"/>
        <v>2.3874704533519966E-3</v>
      </c>
      <c r="W334" s="9">
        <f t="shared" si="216"/>
        <v>1378921728</v>
      </c>
      <c r="X334" s="12">
        <f t="shared" si="216"/>
        <v>10084.410232170001</v>
      </c>
      <c r="Y334" s="11">
        <f t="shared" si="216"/>
        <v>1.8399999139999998</v>
      </c>
      <c r="Z334" s="7">
        <f t="shared" ref="Z334:AB349" si="227">ABS(G334-G229)</f>
        <v>307829888</v>
      </c>
      <c r="AA334" s="7">
        <f t="shared" si="227"/>
        <v>9.7999954200000019</v>
      </c>
      <c r="AB334" s="7">
        <f t="shared" si="227"/>
        <v>2.999997100000007E-2</v>
      </c>
    </row>
    <row r="335" spans="1:28" x14ac:dyDescent="0.25">
      <c r="A335" s="2">
        <v>331</v>
      </c>
      <c r="B335">
        <v>4</v>
      </c>
      <c r="C335">
        <v>0</v>
      </c>
      <c r="D335">
        <v>2</v>
      </c>
      <c r="E335">
        <v>1</v>
      </c>
      <c r="G335">
        <v>863999488</v>
      </c>
      <c r="H335">
        <v>87.050003050000001</v>
      </c>
      <c r="I335">
        <v>2.5699999330000001</v>
      </c>
      <c r="J335" s="9">
        <f t="shared" ref="J335" si="228">ABS(G335-G334)</f>
        <v>9662464</v>
      </c>
      <c r="K335" s="52"/>
      <c r="L335" s="9">
        <f t="shared" ref="L335:M340" si="229">ABS(H335-H334)</f>
        <v>2.6300048800000013</v>
      </c>
      <c r="M335" s="9">
        <f t="shared" si="229"/>
        <v>0</v>
      </c>
      <c r="N335" s="29">
        <f t="shared" si="218"/>
        <v>622817648</v>
      </c>
      <c r="O335" s="30">
        <f t="shared" si="219"/>
        <v>0.86078571532030212</v>
      </c>
      <c r="P335" s="30">
        <f t="shared" si="220"/>
        <v>1.7215714306406042</v>
      </c>
      <c r="Q335" s="29">
        <f t="shared" si="221"/>
        <v>38.800003050000001</v>
      </c>
      <c r="R335" s="30">
        <f t="shared" si="222"/>
        <v>0.26804838031088085</v>
      </c>
      <c r="S335" s="30">
        <f t="shared" si="223"/>
        <v>0.5360967606217617</v>
      </c>
      <c r="T335" s="37">
        <f t="shared" si="224"/>
        <v>0.16999983799999985</v>
      </c>
      <c r="U335" s="30">
        <f t="shared" si="225"/>
        <v>2.3611087676505535E-2</v>
      </c>
      <c r="V335" s="38">
        <f t="shared" si="226"/>
        <v>2.3488751364421395E-3</v>
      </c>
      <c r="W335" s="9">
        <f t="shared" si="216"/>
        <v>1353434112</v>
      </c>
      <c r="X335" s="12">
        <f t="shared" si="216"/>
        <v>10087.040237050001</v>
      </c>
      <c r="Y335" s="11">
        <f t="shared" si="216"/>
        <v>1.8399999139999998</v>
      </c>
      <c r="Z335" s="7">
        <f t="shared" si="227"/>
        <v>308059648</v>
      </c>
      <c r="AA335" s="7">
        <f t="shared" si="227"/>
        <v>10.069999690000003</v>
      </c>
      <c r="AB335" s="7">
        <f t="shared" si="227"/>
        <v>2.999997100000007E-2</v>
      </c>
    </row>
    <row r="336" spans="1:28" x14ac:dyDescent="0.25">
      <c r="A336" s="2">
        <v>332</v>
      </c>
      <c r="B336">
        <v>4</v>
      </c>
      <c r="C336">
        <v>0</v>
      </c>
      <c r="D336">
        <v>2</v>
      </c>
      <c r="E336">
        <v>2</v>
      </c>
      <c r="G336">
        <v>859129344</v>
      </c>
      <c r="H336">
        <v>85.66999817</v>
      </c>
      <c r="I336">
        <v>2.5699999330000001</v>
      </c>
      <c r="J336" s="9">
        <f t="shared" si="203"/>
        <v>4870144</v>
      </c>
      <c r="K336" s="52"/>
      <c r="L336" s="9">
        <f t="shared" si="229"/>
        <v>1.3800048800000013</v>
      </c>
      <c r="M336" s="9">
        <f t="shared" si="229"/>
        <v>0</v>
      </c>
      <c r="N336" s="29">
        <f t="shared" si="218"/>
        <v>620060128</v>
      </c>
      <c r="O336" s="30">
        <f t="shared" si="219"/>
        <v>0.86454756823786694</v>
      </c>
      <c r="P336" s="30">
        <f t="shared" si="220"/>
        <v>1.7290951364757339</v>
      </c>
      <c r="Q336" s="29">
        <f t="shared" si="221"/>
        <v>37.839996339999999</v>
      </c>
      <c r="R336" s="30">
        <f t="shared" si="222"/>
        <v>0.26371172132011045</v>
      </c>
      <c r="S336" s="30">
        <f t="shared" si="223"/>
        <v>0.5274234426402209</v>
      </c>
      <c r="T336" s="37">
        <f t="shared" si="224"/>
        <v>0.16999983799999985</v>
      </c>
      <c r="U336" s="30">
        <f t="shared" si="225"/>
        <v>2.3611087676505535E-2</v>
      </c>
      <c r="V336" s="38">
        <f t="shared" si="226"/>
        <v>2.3695007526060392E-3</v>
      </c>
      <c r="W336" s="9">
        <f t="shared" si="216"/>
        <v>1368630784</v>
      </c>
      <c r="X336" s="12">
        <f t="shared" si="216"/>
        <v>10085.660232170001</v>
      </c>
      <c r="Y336" s="11">
        <f t="shared" si="216"/>
        <v>1.8399999139999998</v>
      </c>
      <c r="Z336" s="7">
        <f t="shared" si="227"/>
        <v>308117632</v>
      </c>
      <c r="AA336" s="7">
        <f t="shared" si="227"/>
        <v>9.9300003099999969</v>
      </c>
      <c r="AB336" s="7">
        <f t="shared" si="227"/>
        <v>2.999997100000007E-2</v>
      </c>
    </row>
    <row r="337" spans="1:28" x14ac:dyDescent="0.25">
      <c r="A337" s="2">
        <v>333</v>
      </c>
      <c r="B337">
        <v>4</v>
      </c>
      <c r="C337">
        <v>0</v>
      </c>
      <c r="D337">
        <v>2</v>
      </c>
      <c r="E337">
        <v>3</v>
      </c>
      <c r="G337">
        <v>862512192</v>
      </c>
      <c r="H337">
        <v>90</v>
      </c>
      <c r="I337">
        <v>2.5699999330000001</v>
      </c>
      <c r="J337" s="9">
        <f t="shared" si="203"/>
        <v>3382848</v>
      </c>
      <c r="K337" s="52"/>
      <c r="L337" s="9">
        <f t="shared" si="229"/>
        <v>4.3300018300000005</v>
      </c>
      <c r="M337" s="9">
        <f t="shared" si="229"/>
        <v>0</v>
      </c>
      <c r="N337" s="29">
        <f t="shared" si="218"/>
        <v>621006800</v>
      </c>
      <c r="O337" s="30">
        <f t="shared" si="219"/>
        <v>0.85713310561060541</v>
      </c>
      <c r="P337" s="30">
        <f t="shared" si="220"/>
        <v>1.7142662112212108</v>
      </c>
      <c r="Q337" s="29">
        <f t="shared" si="221"/>
        <v>41.150001529999997</v>
      </c>
      <c r="R337" s="30">
        <f t="shared" si="222"/>
        <v>0.28079155795860283</v>
      </c>
      <c r="S337" s="30">
        <f t="shared" si="223"/>
        <v>0.56158311591720567</v>
      </c>
      <c r="T337" s="37">
        <f t="shared" si="224"/>
        <v>0.15999984699999992</v>
      </c>
      <c r="U337" s="30">
        <f t="shared" si="225"/>
        <v>2.2129991879731952E-2</v>
      </c>
      <c r="V337" s="38">
        <f t="shared" si="226"/>
        <v>2.1835530810133635E-3</v>
      </c>
      <c r="W337" s="9">
        <f t="shared" si="216"/>
        <v>1291837120</v>
      </c>
      <c r="X337" s="12">
        <f t="shared" si="216"/>
        <v>10089.990234000001</v>
      </c>
      <c r="Y337" s="11">
        <f t="shared" si="216"/>
        <v>1.8399999139999998</v>
      </c>
      <c r="Z337" s="7">
        <f t="shared" si="227"/>
        <v>303013440</v>
      </c>
      <c r="AA337" s="7">
        <f t="shared" si="227"/>
        <v>10.400001529999997</v>
      </c>
      <c r="AB337" s="7">
        <f t="shared" si="227"/>
        <v>2.999997100000007E-2</v>
      </c>
    </row>
    <row r="338" spans="1:28" x14ac:dyDescent="0.25">
      <c r="A338" s="2">
        <v>334</v>
      </c>
      <c r="B338">
        <v>4</v>
      </c>
      <c r="C338">
        <v>0</v>
      </c>
      <c r="D338">
        <v>2</v>
      </c>
      <c r="E338">
        <v>4</v>
      </c>
      <c r="G338">
        <v>808455168</v>
      </c>
      <c r="H338">
        <v>88.550003050000001</v>
      </c>
      <c r="I338">
        <v>2.579999924</v>
      </c>
      <c r="J338" s="9">
        <f t="shared" si="203"/>
        <v>54057024</v>
      </c>
      <c r="K338" s="52"/>
      <c r="L338" s="9">
        <f t="shared" si="229"/>
        <v>1.4499969499999992</v>
      </c>
      <c r="M338" s="9">
        <f t="shared" si="229"/>
        <v>9.9999909999999304E-3</v>
      </c>
      <c r="N338" s="29">
        <f t="shared" si="218"/>
        <v>582911168</v>
      </c>
      <c r="O338" s="30">
        <f t="shared" si="219"/>
        <v>0.86148921126993694</v>
      </c>
      <c r="P338" s="30">
        <f t="shared" si="220"/>
        <v>1.7229784225398739</v>
      </c>
      <c r="Q338" s="29">
        <f t="shared" si="221"/>
        <v>40.870002740000004</v>
      </c>
      <c r="R338" s="30">
        <f t="shared" si="222"/>
        <v>0.28572429022844253</v>
      </c>
      <c r="S338" s="30">
        <f t="shared" si="223"/>
        <v>0.57144858045688507</v>
      </c>
      <c r="T338" s="37">
        <f t="shared" si="224"/>
        <v>0.16999983799999985</v>
      </c>
      <c r="U338" s="30">
        <f t="shared" si="225"/>
        <v>2.3513116450016015E-2</v>
      </c>
      <c r="V338" s="38">
        <f t="shared" si="226"/>
        <v>2.3769552138522888E-3</v>
      </c>
      <c r="W338" s="9">
        <f t="shared" si="216"/>
        <v>1155983872</v>
      </c>
      <c r="X338" s="12">
        <f t="shared" si="216"/>
        <v>10088.540237050001</v>
      </c>
      <c r="Y338" s="11">
        <f t="shared" si="216"/>
        <v>1.8299999229999999</v>
      </c>
      <c r="Z338" s="7">
        <f t="shared" si="227"/>
        <v>280371616</v>
      </c>
      <c r="AA338" s="7">
        <f t="shared" si="227"/>
        <v>10.300003050000001</v>
      </c>
      <c r="AB338" s="7">
        <f t="shared" si="227"/>
        <v>3.9999962E-2</v>
      </c>
    </row>
    <row r="339" spans="1:28" x14ac:dyDescent="0.25">
      <c r="A339" s="2">
        <v>335</v>
      </c>
      <c r="B339">
        <v>4</v>
      </c>
      <c r="C339">
        <v>0</v>
      </c>
      <c r="D339">
        <v>2</v>
      </c>
      <c r="E339">
        <v>5</v>
      </c>
      <c r="G339">
        <v>759328192</v>
      </c>
      <c r="H339">
        <v>88.550003050000001</v>
      </c>
      <c r="I339">
        <v>2.579999924</v>
      </c>
      <c r="J339" s="9">
        <f t="shared" si="203"/>
        <v>49126976</v>
      </c>
      <c r="K339" s="52"/>
      <c r="L339" s="9">
        <f t="shared" si="229"/>
        <v>0</v>
      </c>
      <c r="M339" s="9">
        <f t="shared" si="229"/>
        <v>0</v>
      </c>
      <c r="N339" s="29">
        <f t="shared" si="218"/>
        <v>548270544</v>
      </c>
      <c r="O339" s="30">
        <f t="shared" si="219"/>
        <v>0.86590962105291724</v>
      </c>
      <c r="P339" s="30">
        <f t="shared" si="220"/>
        <v>1.7318192421058345</v>
      </c>
      <c r="Q339" s="29">
        <f t="shared" si="221"/>
        <v>41.440002440000001</v>
      </c>
      <c r="R339" s="30">
        <f t="shared" si="222"/>
        <v>0.29321447607314449</v>
      </c>
      <c r="S339" s="30">
        <f t="shared" si="223"/>
        <v>0.58642895214628898</v>
      </c>
      <c r="T339" s="37">
        <f t="shared" si="224"/>
        <v>0.16999983799999985</v>
      </c>
      <c r="U339" s="30">
        <f t="shared" si="225"/>
        <v>2.3513116450016015E-2</v>
      </c>
      <c r="V339" s="38">
        <f t="shared" si="226"/>
        <v>2.4057147923126133E-3</v>
      </c>
      <c r="W339" s="9">
        <f t="shared" si="216"/>
        <v>1079779264</v>
      </c>
      <c r="X339" s="12">
        <f t="shared" si="216"/>
        <v>10088.540237050001</v>
      </c>
      <c r="Y339" s="11">
        <f t="shared" si="216"/>
        <v>1.8299999229999999</v>
      </c>
      <c r="Z339" s="7">
        <f t="shared" si="227"/>
        <v>262566912</v>
      </c>
      <c r="AA339" s="7">
        <f t="shared" si="227"/>
        <v>10.319999690000003</v>
      </c>
      <c r="AB339" s="7">
        <f t="shared" si="227"/>
        <v>3.9999962E-2</v>
      </c>
    </row>
    <row r="340" spans="1:28" x14ac:dyDescent="0.25">
      <c r="A340" s="2">
        <v>336</v>
      </c>
      <c r="B340">
        <v>4</v>
      </c>
      <c r="C340">
        <v>0</v>
      </c>
      <c r="D340">
        <v>2</v>
      </c>
      <c r="E340">
        <v>6</v>
      </c>
      <c r="G340">
        <v>642355136</v>
      </c>
      <c r="H340">
        <v>83.930000309999997</v>
      </c>
      <c r="I340">
        <v>2.579999924</v>
      </c>
      <c r="J340" s="9">
        <f t="shared" si="203"/>
        <v>116973056</v>
      </c>
      <c r="K340" s="52">
        <f t="shared" ref="K340" si="230">AVERAGE(J335:J340)</f>
        <v>39678752</v>
      </c>
      <c r="L340" s="9">
        <f t="shared" si="229"/>
        <v>4.6200027400000039</v>
      </c>
      <c r="M340" s="9">
        <f t="shared" si="229"/>
        <v>0</v>
      </c>
      <c r="N340" s="29">
        <f t="shared" si="218"/>
        <v>466082656</v>
      </c>
      <c r="O340" s="30">
        <f t="shared" si="219"/>
        <v>0.88136778544973859</v>
      </c>
      <c r="P340" s="30">
        <f t="shared" si="220"/>
        <v>1.7627355708994772</v>
      </c>
      <c r="Q340" s="29">
        <f t="shared" si="221"/>
        <v>39.680000309999997</v>
      </c>
      <c r="R340" s="30">
        <f t="shared" si="222"/>
        <v>0.29890772361581919</v>
      </c>
      <c r="S340" s="30">
        <f t="shared" si="223"/>
        <v>0.59781544723163837</v>
      </c>
      <c r="T340" s="37">
        <f t="shared" si="224"/>
        <v>0.16999983799999985</v>
      </c>
      <c r="U340" s="30">
        <f t="shared" si="225"/>
        <v>2.3513116450016015E-2</v>
      </c>
      <c r="V340" s="38">
        <f t="shared" si="226"/>
        <v>2.5612028323917114E-3</v>
      </c>
      <c r="W340" s="9">
        <f t="shared" si="216"/>
        <v>861371712</v>
      </c>
      <c r="X340" s="12">
        <f t="shared" si="216"/>
        <v>10083.920234310001</v>
      </c>
      <c r="Y340" s="11">
        <f t="shared" si="216"/>
        <v>1.8299999229999999</v>
      </c>
      <c r="Z340" s="7">
        <f t="shared" si="227"/>
        <v>219072448</v>
      </c>
      <c r="AA340" s="7">
        <f t="shared" si="227"/>
        <v>9.8700027499999976</v>
      </c>
      <c r="AB340" s="7">
        <f t="shared" si="227"/>
        <v>2.9999972000000152E-2</v>
      </c>
    </row>
    <row r="341" spans="1:28" x14ac:dyDescent="0.25">
      <c r="A341" s="2">
        <v>337</v>
      </c>
      <c r="B341">
        <v>4</v>
      </c>
      <c r="C341">
        <v>1</v>
      </c>
      <c r="D341">
        <v>0</v>
      </c>
      <c r="E341">
        <v>0</v>
      </c>
      <c r="G341">
        <v>15493634</v>
      </c>
      <c r="H341">
        <v>19.93000031</v>
      </c>
      <c r="I341">
        <v>2.3399999139999998</v>
      </c>
      <c r="K341" s="52"/>
      <c r="N341" s="29">
        <f t="shared" si="218"/>
        <v>838843390</v>
      </c>
      <c r="O341" s="30">
        <f t="shared" si="219"/>
        <v>0.32728824278758323</v>
      </c>
      <c r="P341" s="30">
        <f t="shared" si="220"/>
        <v>1.0909608092919441</v>
      </c>
      <c r="Q341" s="29">
        <f t="shared" si="221"/>
        <v>64.489997860000003</v>
      </c>
      <c r="R341" s="30">
        <f t="shared" si="222"/>
        <v>0.25463949797824703</v>
      </c>
      <c r="S341" s="30">
        <f t="shared" si="223"/>
        <v>0.84879832659415677</v>
      </c>
      <c r="T341" s="37">
        <f t="shared" si="224"/>
        <v>0.23000001900000022</v>
      </c>
      <c r="U341" s="30">
        <f t="shared" si="225"/>
        <v>2.9831391050079092E-2</v>
      </c>
      <c r="V341" s="38">
        <f t="shared" si="226"/>
        <v>3.0271923976122835E-3</v>
      </c>
      <c r="W341" s="9">
        <f t="shared" si="216"/>
        <v>1175578</v>
      </c>
      <c r="X341" s="12">
        <f t="shared" si="216"/>
        <v>0.39999961999999911</v>
      </c>
      <c r="Y341" s="11">
        <f t="shared" si="216"/>
        <v>0</v>
      </c>
      <c r="Z341" s="7">
        <f t="shared" si="227"/>
        <v>10508611</v>
      </c>
      <c r="AA341" s="7">
        <f t="shared" si="227"/>
        <v>4.7000007700000008</v>
      </c>
      <c r="AB341" s="7">
        <f t="shared" si="227"/>
        <v>0</v>
      </c>
    </row>
    <row r="342" spans="1:28" x14ac:dyDescent="0.25">
      <c r="A342" s="2">
        <v>338</v>
      </c>
      <c r="B342">
        <v>4</v>
      </c>
      <c r="C342">
        <v>1</v>
      </c>
      <c r="D342">
        <v>0</v>
      </c>
      <c r="E342">
        <v>1</v>
      </c>
      <c r="G342">
        <v>16834934</v>
      </c>
      <c r="H342">
        <v>20.5</v>
      </c>
      <c r="I342">
        <v>2.3399999139999998</v>
      </c>
      <c r="J342" s="9">
        <f t="shared" ref="J342" si="231">ABS(G342-G341)</f>
        <v>1341300</v>
      </c>
      <c r="K342" s="52"/>
      <c r="L342" s="9">
        <f t="shared" ref="L342:M347" si="232">ABS(H342-H341)</f>
        <v>0.5699996899999995</v>
      </c>
      <c r="M342" s="9">
        <f t="shared" si="232"/>
        <v>0</v>
      </c>
      <c r="N342" s="29">
        <f t="shared" si="218"/>
        <v>847164554</v>
      </c>
      <c r="O342" s="30">
        <f t="shared" si="219"/>
        <v>0.32683837037952812</v>
      </c>
      <c r="P342" s="30">
        <f t="shared" si="220"/>
        <v>1.0894612345984271</v>
      </c>
      <c r="Q342" s="29">
        <f t="shared" si="221"/>
        <v>66.550003050000001</v>
      </c>
      <c r="R342" s="30">
        <f t="shared" si="222"/>
        <v>0.25483438911838158</v>
      </c>
      <c r="S342" s="30">
        <f t="shared" si="223"/>
        <v>0.84944796372793852</v>
      </c>
      <c r="T342" s="37">
        <f t="shared" si="224"/>
        <v>0.23000001900000022</v>
      </c>
      <c r="U342" s="30">
        <f t="shared" si="225"/>
        <v>2.9831391050079092E-2</v>
      </c>
      <c r="V342" s="38">
        <f t="shared" si="226"/>
        <v>2.9357331155965638E-3</v>
      </c>
      <c r="W342" s="9">
        <f t="shared" si="216"/>
        <v>1175964</v>
      </c>
      <c r="X342" s="12">
        <f t="shared" si="216"/>
        <v>0.40999984999999839</v>
      </c>
      <c r="Y342" s="11">
        <f t="shared" si="216"/>
        <v>0</v>
      </c>
      <c r="Z342" s="7">
        <f t="shared" si="227"/>
        <v>10842606</v>
      </c>
      <c r="AA342" s="7">
        <f t="shared" si="227"/>
        <v>4.6800003100000005</v>
      </c>
      <c r="AB342" s="7">
        <f t="shared" si="227"/>
        <v>0</v>
      </c>
    </row>
    <row r="343" spans="1:28" x14ac:dyDescent="0.25">
      <c r="A343" s="2">
        <v>339</v>
      </c>
      <c r="B343">
        <v>4</v>
      </c>
      <c r="C343">
        <v>1</v>
      </c>
      <c r="D343">
        <v>0</v>
      </c>
      <c r="E343">
        <v>2</v>
      </c>
      <c r="G343">
        <v>16094101</v>
      </c>
      <c r="H343">
        <v>20.200000760000002</v>
      </c>
      <c r="I343">
        <v>2.3399999139999998</v>
      </c>
      <c r="J343" s="9">
        <f t="shared" si="199"/>
        <v>740833</v>
      </c>
      <c r="K343" s="52"/>
      <c r="L343" s="9">
        <f t="shared" si="232"/>
        <v>0.29999923999999822</v>
      </c>
      <c r="M343" s="9">
        <f t="shared" si="232"/>
        <v>0</v>
      </c>
      <c r="N343" s="29">
        <f t="shared" si="218"/>
        <v>843035243</v>
      </c>
      <c r="O343" s="30">
        <f t="shared" si="219"/>
        <v>0.32708898797276637</v>
      </c>
      <c r="P343" s="30">
        <f t="shared" si="220"/>
        <v>1.090296626575888</v>
      </c>
      <c r="Q343" s="29">
        <f t="shared" si="221"/>
        <v>65.469997409999991</v>
      </c>
      <c r="R343" s="30">
        <f t="shared" si="222"/>
        <v>0.25473716512395245</v>
      </c>
      <c r="S343" s="30">
        <f t="shared" si="223"/>
        <v>0.84912388374650816</v>
      </c>
      <c r="T343" s="37">
        <f t="shared" si="224"/>
        <v>0.23000001900000022</v>
      </c>
      <c r="U343" s="30">
        <f t="shared" si="225"/>
        <v>2.9831391050079092E-2</v>
      </c>
      <c r="V343" s="38">
        <f t="shared" si="226"/>
        <v>2.9830230200256686E-3</v>
      </c>
      <c r="W343" s="9">
        <f t="shared" si="216"/>
        <v>1167361</v>
      </c>
      <c r="X343" s="12">
        <f t="shared" si="216"/>
        <v>0.40000152000000355</v>
      </c>
      <c r="Y343" s="11">
        <f t="shared" si="216"/>
        <v>0</v>
      </c>
      <c r="Z343" s="7">
        <f t="shared" si="227"/>
        <v>10637411</v>
      </c>
      <c r="AA343" s="7">
        <f t="shared" si="227"/>
        <v>4.6800003000000014</v>
      </c>
      <c r="AB343" s="7">
        <f t="shared" si="227"/>
        <v>0</v>
      </c>
    </row>
    <row r="344" spans="1:28" x14ac:dyDescent="0.25">
      <c r="A344" s="2">
        <v>340</v>
      </c>
      <c r="B344">
        <v>4</v>
      </c>
      <c r="C344">
        <v>1</v>
      </c>
      <c r="D344">
        <v>0</v>
      </c>
      <c r="E344">
        <v>3</v>
      </c>
      <c r="G344">
        <v>17843996</v>
      </c>
      <c r="H344">
        <v>20.920000080000001</v>
      </c>
      <c r="I344">
        <v>2.3399999139999998</v>
      </c>
      <c r="J344" s="9">
        <f t="shared" si="199"/>
        <v>1749895</v>
      </c>
      <c r="K344" s="52"/>
      <c r="L344" s="9">
        <f t="shared" si="232"/>
        <v>0.71999931999999944</v>
      </c>
      <c r="M344" s="9">
        <f t="shared" si="232"/>
        <v>0</v>
      </c>
      <c r="N344" s="29">
        <f t="shared" si="218"/>
        <v>844668196</v>
      </c>
      <c r="O344" s="30">
        <f t="shared" si="219"/>
        <v>0.32643720047650449</v>
      </c>
      <c r="P344" s="30">
        <f t="shared" si="220"/>
        <v>1.0881240015883482</v>
      </c>
      <c r="Q344" s="29">
        <f t="shared" si="221"/>
        <v>69.079999920000006</v>
      </c>
      <c r="R344" s="30">
        <f t="shared" si="222"/>
        <v>0.25585185155555557</v>
      </c>
      <c r="S344" s="30">
        <f t="shared" si="223"/>
        <v>0.85283950518518514</v>
      </c>
      <c r="T344" s="37">
        <f t="shared" si="224"/>
        <v>0.23000001900000022</v>
      </c>
      <c r="U344" s="30">
        <f t="shared" si="225"/>
        <v>2.9831391050079092E-2</v>
      </c>
      <c r="V344" s="38">
        <f t="shared" si="226"/>
        <v>2.8395064074074102E-3</v>
      </c>
      <c r="W344" s="9">
        <f t="shared" si="216"/>
        <v>1141297</v>
      </c>
      <c r="X344" s="12">
        <f t="shared" si="216"/>
        <v>0.370000840000003</v>
      </c>
      <c r="Y344" s="11">
        <f t="shared" si="216"/>
        <v>0</v>
      </c>
      <c r="Z344" s="7">
        <f t="shared" si="227"/>
        <v>11032763.5</v>
      </c>
      <c r="AA344" s="7">
        <f t="shared" si="227"/>
        <v>4.6299991600000006</v>
      </c>
      <c r="AB344" s="7">
        <f t="shared" si="227"/>
        <v>0</v>
      </c>
    </row>
    <row r="345" spans="1:28" x14ac:dyDescent="0.25">
      <c r="A345" s="2">
        <v>341</v>
      </c>
      <c r="B345">
        <v>4</v>
      </c>
      <c r="C345">
        <v>1</v>
      </c>
      <c r="D345">
        <v>0</v>
      </c>
      <c r="E345">
        <v>4</v>
      </c>
      <c r="G345">
        <v>16289627</v>
      </c>
      <c r="H345">
        <v>20.25</v>
      </c>
      <c r="I345">
        <v>2.3399999139999998</v>
      </c>
      <c r="J345" s="9">
        <f t="shared" si="199"/>
        <v>1554369</v>
      </c>
      <c r="K345" s="52"/>
      <c r="L345" s="9">
        <f t="shared" si="232"/>
        <v>0.67000008000000122</v>
      </c>
      <c r="M345" s="9">
        <f t="shared" si="232"/>
        <v>0</v>
      </c>
      <c r="N345" s="29">
        <f t="shared" si="218"/>
        <v>792165541</v>
      </c>
      <c r="O345" s="30">
        <f t="shared" si="219"/>
        <v>0.32661697368645348</v>
      </c>
      <c r="P345" s="30">
        <f t="shared" si="220"/>
        <v>1.0887232456215117</v>
      </c>
      <c r="Q345" s="29">
        <f t="shared" si="221"/>
        <v>68.300003050000001</v>
      </c>
      <c r="R345" s="30">
        <f t="shared" si="222"/>
        <v>0.25710521625254007</v>
      </c>
      <c r="S345" s="30">
        <f t="shared" si="223"/>
        <v>0.8570173875084669</v>
      </c>
      <c r="T345" s="37">
        <f t="shared" si="224"/>
        <v>0.24000001000000015</v>
      </c>
      <c r="U345" s="30">
        <f t="shared" si="225"/>
        <v>3.1007754143380889E-2</v>
      </c>
      <c r="V345" s="38">
        <f t="shared" si="226"/>
        <v>3.0114812941023149E-3</v>
      </c>
      <c r="W345" s="9">
        <f t="shared" si="216"/>
        <v>1088790</v>
      </c>
      <c r="X345" s="12">
        <f t="shared" si="216"/>
        <v>0.37999916000000056</v>
      </c>
      <c r="Y345" s="11">
        <f t="shared" si="216"/>
        <v>0</v>
      </c>
      <c r="Z345" s="7">
        <f t="shared" si="227"/>
        <v>10603246</v>
      </c>
      <c r="AA345" s="7">
        <f t="shared" si="227"/>
        <v>4.6199998900000008</v>
      </c>
      <c r="AB345" s="7">
        <f t="shared" si="227"/>
        <v>0</v>
      </c>
    </row>
    <row r="346" spans="1:28" x14ac:dyDescent="0.25">
      <c r="A346" s="2">
        <v>342</v>
      </c>
      <c r="B346">
        <v>4</v>
      </c>
      <c r="C346">
        <v>1</v>
      </c>
      <c r="D346">
        <v>0</v>
      </c>
      <c r="E346">
        <v>5</v>
      </c>
      <c r="G346">
        <v>14439257</v>
      </c>
      <c r="H346">
        <v>19.659999849999998</v>
      </c>
      <c r="I346">
        <v>2.3399999139999998</v>
      </c>
      <c r="J346" s="9">
        <f t="shared" si="199"/>
        <v>1850370</v>
      </c>
      <c r="K346" s="52"/>
      <c r="L346" s="9">
        <f t="shared" si="232"/>
        <v>0.59000015000000161</v>
      </c>
      <c r="M346" s="9">
        <f t="shared" si="232"/>
        <v>0</v>
      </c>
      <c r="N346" s="29">
        <f t="shared" si="218"/>
        <v>744888935</v>
      </c>
      <c r="O346" s="30">
        <f t="shared" si="219"/>
        <v>0.32699472281238134</v>
      </c>
      <c r="P346" s="30">
        <f t="shared" si="220"/>
        <v>1.0899824093746044</v>
      </c>
      <c r="Q346" s="29">
        <f t="shared" si="221"/>
        <v>68.890003199999995</v>
      </c>
      <c r="R346" s="30">
        <f t="shared" si="222"/>
        <v>0.2593261841790529</v>
      </c>
      <c r="S346" s="30">
        <f t="shared" si="223"/>
        <v>0.86442061393017633</v>
      </c>
      <c r="T346" s="37">
        <f t="shared" si="224"/>
        <v>0.24000001000000015</v>
      </c>
      <c r="U346" s="30">
        <f t="shared" si="225"/>
        <v>3.1007754143380889E-2</v>
      </c>
      <c r="V346" s="38">
        <f t="shared" si="226"/>
        <v>3.0114812941023149E-3</v>
      </c>
      <c r="W346" s="9">
        <f t="shared" ref="W346:Y361" si="233">ABS(G346-G325)</f>
        <v>947976</v>
      </c>
      <c r="X346" s="12">
        <f t="shared" si="233"/>
        <v>0.36000061000000017</v>
      </c>
      <c r="Y346" s="11">
        <f t="shared" si="233"/>
        <v>0</v>
      </c>
      <c r="Z346" s="7">
        <f t="shared" si="227"/>
        <v>9828285</v>
      </c>
      <c r="AA346" s="7">
        <f t="shared" si="227"/>
        <v>4.6099996599999979</v>
      </c>
      <c r="AB346" s="7">
        <f t="shared" si="227"/>
        <v>0</v>
      </c>
    </row>
    <row r="347" spans="1:28" x14ac:dyDescent="0.25">
      <c r="A347" s="2">
        <v>343</v>
      </c>
      <c r="B347">
        <v>4</v>
      </c>
      <c r="C347">
        <v>1</v>
      </c>
      <c r="D347">
        <v>0</v>
      </c>
      <c r="E347">
        <v>6</v>
      </c>
      <c r="G347">
        <v>10081856</v>
      </c>
      <c r="H347">
        <v>17.709999079999999</v>
      </c>
      <c r="I347">
        <v>2.3399999139999998</v>
      </c>
      <c r="J347" s="9">
        <f t="shared" si="199"/>
        <v>4357401</v>
      </c>
      <c r="K347" s="52">
        <f t="shared" ref="K347" si="234">AVERAGE(J342:J347)</f>
        <v>1932361.3333333333</v>
      </c>
      <c r="L347" s="9">
        <f t="shared" si="232"/>
        <v>1.9500007699999991</v>
      </c>
      <c r="M347" s="9">
        <f t="shared" si="232"/>
        <v>0</v>
      </c>
      <c r="N347" s="29">
        <f t="shared" si="218"/>
        <v>632273280</v>
      </c>
      <c r="O347" s="30">
        <f t="shared" si="219"/>
        <v>0.32810161885278361</v>
      </c>
      <c r="P347" s="30">
        <f t="shared" si="220"/>
        <v>1.093672062842612</v>
      </c>
      <c r="Q347" s="29">
        <f t="shared" si="221"/>
        <v>66.220001229999994</v>
      </c>
      <c r="R347" s="30">
        <f t="shared" si="222"/>
        <v>0.26299694580965421</v>
      </c>
      <c r="S347" s="30">
        <f t="shared" si="223"/>
        <v>0.87665648603218072</v>
      </c>
      <c r="T347" s="37">
        <f t="shared" si="224"/>
        <v>0.24000001000000015</v>
      </c>
      <c r="U347" s="30">
        <f t="shared" si="225"/>
        <v>3.1007754143380889E-2</v>
      </c>
      <c r="V347" s="38">
        <f t="shared" si="226"/>
        <v>3.1772510043230093E-3</v>
      </c>
      <c r="W347" s="9">
        <f t="shared" si="233"/>
        <v>776162</v>
      </c>
      <c r="X347" s="12">
        <f t="shared" si="233"/>
        <v>0.32999991999999878</v>
      </c>
      <c r="Y347" s="11">
        <f t="shared" si="233"/>
        <v>0</v>
      </c>
      <c r="Z347" s="7">
        <f t="shared" si="227"/>
        <v>8474820.620000001</v>
      </c>
      <c r="AA347" s="7">
        <f t="shared" si="227"/>
        <v>4.5699987399999991</v>
      </c>
      <c r="AB347" s="7">
        <f t="shared" si="227"/>
        <v>0</v>
      </c>
    </row>
    <row r="348" spans="1:28" x14ac:dyDescent="0.25">
      <c r="A348" s="2">
        <v>344</v>
      </c>
      <c r="B348">
        <v>4</v>
      </c>
      <c r="C348">
        <v>1</v>
      </c>
      <c r="D348">
        <v>1</v>
      </c>
      <c r="E348">
        <v>0</v>
      </c>
      <c r="G348">
        <v>255190848</v>
      </c>
      <c r="H348">
        <v>50.200000760000002</v>
      </c>
      <c r="I348">
        <v>2.4000000950000002</v>
      </c>
      <c r="K348" s="52"/>
      <c r="N348" s="29">
        <f t="shared" si="218"/>
        <v>239697214</v>
      </c>
      <c r="O348" s="30">
        <f t="shared" si="219"/>
        <v>5.1568967831132015</v>
      </c>
      <c r="P348" s="30">
        <f t="shared" si="220"/>
        <v>5.1568967831132015</v>
      </c>
      <c r="Q348" s="29">
        <f t="shared" si="221"/>
        <v>30.270000450000001</v>
      </c>
      <c r="R348" s="30">
        <f t="shared" si="222"/>
        <v>0.5062719514829751</v>
      </c>
      <c r="S348" s="30">
        <f t="shared" si="223"/>
        <v>0.5062719514829751</v>
      </c>
      <c r="T348" s="37">
        <f t="shared" si="224"/>
        <v>6.0000181000000374E-2</v>
      </c>
      <c r="U348" s="30">
        <f t="shared" si="225"/>
        <v>8.5470346446061708E-3</v>
      </c>
      <c r="V348" s="38">
        <f t="shared" si="226"/>
        <v>1.0035153046785606E-3</v>
      </c>
      <c r="W348" s="9">
        <f t="shared" si="233"/>
        <v>17845472</v>
      </c>
      <c r="X348" s="12">
        <f t="shared" si="233"/>
        <v>2.7299995400000014</v>
      </c>
      <c r="Y348" s="11">
        <f t="shared" si="233"/>
        <v>0</v>
      </c>
      <c r="Z348" s="7">
        <f t="shared" si="227"/>
        <v>106896704</v>
      </c>
      <c r="AA348" s="7">
        <f t="shared" si="227"/>
        <v>7.1700019800000021</v>
      </c>
      <c r="AB348" s="7">
        <f t="shared" si="227"/>
        <v>9.9999900000002917E-3</v>
      </c>
    </row>
    <row r="349" spans="1:28" x14ac:dyDescent="0.25">
      <c r="A349" s="2">
        <v>345</v>
      </c>
      <c r="B349">
        <v>4</v>
      </c>
      <c r="C349">
        <v>1</v>
      </c>
      <c r="D349">
        <v>1</v>
      </c>
      <c r="E349">
        <v>1</v>
      </c>
      <c r="G349">
        <v>259094992</v>
      </c>
      <c r="H349">
        <v>51.060001370000002</v>
      </c>
      <c r="I349">
        <v>2.4000000950000002</v>
      </c>
      <c r="J349" s="9">
        <f t="shared" ref="J349" si="235">ABS(G349-G348)</f>
        <v>3904144</v>
      </c>
      <c r="K349" s="52"/>
      <c r="L349" s="9">
        <f t="shared" ref="L349:M354" si="236">ABS(H349-H348)</f>
        <v>0.86000061000000017</v>
      </c>
      <c r="M349" s="9">
        <f t="shared" si="236"/>
        <v>0</v>
      </c>
      <c r="N349" s="29">
        <f t="shared" si="218"/>
        <v>242260058</v>
      </c>
      <c r="O349" s="30">
        <f t="shared" si="219"/>
        <v>4.796772750440641</v>
      </c>
      <c r="P349" s="30">
        <f t="shared" si="220"/>
        <v>4.796772750440641</v>
      </c>
      <c r="Q349" s="29">
        <f t="shared" si="221"/>
        <v>30.560001370000002</v>
      </c>
      <c r="R349" s="30">
        <f t="shared" si="222"/>
        <v>0.49691059138211385</v>
      </c>
      <c r="S349" s="30">
        <f t="shared" si="223"/>
        <v>0.49691059138211385</v>
      </c>
      <c r="T349" s="37">
        <f t="shared" si="224"/>
        <v>6.0000181000000374E-2</v>
      </c>
      <c r="U349" s="30">
        <f t="shared" si="225"/>
        <v>8.5470346446061708E-3</v>
      </c>
      <c r="V349" s="38">
        <f t="shared" si="226"/>
        <v>9.7561269918699795E-4</v>
      </c>
      <c r="W349" s="9">
        <f t="shared" si="233"/>
        <v>17913152</v>
      </c>
      <c r="X349" s="12">
        <f t="shared" si="233"/>
        <v>2.8100013700000019</v>
      </c>
      <c r="Y349" s="11">
        <f t="shared" si="233"/>
        <v>0</v>
      </c>
      <c r="Z349" s="7">
        <f t="shared" si="227"/>
        <v>107201584</v>
      </c>
      <c r="AA349" s="7">
        <f t="shared" si="227"/>
        <v>7.2000007600000018</v>
      </c>
      <c r="AB349" s="7">
        <f t="shared" si="227"/>
        <v>9.9999900000002917E-3</v>
      </c>
    </row>
    <row r="350" spans="1:28" x14ac:dyDescent="0.25">
      <c r="A350" s="2">
        <v>346</v>
      </c>
      <c r="B350">
        <v>4</v>
      </c>
      <c r="C350">
        <v>1</v>
      </c>
      <c r="D350">
        <v>1</v>
      </c>
      <c r="E350">
        <v>2</v>
      </c>
      <c r="G350">
        <v>256944832</v>
      </c>
      <c r="H350">
        <v>50.619998930000001</v>
      </c>
      <c r="I350">
        <v>2.4000000950000002</v>
      </c>
      <c r="J350" s="9">
        <f t="shared" si="203"/>
        <v>2150160</v>
      </c>
      <c r="K350" s="52"/>
      <c r="L350" s="9">
        <f t="shared" si="236"/>
        <v>0.44000244000000066</v>
      </c>
      <c r="M350" s="9">
        <f t="shared" si="236"/>
        <v>0</v>
      </c>
      <c r="N350" s="29">
        <f t="shared" si="218"/>
        <v>240850731</v>
      </c>
      <c r="O350" s="30">
        <f t="shared" si="219"/>
        <v>4.9883853096236939</v>
      </c>
      <c r="P350" s="30">
        <f t="shared" si="220"/>
        <v>4.9883853096236939</v>
      </c>
      <c r="Q350" s="29">
        <f t="shared" si="221"/>
        <v>30.41999817</v>
      </c>
      <c r="R350" s="30">
        <f t="shared" si="222"/>
        <v>0.50198014893540022</v>
      </c>
      <c r="S350" s="30">
        <f t="shared" si="223"/>
        <v>0.50198014893540022</v>
      </c>
      <c r="T350" s="37">
        <f t="shared" si="224"/>
        <v>6.0000181000000374E-2</v>
      </c>
      <c r="U350" s="30">
        <f t="shared" si="225"/>
        <v>8.5470346446061708E-3</v>
      </c>
      <c r="V350" s="38">
        <f t="shared" si="226"/>
        <v>9.9010195944831524E-4</v>
      </c>
      <c r="W350" s="9">
        <f t="shared" si="233"/>
        <v>17875616</v>
      </c>
      <c r="X350" s="12">
        <f t="shared" si="233"/>
        <v>2.7899971000000008</v>
      </c>
      <c r="Y350" s="11">
        <f t="shared" si="233"/>
        <v>0</v>
      </c>
      <c r="Z350" s="7">
        <f t="shared" ref="Z350:AB365" si="237">ABS(G350-G245)</f>
        <v>107053696</v>
      </c>
      <c r="AA350" s="7">
        <f t="shared" si="237"/>
        <v>7.1800003000000032</v>
      </c>
      <c r="AB350" s="7">
        <f t="shared" si="237"/>
        <v>9.9999900000002917E-3</v>
      </c>
    </row>
    <row r="351" spans="1:28" x14ac:dyDescent="0.25">
      <c r="A351" s="2">
        <v>347</v>
      </c>
      <c r="B351">
        <v>4</v>
      </c>
      <c r="C351">
        <v>1</v>
      </c>
      <c r="D351">
        <v>1</v>
      </c>
      <c r="E351">
        <v>3</v>
      </c>
      <c r="G351">
        <v>259016848</v>
      </c>
      <c r="H351">
        <v>51.740001679999999</v>
      </c>
      <c r="I351">
        <v>2.4100000860000002</v>
      </c>
      <c r="J351" s="9">
        <f t="shared" si="203"/>
        <v>2072016</v>
      </c>
      <c r="K351" s="52"/>
      <c r="L351" s="9">
        <f t="shared" si="236"/>
        <v>1.1200027499999976</v>
      </c>
      <c r="M351" s="9">
        <f t="shared" si="236"/>
        <v>9.9999909999999304E-3</v>
      </c>
      <c r="N351" s="29">
        <f t="shared" si="218"/>
        <v>241172852</v>
      </c>
      <c r="O351" s="30">
        <f t="shared" si="219"/>
        <v>4.5052100811200964</v>
      </c>
      <c r="P351" s="30">
        <f t="shared" si="220"/>
        <v>4.5052100811200964</v>
      </c>
      <c r="Q351" s="29">
        <f t="shared" si="221"/>
        <v>30.820001599999998</v>
      </c>
      <c r="R351" s="30">
        <f t="shared" si="222"/>
        <v>0.49107714280021481</v>
      </c>
      <c r="S351" s="30">
        <f t="shared" si="223"/>
        <v>0.49107714280021481</v>
      </c>
      <c r="T351" s="37">
        <f t="shared" si="224"/>
        <v>7.0000172000000305E-2</v>
      </c>
      <c r="U351" s="30">
        <f t="shared" si="225"/>
        <v>9.9715348394097281E-3</v>
      </c>
      <c r="V351" s="38">
        <f t="shared" si="226"/>
        <v>1.1153628383096434E-3</v>
      </c>
      <c r="W351" s="9">
        <f t="shared" si="233"/>
        <v>17511456</v>
      </c>
      <c r="X351" s="12">
        <f t="shared" si="233"/>
        <v>2.8900032099999962</v>
      </c>
      <c r="Y351" s="11">
        <f t="shared" si="233"/>
        <v>0</v>
      </c>
      <c r="Z351" s="7">
        <f t="shared" si="237"/>
        <v>105534240</v>
      </c>
      <c r="AA351" s="7">
        <f t="shared" si="237"/>
        <v>7.2200012200000003</v>
      </c>
      <c r="AB351" s="7">
        <f t="shared" si="237"/>
        <v>1.9999981000000222E-2</v>
      </c>
    </row>
    <row r="352" spans="1:28" x14ac:dyDescent="0.25">
      <c r="A352" s="2">
        <v>348</v>
      </c>
      <c r="B352">
        <v>4</v>
      </c>
      <c r="C352">
        <v>1</v>
      </c>
      <c r="D352">
        <v>1</v>
      </c>
      <c r="E352">
        <v>4</v>
      </c>
      <c r="G352">
        <v>241544512</v>
      </c>
      <c r="H352">
        <v>50.41999817</v>
      </c>
      <c r="I352">
        <v>2.4100000860000002</v>
      </c>
      <c r="J352" s="9">
        <f t="shared" si="203"/>
        <v>17472336</v>
      </c>
      <c r="K352" s="52"/>
      <c r="L352" s="9">
        <f t="shared" si="236"/>
        <v>1.3200035099999994</v>
      </c>
      <c r="M352" s="9">
        <f t="shared" si="236"/>
        <v>0</v>
      </c>
      <c r="N352" s="29">
        <f t="shared" si="218"/>
        <v>225254885</v>
      </c>
      <c r="O352" s="30">
        <f t="shared" si="219"/>
        <v>4.6093726803361834</v>
      </c>
      <c r="P352" s="30">
        <f t="shared" si="220"/>
        <v>4.6093726803361834</v>
      </c>
      <c r="Q352" s="29">
        <f t="shared" si="221"/>
        <v>30.16999817</v>
      </c>
      <c r="R352" s="30">
        <f t="shared" si="222"/>
        <v>0.49662548427983538</v>
      </c>
      <c r="S352" s="30">
        <f t="shared" si="223"/>
        <v>0.49662548427983538</v>
      </c>
      <c r="T352" s="37">
        <f t="shared" si="224"/>
        <v>7.0000172000000305E-2</v>
      </c>
      <c r="U352" s="30">
        <f t="shared" si="225"/>
        <v>9.9715348394097281E-3</v>
      </c>
      <c r="V352" s="38">
        <f t="shared" si="226"/>
        <v>1.1522662057613219E-3</v>
      </c>
      <c r="W352" s="9">
        <f t="shared" si="233"/>
        <v>16000512</v>
      </c>
      <c r="X352" s="12">
        <f t="shared" si="233"/>
        <v>2.7399978600000026</v>
      </c>
      <c r="Y352" s="11">
        <f t="shared" si="233"/>
        <v>0</v>
      </c>
      <c r="Z352" s="7">
        <f t="shared" si="237"/>
        <v>97578416</v>
      </c>
      <c r="AA352" s="7">
        <f t="shared" si="237"/>
        <v>7.0799980199999979</v>
      </c>
      <c r="AB352" s="7">
        <f t="shared" si="237"/>
        <v>1.9999981000000222E-2</v>
      </c>
    </row>
    <row r="353" spans="1:28" x14ac:dyDescent="0.25">
      <c r="A353" s="2">
        <v>349</v>
      </c>
      <c r="B353">
        <v>4</v>
      </c>
      <c r="C353">
        <v>1</v>
      </c>
      <c r="D353">
        <v>1</v>
      </c>
      <c r="E353">
        <v>5</v>
      </c>
      <c r="G353">
        <v>226044624</v>
      </c>
      <c r="H353">
        <v>49.840000150000002</v>
      </c>
      <c r="I353">
        <v>2.4100000860000002</v>
      </c>
      <c r="J353" s="9">
        <f t="shared" si="203"/>
        <v>15499888</v>
      </c>
      <c r="K353" s="52"/>
      <c r="L353" s="9">
        <f t="shared" si="236"/>
        <v>0.57999801999999789</v>
      </c>
      <c r="M353" s="9">
        <f t="shared" si="236"/>
        <v>0</v>
      </c>
      <c r="N353" s="29">
        <f t="shared" si="218"/>
        <v>211605367</v>
      </c>
      <c r="O353" s="30">
        <f t="shared" si="219"/>
        <v>4.8849551146110448</v>
      </c>
      <c r="P353" s="30">
        <f t="shared" si="220"/>
        <v>4.8849551146110448</v>
      </c>
      <c r="Q353" s="29">
        <f t="shared" si="221"/>
        <v>30.180000300000003</v>
      </c>
      <c r="R353" s="30">
        <f t="shared" si="222"/>
        <v>0.51169888996718382</v>
      </c>
      <c r="S353" s="30">
        <f t="shared" si="223"/>
        <v>0.51169888996718382</v>
      </c>
      <c r="T353" s="37">
        <f t="shared" si="224"/>
        <v>7.0000172000000305E-2</v>
      </c>
      <c r="U353" s="30">
        <f t="shared" si="225"/>
        <v>9.9715348394097281E-3</v>
      </c>
      <c r="V353" s="38">
        <f t="shared" si="226"/>
        <v>1.1868459229243977E-3</v>
      </c>
      <c r="W353" s="9">
        <f t="shared" si="233"/>
        <v>14986976</v>
      </c>
      <c r="X353" s="12">
        <f t="shared" si="233"/>
        <v>2.7299995400000014</v>
      </c>
      <c r="Y353" s="11">
        <f t="shared" si="233"/>
        <v>0</v>
      </c>
      <c r="Z353" s="7">
        <f t="shared" si="237"/>
        <v>91407648</v>
      </c>
      <c r="AA353" s="7">
        <f t="shared" si="237"/>
        <v>7.0400009100000034</v>
      </c>
      <c r="AB353" s="7">
        <f t="shared" si="237"/>
        <v>1.9999981000000222E-2</v>
      </c>
    </row>
    <row r="354" spans="1:28" x14ac:dyDescent="0.25">
      <c r="A354" s="2">
        <v>350</v>
      </c>
      <c r="B354">
        <v>4</v>
      </c>
      <c r="C354">
        <v>1</v>
      </c>
      <c r="D354">
        <v>1</v>
      </c>
      <c r="E354">
        <v>6</v>
      </c>
      <c r="G354">
        <v>188531120</v>
      </c>
      <c r="H354">
        <v>46.700000760000002</v>
      </c>
      <c r="I354">
        <v>2.4100000860000002</v>
      </c>
      <c r="J354" s="9">
        <f t="shared" si="203"/>
        <v>37513504</v>
      </c>
      <c r="K354" s="52">
        <f t="shared" ref="K354" si="238">AVERAGE(J349:J354)</f>
        <v>13102008</v>
      </c>
      <c r="L354" s="9">
        <f t="shared" si="236"/>
        <v>3.1399993899999998</v>
      </c>
      <c r="M354" s="9">
        <f t="shared" si="236"/>
        <v>0</v>
      </c>
      <c r="N354" s="29">
        <f t="shared" si="218"/>
        <v>178449264</v>
      </c>
      <c r="O354" s="30">
        <f t="shared" si="219"/>
        <v>5.900013648280634</v>
      </c>
      <c r="P354" s="30">
        <f t="shared" si="220"/>
        <v>5.900013648280634</v>
      </c>
      <c r="Q354" s="29">
        <f t="shared" si="221"/>
        <v>28.990001680000002</v>
      </c>
      <c r="R354" s="30">
        <f t="shared" si="222"/>
        <v>0.54564282299970246</v>
      </c>
      <c r="S354" s="30">
        <f t="shared" si="223"/>
        <v>0.54564282299970246</v>
      </c>
      <c r="T354" s="37">
        <f t="shared" si="224"/>
        <v>7.0000172000000305E-2</v>
      </c>
      <c r="U354" s="30">
        <f t="shared" si="225"/>
        <v>9.9715348394097281E-3</v>
      </c>
      <c r="V354" s="38">
        <f t="shared" si="226"/>
        <v>1.3175263624387928E-3</v>
      </c>
      <c r="W354" s="9">
        <f t="shared" si="233"/>
        <v>12258640</v>
      </c>
      <c r="X354" s="12">
        <f t="shared" si="233"/>
        <v>2.4500007600000018</v>
      </c>
      <c r="Y354" s="11">
        <f t="shared" si="233"/>
        <v>0</v>
      </c>
      <c r="Z354" s="7">
        <f t="shared" si="237"/>
        <v>76196360</v>
      </c>
      <c r="AA354" s="7">
        <f t="shared" si="237"/>
        <v>6.7800025900000023</v>
      </c>
      <c r="AB354" s="7">
        <f t="shared" si="237"/>
        <v>1.9999981000000222E-2</v>
      </c>
    </row>
    <row r="355" spans="1:28" x14ac:dyDescent="0.25">
      <c r="A355" s="2">
        <v>351</v>
      </c>
      <c r="B355">
        <v>4</v>
      </c>
      <c r="C355">
        <v>1</v>
      </c>
      <c r="D355">
        <v>2</v>
      </c>
      <c r="E355">
        <v>0</v>
      </c>
      <c r="G355">
        <v>874969472</v>
      </c>
      <c r="H355">
        <v>89.77999878</v>
      </c>
      <c r="I355">
        <v>2.5699999330000001</v>
      </c>
      <c r="K355" s="52"/>
      <c r="N355" s="29">
        <f t="shared" si="218"/>
        <v>619778624</v>
      </c>
      <c r="O355" s="30">
        <f t="shared" si="219"/>
        <v>0.80956224051838521</v>
      </c>
      <c r="P355" s="30">
        <f t="shared" si="220"/>
        <v>1.6191244810367704</v>
      </c>
      <c r="Q355" s="29">
        <f t="shared" si="221"/>
        <v>39.579998019999998</v>
      </c>
      <c r="R355" s="30">
        <f t="shared" si="222"/>
        <v>0.26281538792019199</v>
      </c>
      <c r="S355" s="30">
        <f t="shared" si="223"/>
        <v>0.52563077584038398</v>
      </c>
      <c r="T355" s="37">
        <f t="shared" si="224"/>
        <v>0.16999983799999985</v>
      </c>
      <c r="U355" s="30">
        <f t="shared" si="225"/>
        <v>2.3611087676505535E-2</v>
      </c>
      <c r="V355" s="38">
        <f t="shared" si="226"/>
        <v>2.2576339366042119E-3</v>
      </c>
      <c r="W355" s="9">
        <f t="shared" si="233"/>
        <v>20632448</v>
      </c>
      <c r="X355" s="12">
        <f t="shared" si="233"/>
        <v>5.3600006100000002</v>
      </c>
      <c r="Y355" s="11">
        <f t="shared" si="233"/>
        <v>0</v>
      </c>
      <c r="Z355" s="7">
        <f t="shared" si="237"/>
        <v>313034240</v>
      </c>
      <c r="AA355" s="7">
        <f t="shared" si="237"/>
        <v>11.040000919999997</v>
      </c>
      <c r="AB355" s="7">
        <f t="shared" si="237"/>
        <v>3.9999962E-2</v>
      </c>
    </row>
    <row r="356" spans="1:28" x14ac:dyDescent="0.25">
      <c r="A356" s="2">
        <v>352</v>
      </c>
      <c r="B356">
        <v>4</v>
      </c>
      <c r="C356">
        <v>1</v>
      </c>
      <c r="D356">
        <v>2</v>
      </c>
      <c r="E356">
        <v>1</v>
      </c>
      <c r="G356">
        <v>884287232</v>
      </c>
      <c r="H356">
        <v>92.650001529999997</v>
      </c>
      <c r="I356">
        <v>2.5699999330000001</v>
      </c>
      <c r="J356" s="9">
        <f t="shared" ref="J356" si="239">ABS(G356-G355)</f>
        <v>9317760</v>
      </c>
      <c r="K356" s="52"/>
      <c r="L356" s="9">
        <f t="shared" ref="L356:M361" si="240">ABS(H356-H355)</f>
        <v>2.8700027499999976</v>
      </c>
      <c r="M356" s="9">
        <f t="shared" si="240"/>
        <v>0</v>
      </c>
      <c r="N356" s="29">
        <f t="shared" si="218"/>
        <v>625192240</v>
      </c>
      <c r="O356" s="30">
        <f t="shared" si="219"/>
        <v>0.80432821848340985</v>
      </c>
      <c r="P356" s="30">
        <f t="shared" si="220"/>
        <v>1.6086564369668197</v>
      </c>
      <c r="Q356" s="29">
        <f t="shared" si="221"/>
        <v>41.590000159999995</v>
      </c>
      <c r="R356" s="30">
        <f t="shared" si="222"/>
        <v>0.27151063483543075</v>
      </c>
      <c r="S356" s="30">
        <f t="shared" si="223"/>
        <v>0.54302126967086151</v>
      </c>
      <c r="T356" s="37">
        <f t="shared" si="224"/>
        <v>0.16999983799999985</v>
      </c>
      <c r="U356" s="30">
        <f t="shared" si="225"/>
        <v>2.3611087676505535E-2</v>
      </c>
      <c r="V356" s="38">
        <f t="shared" si="226"/>
        <v>2.219608740549731E-3</v>
      </c>
      <c r="W356" s="9">
        <f t="shared" si="233"/>
        <v>20287744</v>
      </c>
      <c r="X356" s="12">
        <f t="shared" si="233"/>
        <v>5.5999984799999964</v>
      </c>
      <c r="Y356" s="11">
        <f t="shared" si="233"/>
        <v>0</v>
      </c>
      <c r="Z356" s="7">
        <f t="shared" si="237"/>
        <v>313210944</v>
      </c>
      <c r="AA356" s="7">
        <f t="shared" si="237"/>
        <v>11.380004889999995</v>
      </c>
      <c r="AB356" s="7">
        <f t="shared" si="237"/>
        <v>3.9999962E-2</v>
      </c>
    </row>
    <row r="357" spans="1:28" x14ac:dyDescent="0.25">
      <c r="A357" s="2">
        <v>353</v>
      </c>
      <c r="B357">
        <v>4</v>
      </c>
      <c r="C357">
        <v>1</v>
      </c>
      <c r="D357">
        <v>2</v>
      </c>
      <c r="E357">
        <v>2</v>
      </c>
      <c r="G357">
        <v>879618816</v>
      </c>
      <c r="H357">
        <v>91.150001529999997</v>
      </c>
      <c r="I357">
        <v>2.5699999330000001</v>
      </c>
      <c r="J357" s="9">
        <f t="shared" si="199"/>
        <v>4668416</v>
      </c>
      <c r="K357" s="52"/>
      <c r="L357" s="9">
        <f t="shared" si="240"/>
        <v>1.5</v>
      </c>
      <c r="M357" s="9">
        <f t="shared" si="240"/>
        <v>0</v>
      </c>
      <c r="N357" s="29">
        <f t="shared" si="218"/>
        <v>622673984</v>
      </c>
      <c r="O357" s="30">
        <f t="shared" si="219"/>
        <v>0.80779205812813026</v>
      </c>
      <c r="P357" s="30">
        <f t="shared" si="220"/>
        <v>1.6155841162562605</v>
      </c>
      <c r="Q357" s="29">
        <f t="shared" si="221"/>
        <v>40.530002599999996</v>
      </c>
      <c r="R357" s="30">
        <f t="shared" si="222"/>
        <v>0.26689057985459474</v>
      </c>
      <c r="S357" s="30">
        <f t="shared" si="223"/>
        <v>0.53378115970918949</v>
      </c>
      <c r="T357" s="37">
        <f t="shared" si="224"/>
        <v>0.16999983799999985</v>
      </c>
      <c r="U357" s="30">
        <f t="shared" si="225"/>
        <v>2.3611087676505535E-2</v>
      </c>
      <c r="V357" s="38">
        <f t="shared" si="226"/>
        <v>2.2389021676996949E-3</v>
      </c>
      <c r="W357" s="9">
        <f t="shared" si="233"/>
        <v>20489472</v>
      </c>
      <c r="X357" s="12">
        <f t="shared" si="233"/>
        <v>5.4800033599999978</v>
      </c>
      <c r="Y357" s="11">
        <f t="shared" si="233"/>
        <v>0</v>
      </c>
      <c r="Z357" s="7">
        <f t="shared" si="237"/>
        <v>313314624</v>
      </c>
      <c r="AA357" s="7">
        <f t="shared" si="237"/>
        <v>11.200004579999998</v>
      </c>
      <c r="AB357" s="7">
        <f t="shared" si="237"/>
        <v>3.9999962E-2</v>
      </c>
    </row>
    <row r="358" spans="1:28" x14ac:dyDescent="0.25">
      <c r="A358" s="2">
        <v>354</v>
      </c>
      <c r="B358">
        <v>4</v>
      </c>
      <c r="C358">
        <v>1</v>
      </c>
      <c r="D358">
        <v>2</v>
      </c>
      <c r="E358">
        <v>3</v>
      </c>
      <c r="G358">
        <v>881630464</v>
      </c>
      <c r="H358">
        <v>95.690002440000001</v>
      </c>
      <c r="I358">
        <v>2.5699999330000001</v>
      </c>
      <c r="J358" s="9">
        <f t="shared" si="199"/>
        <v>2011648</v>
      </c>
      <c r="K358" s="52"/>
      <c r="L358" s="9">
        <f t="shared" si="240"/>
        <v>4.5400009100000034</v>
      </c>
      <c r="M358" s="9">
        <f t="shared" si="240"/>
        <v>0</v>
      </c>
      <c r="N358" s="29">
        <f t="shared" si="218"/>
        <v>622613616</v>
      </c>
      <c r="O358" s="30">
        <f t="shared" si="219"/>
        <v>0.8012524034729972</v>
      </c>
      <c r="P358" s="30">
        <f t="shared" si="220"/>
        <v>1.6025048069459944</v>
      </c>
      <c r="Q358" s="29">
        <f t="shared" si="221"/>
        <v>43.950000760000002</v>
      </c>
      <c r="R358" s="30">
        <f t="shared" si="222"/>
        <v>0.28314649744196402</v>
      </c>
      <c r="S358" s="30">
        <f t="shared" si="223"/>
        <v>0.56629299488392804</v>
      </c>
      <c r="T358" s="37">
        <f t="shared" si="224"/>
        <v>0.15999984699999992</v>
      </c>
      <c r="U358" s="30">
        <f t="shared" si="225"/>
        <v>2.2129991879731952E-2</v>
      </c>
      <c r="V358" s="38">
        <f t="shared" si="226"/>
        <v>2.0615879629532052E-3</v>
      </c>
      <c r="W358" s="9">
        <f t="shared" si="233"/>
        <v>19118272</v>
      </c>
      <c r="X358" s="12">
        <f t="shared" si="233"/>
        <v>5.6900024400000007</v>
      </c>
      <c r="Y358" s="11">
        <f t="shared" si="233"/>
        <v>0</v>
      </c>
      <c r="Z358" s="7">
        <f t="shared" si="237"/>
        <v>307955584</v>
      </c>
      <c r="AA358" s="7">
        <f t="shared" si="237"/>
        <v>11.75</v>
      </c>
      <c r="AB358" s="7">
        <f t="shared" si="237"/>
        <v>2.999997100000007E-2</v>
      </c>
    </row>
    <row r="359" spans="1:28" x14ac:dyDescent="0.25">
      <c r="A359" s="2">
        <v>355</v>
      </c>
      <c r="B359">
        <v>4</v>
      </c>
      <c r="C359">
        <v>1</v>
      </c>
      <c r="D359">
        <v>2</v>
      </c>
      <c r="E359">
        <v>4</v>
      </c>
      <c r="G359">
        <v>824621120</v>
      </c>
      <c r="H359">
        <v>93.63999939</v>
      </c>
      <c r="I359">
        <v>2.579999924</v>
      </c>
      <c r="J359" s="9">
        <f t="shared" si="199"/>
        <v>57009344</v>
      </c>
      <c r="K359" s="52"/>
      <c r="L359" s="9">
        <f t="shared" si="240"/>
        <v>2.0500030500000008</v>
      </c>
      <c r="M359" s="9">
        <f t="shared" si="240"/>
        <v>9.9999909999999304E-3</v>
      </c>
      <c r="N359" s="29">
        <f t="shared" si="218"/>
        <v>583076608</v>
      </c>
      <c r="O359" s="30">
        <f t="shared" si="219"/>
        <v>0.80465032189732932</v>
      </c>
      <c r="P359" s="30">
        <f t="shared" si="220"/>
        <v>1.6093006437946586</v>
      </c>
      <c r="Q359" s="29">
        <f t="shared" si="221"/>
        <v>43.22000122</v>
      </c>
      <c r="R359" s="30">
        <f t="shared" si="222"/>
        <v>0.28573319310244105</v>
      </c>
      <c r="S359" s="30">
        <f t="shared" si="223"/>
        <v>0.5714663862048821</v>
      </c>
      <c r="T359" s="37">
        <f t="shared" si="224"/>
        <v>0.16999983799999985</v>
      </c>
      <c r="U359" s="30">
        <f t="shared" si="225"/>
        <v>2.3513116450016015E-2</v>
      </c>
      <c r="V359" s="38">
        <f t="shared" si="226"/>
        <v>2.2477832099717676E-3</v>
      </c>
      <c r="W359" s="9">
        <f t="shared" si="233"/>
        <v>16165952</v>
      </c>
      <c r="X359" s="12">
        <f t="shared" si="233"/>
        <v>5.089996339999999</v>
      </c>
      <c r="Y359" s="11">
        <f t="shared" si="233"/>
        <v>0</v>
      </c>
      <c r="Z359" s="7">
        <f t="shared" si="237"/>
        <v>284486720</v>
      </c>
      <c r="AA359" s="7">
        <f t="shared" si="237"/>
        <v>11.519996640000002</v>
      </c>
      <c r="AB359" s="7">
        <f t="shared" si="237"/>
        <v>3.9999962E-2</v>
      </c>
    </row>
    <row r="360" spans="1:28" x14ac:dyDescent="0.25">
      <c r="A360" s="2">
        <v>356</v>
      </c>
      <c r="B360">
        <v>4</v>
      </c>
      <c r="C360">
        <v>1</v>
      </c>
      <c r="D360">
        <v>2</v>
      </c>
      <c r="E360">
        <v>5</v>
      </c>
      <c r="G360">
        <v>774367040</v>
      </c>
      <c r="H360">
        <v>93.61000061</v>
      </c>
      <c r="I360">
        <v>2.579999924</v>
      </c>
      <c r="J360" s="9">
        <f t="shared" si="199"/>
        <v>50254080</v>
      </c>
      <c r="K360" s="52"/>
      <c r="L360" s="9">
        <f t="shared" si="240"/>
        <v>2.999877999999967E-2</v>
      </c>
      <c r="M360" s="9">
        <f t="shared" si="240"/>
        <v>0</v>
      </c>
      <c r="N360" s="29">
        <f t="shared" si="218"/>
        <v>548322416</v>
      </c>
      <c r="O360" s="30">
        <f t="shared" si="219"/>
        <v>0.80857547254327378</v>
      </c>
      <c r="P360" s="30">
        <f t="shared" si="220"/>
        <v>1.6171509450865476</v>
      </c>
      <c r="Q360" s="29">
        <f t="shared" si="221"/>
        <v>43.770000459999999</v>
      </c>
      <c r="R360" s="30">
        <f t="shared" si="222"/>
        <v>0.29273675981987995</v>
      </c>
      <c r="S360" s="30">
        <f t="shared" si="223"/>
        <v>0.58547351963975991</v>
      </c>
      <c r="T360" s="37">
        <f t="shared" si="224"/>
        <v>0.16999983799999985</v>
      </c>
      <c r="U360" s="30">
        <f t="shared" si="225"/>
        <v>2.3513116450016015E-2</v>
      </c>
      <c r="V360" s="38">
        <f t="shared" si="226"/>
        <v>2.2739411114013255E-3</v>
      </c>
      <c r="W360" s="9">
        <f t="shared" si="233"/>
        <v>15038848</v>
      </c>
      <c r="X360" s="12">
        <f t="shared" si="233"/>
        <v>5.0599975599999993</v>
      </c>
      <c r="Y360" s="11">
        <f t="shared" si="233"/>
        <v>0</v>
      </c>
      <c r="Z360" s="7">
        <f t="shared" si="237"/>
        <v>266630112</v>
      </c>
      <c r="AA360" s="7">
        <f t="shared" si="237"/>
        <v>11.550003050000001</v>
      </c>
      <c r="AB360" s="7">
        <f t="shared" si="237"/>
        <v>3.9999962E-2</v>
      </c>
    </row>
    <row r="361" spans="1:28" x14ac:dyDescent="0.25">
      <c r="A361" s="2">
        <v>357</v>
      </c>
      <c r="B361">
        <v>4</v>
      </c>
      <c r="C361">
        <v>1</v>
      </c>
      <c r="D361">
        <v>2</v>
      </c>
      <c r="E361">
        <v>6</v>
      </c>
      <c r="G361">
        <v>653770880</v>
      </c>
      <c r="H361">
        <v>88.02999878</v>
      </c>
      <c r="I361">
        <v>2.579999924</v>
      </c>
      <c r="J361" s="9">
        <f t="shared" si="199"/>
        <v>120596160</v>
      </c>
      <c r="K361" s="52">
        <f t="shared" ref="K361" si="241">AVERAGE(J356:J361)</f>
        <v>40642901.333333336</v>
      </c>
      <c r="L361" s="9">
        <f t="shared" si="240"/>
        <v>5.5800018300000005</v>
      </c>
      <c r="M361" s="9">
        <f t="shared" si="240"/>
        <v>0</v>
      </c>
      <c r="N361" s="29">
        <f t="shared" si="218"/>
        <v>465239760</v>
      </c>
      <c r="O361" s="30">
        <f t="shared" si="219"/>
        <v>0.82256934558071892</v>
      </c>
      <c r="P361" s="30">
        <f t="shared" si="220"/>
        <v>1.6451386911614378</v>
      </c>
      <c r="Q361" s="29">
        <f t="shared" si="221"/>
        <v>41.329998019999998</v>
      </c>
      <c r="R361" s="30">
        <f t="shared" si="222"/>
        <v>0.29500354994569522</v>
      </c>
      <c r="S361" s="30">
        <f t="shared" si="223"/>
        <v>0.59000709989139044</v>
      </c>
      <c r="T361" s="37">
        <f t="shared" si="224"/>
        <v>0.16999983799999985</v>
      </c>
      <c r="U361" s="30">
        <f t="shared" si="225"/>
        <v>2.3513116450016015E-2</v>
      </c>
      <c r="V361" s="38">
        <f t="shared" si="226"/>
        <v>2.4268356207481404E-3</v>
      </c>
      <c r="W361" s="9">
        <f t="shared" si="233"/>
        <v>11415744</v>
      </c>
      <c r="X361" s="12">
        <f t="shared" si="233"/>
        <v>4.0999984700000027</v>
      </c>
      <c r="Y361" s="11">
        <f t="shared" si="233"/>
        <v>0</v>
      </c>
      <c r="Z361" s="7">
        <f t="shared" si="237"/>
        <v>222303872</v>
      </c>
      <c r="AA361" s="7">
        <f t="shared" si="237"/>
        <v>10.91999817</v>
      </c>
      <c r="AB361" s="7">
        <f t="shared" si="237"/>
        <v>3.9999962E-2</v>
      </c>
    </row>
    <row r="362" spans="1:28" x14ac:dyDescent="0.25">
      <c r="A362" s="2">
        <v>358</v>
      </c>
      <c r="B362">
        <v>4</v>
      </c>
      <c r="C362">
        <v>2</v>
      </c>
      <c r="D362">
        <v>0</v>
      </c>
      <c r="E362">
        <v>0</v>
      </c>
      <c r="G362">
        <v>86688800</v>
      </c>
      <c r="H362">
        <v>45.090000150000002</v>
      </c>
      <c r="I362">
        <v>2.8900001049999999</v>
      </c>
      <c r="K362" s="52"/>
      <c r="N362" s="29">
        <f t="shared" si="218"/>
        <v>788280672</v>
      </c>
      <c r="O362" s="30">
        <f t="shared" si="219"/>
        <v>0.30030787634154166</v>
      </c>
      <c r="P362" s="30">
        <f t="shared" si="220"/>
        <v>1.0010262544718056</v>
      </c>
      <c r="Q362" s="29">
        <f t="shared" si="221"/>
        <v>44.689998629999998</v>
      </c>
      <c r="R362" s="30">
        <f t="shared" si="222"/>
        <v>0.16592410795753409</v>
      </c>
      <c r="S362" s="30">
        <f t="shared" si="223"/>
        <v>0.55308035985844695</v>
      </c>
      <c r="T362" s="37">
        <f t="shared" si="224"/>
        <v>0.32000017199999986</v>
      </c>
      <c r="U362" s="30">
        <f t="shared" si="225"/>
        <v>4.1504562949729831E-2</v>
      </c>
      <c r="V362" s="38">
        <f t="shared" si="226"/>
        <v>3.9603001949012331E-3</v>
      </c>
      <c r="W362" s="9">
        <f t="shared" ref="W362:Y377" si="242">ABS(G362-G341)</f>
        <v>71195166</v>
      </c>
      <c r="X362" s="12">
        <f t="shared" si="242"/>
        <v>25.159999840000001</v>
      </c>
      <c r="Y362" s="11">
        <f t="shared" si="242"/>
        <v>0.55000019100000008</v>
      </c>
      <c r="Z362" s="7">
        <f t="shared" si="237"/>
        <v>26400212</v>
      </c>
      <c r="AA362" s="7">
        <f t="shared" si="237"/>
        <v>5.2799987799999997</v>
      </c>
      <c r="AB362" s="7">
        <f t="shared" si="237"/>
        <v>9.9999909999999304E-3</v>
      </c>
    </row>
    <row r="363" spans="1:28" x14ac:dyDescent="0.25">
      <c r="A363" s="2">
        <v>359</v>
      </c>
      <c r="B363">
        <v>4</v>
      </c>
      <c r="C363">
        <v>2</v>
      </c>
      <c r="D363">
        <v>0</v>
      </c>
      <c r="E363">
        <v>1</v>
      </c>
      <c r="G363">
        <v>88519728</v>
      </c>
      <c r="H363">
        <v>46.319999690000003</v>
      </c>
      <c r="I363">
        <v>2.8900001049999999</v>
      </c>
      <c r="J363" s="9">
        <f t="shared" ref="J363" si="243">ABS(G363-G362)</f>
        <v>1830928</v>
      </c>
      <c r="K363" s="52"/>
      <c r="L363" s="9">
        <f t="shared" ref="L363:M368" si="244">ABS(H363-H362)</f>
        <v>1.2299995400000014</v>
      </c>
      <c r="M363" s="9">
        <f t="shared" si="244"/>
        <v>0</v>
      </c>
      <c r="N363" s="29">
        <f t="shared" si="218"/>
        <v>795767504</v>
      </c>
      <c r="O363" s="30">
        <f t="shared" si="219"/>
        <v>0.29996569561084274</v>
      </c>
      <c r="P363" s="30">
        <f t="shared" si="220"/>
        <v>0.99988565203614244</v>
      </c>
      <c r="Q363" s="29">
        <f t="shared" si="221"/>
        <v>46.330001839999994</v>
      </c>
      <c r="R363" s="30">
        <f t="shared" si="222"/>
        <v>0.16668465938088653</v>
      </c>
      <c r="S363" s="30">
        <f t="shared" si="223"/>
        <v>0.55561553126962182</v>
      </c>
      <c r="T363" s="37">
        <f t="shared" si="224"/>
        <v>0.32000017199999986</v>
      </c>
      <c r="U363" s="30">
        <f t="shared" si="225"/>
        <v>4.1504562949729831E-2</v>
      </c>
      <c r="V363" s="38">
        <f t="shared" si="226"/>
        <v>3.8376226745289134E-3</v>
      </c>
      <c r="W363" s="9">
        <f t="shared" si="242"/>
        <v>71684794</v>
      </c>
      <c r="X363" s="12">
        <f t="shared" si="242"/>
        <v>25.819999690000003</v>
      </c>
      <c r="Y363" s="11">
        <f t="shared" si="242"/>
        <v>0.55000019100000008</v>
      </c>
      <c r="Z363" s="7">
        <f t="shared" si="237"/>
        <v>26663548</v>
      </c>
      <c r="AA363" s="7">
        <f t="shared" si="237"/>
        <v>5.4000015200000036</v>
      </c>
      <c r="AB363" s="7">
        <f t="shared" si="237"/>
        <v>9.9999909999999304E-3</v>
      </c>
    </row>
    <row r="364" spans="1:28" x14ac:dyDescent="0.25">
      <c r="A364" s="2">
        <v>360</v>
      </c>
      <c r="B364">
        <v>4</v>
      </c>
      <c r="C364">
        <v>2</v>
      </c>
      <c r="D364">
        <v>0</v>
      </c>
      <c r="E364">
        <v>2</v>
      </c>
      <c r="G364">
        <v>87376872</v>
      </c>
      <c r="H364">
        <v>45.72000122</v>
      </c>
      <c r="I364">
        <v>2.8900001049999999</v>
      </c>
      <c r="J364" s="9">
        <f t="shared" si="203"/>
        <v>1142856</v>
      </c>
      <c r="K364" s="52"/>
      <c r="L364" s="9">
        <f t="shared" si="244"/>
        <v>0.59999847000000273</v>
      </c>
      <c r="M364" s="9">
        <f t="shared" si="244"/>
        <v>0</v>
      </c>
      <c r="N364" s="29">
        <f t="shared" si="218"/>
        <v>792241944</v>
      </c>
      <c r="O364" s="30">
        <f t="shared" si="219"/>
        <v>0.30022169057374964</v>
      </c>
      <c r="P364" s="30">
        <f t="shared" si="220"/>
        <v>1.0007389685791654</v>
      </c>
      <c r="Q364" s="29">
        <f t="shared" si="221"/>
        <v>45.430000309999997</v>
      </c>
      <c r="R364" s="30">
        <f t="shared" si="222"/>
        <v>0.16613640353788225</v>
      </c>
      <c r="S364" s="30">
        <f t="shared" si="223"/>
        <v>0.5537880117929409</v>
      </c>
      <c r="T364" s="37">
        <f t="shared" si="224"/>
        <v>0.32000017199999986</v>
      </c>
      <c r="U364" s="30">
        <f t="shared" si="225"/>
        <v>4.1504562949729831E-2</v>
      </c>
      <c r="V364" s="38">
        <f t="shared" si="226"/>
        <v>3.9007760910420085E-3</v>
      </c>
      <c r="W364" s="9">
        <f t="shared" si="242"/>
        <v>71282771</v>
      </c>
      <c r="X364" s="12">
        <f t="shared" si="242"/>
        <v>25.520000459999999</v>
      </c>
      <c r="Y364" s="11">
        <f t="shared" si="242"/>
        <v>0.55000019100000008</v>
      </c>
      <c r="Z364" s="7">
        <f t="shared" si="237"/>
        <v>26477740</v>
      </c>
      <c r="AA364" s="7">
        <f t="shared" si="237"/>
        <v>5.3400001500000016</v>
      </c>
      <c r="AB364" s="7">
        <f t="shared" si="237"/>
        <v>9.9999909999999304E-3</v>
      </c>
    </row>
    <row r="365" spans="1:28" x14ac:dyDescent="0.25">
      <c r="A365" s="2">
        <v>361</v>
      </c>
      <c r="B365">
        <v>4</v>
      </c>
      <c r="C365">
        <v>2</v>
      </c>
      <c r="D365">
        <v>0</v>
      </c>
      <c r="E365">
        <v>3</v>
      </c>
      <c r="G365">
        <v>88669680</v>
      </c>
      <c r="H365">
        <v>47.450000760000002</v>
      </c>
      <c r="I365">
        <v>2.8900001049999999</v>
      </c>
      <c r="J365" s="9">
        <f t="shared" si="203"/>
        <v>1292808</v>
      </c>
      <c r="K365" s="52"/>
      <c r="L365" s="9">
        <f t="shared" si="244"/>
        <v>1.7299995400000014</v>
      </c>
      <c r="M365" s="9">
        <f t="shared" si="244"/>
        <v>0</v>
      </c>
      <c r="N365" s="29">
        <f t="shared" si="218"/>
        <v>792960784</v>
      </c>
      <c r="O365" s="30">
        <f t="shared" si="219"/>
        <v>0.29980844824043346</v>
      </c>
      <c r="P365" s="30">
        <f t="shared" si="220"/>
        <v>0.99936149413477826</v>
      </c>
      <c r="Q365" s="29">
        <f t="shared" si="221"/>
        <v>48.240001679999999</v>
      </c>
      <c r="R365" s="30">
        <f t="shared" si="222"/>
        <v>0.1680426392514992</v>
      </c>
      <c r="S365" s="30">
        <f t="shared" si="223"/>
        <v>0.56014213083833064</v>
      </c>
      <c r="T365" s="37">
        <f t="shared" si="224"/>
        <v>0.32000017199999986</v>
      </c>
      <c r="U365" s="30">
        <f t="shared" si="225"/>
        <v>4.1504562949729831E-2</v>
      </c>
      <c r="V365" s="38">
        <f t="shared" si="226"/>
        <v>3.715704228240654E-3</v>
      </c>
      <c r="W365" s="9">
        <f t="shared" si="242"/>
        <v>70825684</v>
      </c>
      <c r="X365" s="12">
        <f t="shared" si="242"/>
        <v>26.530000680000001</v>
      </c>
      <c r="Y365" s="11">
        <f t="shared" si="242"/>
        <v>0.55000019100000008</v>
      </c>
      <c r="Z365" s="7">
        <f t="shared" si="237"/>
        <v>26414716</v>
      </c>
      <c r="AA365" s="7">
        <f t="shared" si="237"/>
        <v>5.5200004500000048</v>
      </c>
      <c r="AB365" s="7">
        <f t="shared" si="237"/>
        <v>9.9999909999999304E-3</v>
      </c>
    </row>
    <row r="366" spans="1:28" x14ac:dyDescent="0.25">
      <c r="A366" s="2">
        <v>362</v>
      </c>
      <c r="B366">
        <v>4</v>
      </c>
      <c r="C366">
        <v>2</v>
      </c>
      <c r="D366">
        <v>0</v>
      </c>
      <c r="E366">
        <v>4</v>
      </c>
      <c r="G366">
        <v>82615344</v>
      </c>
      <c r="H366">
        <v>46.130001069999999</v>
      </c>
      <c r="I366">
        <v>2.8900001049999999</v>
      </c>
      <c r="J366" s="9">
        <f t="shared" si="203"/>
        <v>6054336</v>
      </c>
      <c r="K366" s="52"/>
      <c r="L366" s="9">
        <f t="shared" si="244"/>
        <v>1.3199996900000031</v>
      </c>
      <c r="M366" s="9">
        <f t="shared" si="244"/>
        <v>0</v>
      </c>
      <c r="N366" s="29">
        <f t="shared" si="218"/>
        <v>742005776</v>
      </c>
      <c r="O366" s="30">
        <f t="shared" si="219"/>
        <v>0.2999380596347892</v>
      </c>
      <c r="P366" s="30">
        <f t="shared" si="220"/>
        <v>0.999793532115964</v>
      </c>
      <c r="Q366" s="29">
        <f t="shared" si="221"/>
        <v>47.509998320000001</v>
      </c>
      <c r="R366" s="30">
        <f t="shared" si="222"/>
        <v>0.16912287708064525</v>
      </c>
      <c r="S366" s="30">
        <f t="shared" si="223"/>
        <v>0.56374292360215084</v>
      </c>
      <c r="T366" s="37">
        <f t="shared" si="224"/>
        <v>0.31000018099999993</v>
      </c>
      <c r="U366" s="30">
        <f t="shared" si="225"/>
        <v>4.0051704151393856E-2</v>
      </c>
      <c r="V366" s="38">
        <f t="shared" si="226"/>
        <v>3.6783922234021223E-3</v>
      </c>
      <c r="W366" s="9">
        <f t="shared" si="242"/>
        <v>66325717</v>
      </c>
      <c r="X366" s="12">
        <f t="shared" si="242"/>
        <v>25.880001069999999</v>
      </c>
      <c r="Y366" s="11">
        <f t="shared" si="242"/>
        <v>0.55000019100000008</v>
      </c>
      <c r="Z366" s="7">
        <f t="shared" ref="Z366:AB381" si="245">ABS(G366-G261)</f>
        <v>24715016</v>
      </c>
      <c r="AA366" s="7">
        <f t="shared" si="245"/>
        <v>5.4200019899999958</v>
      </c>
      <c r="AB366" s="7">
        <f t="shared" si="245"/>
        <v>9.9999909999999304E-3</v>
      </c>
    </row>
    <row r="367" spans="1:28" x14ac:dyDescent="0.25">
      <c r="A367" s="2">
        <v>363</v>
      </c>
      <c r="B367">
        <v>4</v>
      </c>
      <c r="C367">
        <v>2</v>
      </c>
      <c r="D367">
        <v>0</v>
      </c>
      <c r="E367">
        <v>5</v>
      </c>
      <c r="G367">
        <v>75509920</v>
      </c>
      <c r="H367">
        <v>44.569999690000003</v>
      </c>
      <c r="I367">
        <v>2.8900001049999999</v>
      </c>
      <c r="J367" s="9">
        <f t="shared" si="203"/>
        <v>7105424</v>
      </c>
      <c r="K367" s="52"/>
      <c r="L367" s="9">
        <f t="shared" si="244"/>
        <v>1.5600013799999957</v>
      </c>
      <c r="M367" s="9">
        <f t="shared" si="244"/>
        <v>0</v>
      </c>
      <c r="N367" s="29">
        <f t="shared" si="218"/>
        <v>698857120</v>
      </c>
      <c r="O367" s="30">
        <f t="shared" si="219"/>
        <v>0.30082940169216571</v>
      </c>
      <c r="P367" s="30">
        <f t="shared" si="220"/>
        <v>1.002764672307219</v>
      </c>
      <c r="Q367" s="29">
        <f t="shared" si="221"/>
        <v>49.040000919999997</v>
      </c>
      <c r="R367" s="30">
        <f t="shared" si="222"/>
        <v>0.17462522024155483</v>
      </c>
      <c r="S367" s="30">
        <f t="shared" si="223"/>
        <v>0.58208406747184949</v>
      </c>
      <c r="T367" s="37">
        <f t="shared" si="224"/>
        <v>0.31000018099999993</v>
      </c>
      <c r="U367" s="30">
        <f t="shared" si="225"/>
        <v>4.0051704151393856E-2</v>
      </c>
      <c r="V367" s="38">
        <f t="shared" si="226"/>
        <v>3.6795710213761044E-3</v>
      </c>
      <c r="W367" s="9">
        <f t="shared" si="242"/>
        <v>61070663</v>
      </c>
      <c r="X367" s="12">
        <f t="shared" si="242"/>
        <v>24.909999840000005</v>
      </c>
      <c r="Y367" s="11">
        <f t="shared" si="242"/>
        <v>0.55000019100000008</v>
      </c>
      <c r="Z367" s="7">
        <f t="shared" si="245"/>
        <v>22953080</v>
      </c>
      <c r="AA367" s="7">
        <f t="shared" si="245"/>
        <v>5.3699989300000013</v>
      </c>
      <c r="AB367" s="7">
        <f t="shared" si="245"/>
        <v>9.9999909999999304E-3</v>
      </c>
    </row>
    <row r="368" spans="1:28" x14ac:dyDescent="0.25">
      <c r="A368" s="2">
        <v>364</v>
      </c>
      <c r="B368">
        <v>4</v>
      </c>
      <c r="C368">
        <v>2</v>
      </c>
      <c r="D368">
        <v>0</v>
      </c>
      <c r="E368">
        <v>6</v>
      </c>
      <c r="G368">
        <v>61134112</v>
      </c>
      <c r="H368">
        <v>40.540000919999997</v>
      </c>
      <c r="I368">
        <v>2.8900001049999999</v>
      </c>
      <c r="J368" s="9">
        <f t="shared" si="203"/>
        <v>14375808</v>
      </c>
      <c r="K368" s="52">
        <f t="shared" ref="K368" si="246">AVERAGE(J363:J368)</f>
        <v>5300360</v>
      </c>
      <c r="L368" s="9">
        <f t="shared" si="244"/>
        <v>4.0299987700000059</v>
      </c>
      <c r="M368" s="9">
        <f t="shared" si="244"/>
        <v>0</v>
      </c>
      <c r="N368" s="29">
        <f t="shared" si="218"/>
        <v>592636768</v>
      </c>
      <c r="O368" s="30">
        <f t="shared" si="219"/>
        <v>0.30216333485721075</v>
      </c>
      <c r="P368" s="30">
        <f t="shared" si="220"/>
        <v>1.0072111161907025</v>
      </c>
      <c r="Q368" s="29">
        <f t="shared" si="221"/>
        <v>47.489997860000003</v>
      </c>
      <c r="R368" s="30">
        <f t="shared" si="222"/>
        <v>0.17982505402764096</v>
      </c>
      <c r="S368" s="30">
        <f t="shared" si="223"/>
        <v>0.59941684675880325</v>
      </c>
      <c r="T368" s="37">
        <f t="shared" si="224"/>
        <v>0.31000018099999993</v>
      </c>
      <c r="U368" s="30">
        <f t="shared" si="225"/>
        <v>4.0051704151393856E-2</v>
      </c>
      <c r="V368" s="38">
        <f t="shared" si="226"/>
        <v>3.9128098412948252E-3</v>
      </c>
      <c r="W368" s="9">
        <f t="shared" si="242"/>
        <v>51052256</v>
      </c>
      <c r="X368" s="12">
        <f t="shared" si="242"/>
        <v>22.830001839999998</v>
      </c>
      <c r="Y368" s="11">
        <f t="shared" si="242"/>
        <v>0.55000019100000008</v>
      </c>
      <c r="Z368" s="7">
        <f t="shared" si="245"/>
        <v>19200576</v>
      </c>
      <c r="AA368" s="7">
        <f t="shared" si="245"/>
        <v>5.1300010699999987</v>
      </c>
      <c r="AB368" s="7">
        <f t="shared" si="245"/>
        <v>9.9999909999999304E-3</v>
      </c>
    </row>
    <row r="369" spans="1:28" x14ac:dyDescent="0.25">
      <c r="A369" s="2">
        <v>365</v>
      </c>
      <c r="B369">
        <v>4</v>
      </c>
      <c r="C369">
        <v>2</v>
      </c>
      <c r="D369">
        <v>1</v>
      </c>
      <c r="E369">
        <v>0</v>
      </c>
      <c r="G369">
        <v>566627584</v>
      </c>
      <c r="H369">
        <v>147.3500061</v>
      </c>
      <c r="I369">
        <v>2.9900000100000002</v>
      </c>
      <c r="K369" s="52"/>
      <c r="N369" s="29">
        <f t="shared" si="218"/>
        <v>479938784</v>
      </c>
      <c r="O369" s="30">
        <f t="shared" si="219"/>
        <v>1.845447101201847</v>
      </c>
      <c r="P369" s="30">
        <f t="shared" si="220"/>
        <v>1.845447101201847</v>
      </c>
      <c r="Q369" s="29">
        <f t="shared" si="221"/>
        <v>102.26000594999999</v>
      </c>
      <c r="R369" s="30">
        <f t="shared" si="222"/>
        <v>0.75596958386792101</v>
      </c>
      <c r="S369" s="30">
        <f t="shared" si="223"/>
        <v>0.75596958386792101</v>
      </c>
      <c r="T369" s="37">
        <f t="shared" si="224"/>
        <v>9.9999905000000222E-2</v>
      </c>
      <c r="U369" s="30">
        <f t="shared" si="225"/>
        <v>1.1534013998475872E-2</v>
      </c>
      <c r="V369" s="38">
        <f t="shared" si="226"/>
        <v>7.3926151154973417E-4</v>
      </c>
      <c r="W369" s="9">
        <f t="shared" si="242"/>
        <v>311436736</v>
      </c>
      <c r="X369" s="12">
        <f t="shared" si="242"/>
        <v>97.150005340000007</v>
      </c>
      <c r="Y369" s="11">
        <f t="shared" si="242"/>
        <v>0.58999991499999993</v>
      </c>
      <c r="Z369" s="7">
        <f t="shared" si="245"/>
        <v>154075360</v>
      </c>
      <c r="AA369" s="7">
        <f t="shared" si="245"/>
        <v>14.760009800000006</v>
      </c>
      <c r="AB369" s="7">
        <f t="shared" si="245"/>
        <v>1.9999981000000222E-2</v>
      </c>
    </row>
    <row r="370" spans="1:28" x14ac:dyDescent="0.25">
      <c r="A370" s="2">
        <v>366</v>
      </c>
      <c r="B370">
        <v>4</v>
      </c>
      <c r="C370">
        <v>2</v>
      </c>
      <c r="D370">
        <v>1</v>
      </c>
      <c r="E370">
        <v>1</v>
      </c>
      <c r="G370">
        <v>570980928</v>
      </c>
      <c r="H370">
        <v>153.7599945</v>
      </c>
      <c r="I370">
        <v>2.9900000100000002</v>
      </c>
      <c r="J370" s="9">
        <f t="shared" ref="J370:J417" si="247">ABS(G370-G369)</f>
        <v>4353344</v>
      </c>
      <c r="K370" s="52"/>
      <c r="L370" s="9">
        <f t="shared" ref="L370:M375" si="248">ABS(H370-H369)</f>
        <v>6.4099884000000031</v>
      </c>
      <c r="M370" s="9">
        <f t="shared" si="248"/>
        <v>0</v>
      </c>
      <c r="N370" s="29">
        <f t="shared" si="218"/>
        <v>482461200</v>
      </c>
      <c r="O370" s="30">
        <f t="shared" si="219"/>
        <v>1.8167746742285518</v>
      </c>
      <c r="P370" s="30">
        <f t="shared" si="220"/>
        <v>1.8167746742285518</v>
      </c>
      <c r="Q370" s="29">
        <f t="shared" si="221"/>
        <v>107.43999481</v>
      </c>
      <c r="R370" s="30">
        <f t="shared" si="222"/>
        <v>0.77317210369207012</v>
      </c>
      <c r="S370" s="30">
        <f t="shared" si="223"/>
        <v>0.77317210369207012</v>
      </c>
      <c r="T370" s="37">
        <f t="shared" si="224"/>
        <v>9.9999905000000222E-2</v>
      </c>
      <c r="U370" s="30">
        <f t="shared" si="225"/>
        <v>1.1534013998475872E-2</v>
      </c>
      <c r="V370" s="38">
        <f t="shared" si="226"/>
        <v>7.1963086981330544E-4</v>
      </c>
      <c r="W370" s="9">
        <f t="shared" si="242"/>
        <v>311885936</v>
      </c>
      <c r="X370" s="12">
        <f t="shared" si="242"/>
        <v>102.69999313</v>
      </c>
      <c r="Y370" s="11">
        <f t="shared" si="242"/>
        <v>0.58999991499999993</v>
      </c>
      <c r="Z370" s="7">
        <f t="shared" si="245"/>
        <v>153999616</v>
      </c>
      <c r="AA370" s="7">
        <f t="shared" si="245"/>
        <v>15.339996299999996</v>
      </c>
      <c r="AB370" s="7">
        <f t="shared" si="245"/>
        <v>1.9999981000000222E-2</v>
      </c>
    </row>
    <row r="371" spans="1:28" x14ac:dyDescent="0.25">
      <c r="A371" s="2">
        <v>367</v>
      </c>
      <c r="B371">
        <v>4</v>
      </c>
      <c r="C371">
        <v>2</v>
      </c>
      <c r="D371">
        <v>1</v>
      </c>
      <c r="E371">
        <v>2</v>
      </c>
      <c r="G371">
        <v>568101888</v>
      </c>
      <c r="H371">
        <v>150.86999510000001</v>
      </c>
      <c r="I371">
        <v>2.9900000100000002</v>
      </c>
      <c r="J371" s="9">
        <f t="shared" si="247"/>
        <v>2879040</v>
      </c>
      <c r="K371" s="52"/>
      <c r="L371" s="9">
        <f t="shared" si="248"/>
        <v>2.8899993999999936</v>
      </c>
      <c r="M371" s="9">
        <f t="shared" si="248"/>
        <v>0</v>
      </c>
      <c r="N371" s="29">
        <f t="shared" si="218"/>
        <v>480725016</v>
      </c>
      <c r="O371" s="30">
        <f t="shared" si="219"/>
        <v>1.8339140361994188</v>
      </c>
      <c r="P371" s="30">
        <f t="shared" si="220"/>
        <v>1.8339140361994188</v>
      </c>
      <c r="Q371" s="29">
        <f t="shared" si="221"/>
        <v>105.14999388000001</v>
      </c>
      <c r="R371" s="30">
        <f t="shared" si="222"/>
        <v>0.76662285705862032</v>
      </c>
      <c r="S371" s="30">
        <f t="shared" si="223"/>
        <v>0.76662285705862032</v>
      </c>
      <c r="T371" s="37">
        <f t="shared" si="224"/>
        <v>9.9999905000000222E-2</v>
      </c>
      <c r="U371" s="30">
        <f t="shared" si="225"/>
        <v>1.1534013998475872E-2</v>
      </c>
      <c r="V371" s="38">
        <f t="shared" si="226"/>
        <v>7.2907482014863219E-4</v>
      </c>
      <c r="W371" s="9">
        <f t="shared" si="242"/>
        <v>311157056</v>
      </c>
      <c r="X371" s="12">
        <f t="shared" si="242"/>
        <v>100.24999617</v>
      </c>
      <c r="Y371" s="11">
        <f t="shared" si="242"/>
        <v>0.58999991499999993</v>
      </c>
      <c r="Z371" s="7">
        <f t="shared" si="245"/>
        <v>153970944</v>
      </c>
      <c r="AA371" s="7">
        <f t="shared" si="245"/>
        <v>15.089996300000024</v>
      </c>
      <c r="AB371" s="7">
        <f t="shared" si="245"/>
        <v>1.9999981000000222E-2</v>
      </c>
    </row>
    <row r="372" spans="1:28" x14ac:dyDescent="0.25">
      <c r="A372" s="2">
        <v>368</v>
      </c>
      <c r="B372">
        <v>4</v>
      </c>
      <c r="C372">
        <v>2</v>
      </c>
      <c r="D372">
        <v>1</v>
      </c>
      <c r="E372">
        <v>3</v>
      </c>
      <c r="G372">
        <v>564675456</v>
      </c>
      <c r="H372">
        <v>160.61999510000001</v>
      </c>
      <c r="I372">
        <v>2.9900000100000002</v>
      </c>
      <c r="J372" s="9">
        <f t="shared" si="247"/>
        <v>3426432</v>
      </c>
      <c r="K372" s="52"/>
      <c r="L372" s="9">
        <f t="shared" si="248"/>
        <v>9.75</v>
      </c>
      <c r="M372" s="9">
        <f t="shared" si="248"/>
        <v>0</v>
      </c>
      <c r="N372" s="29">
        <f t="shared" si="218"/>
        <v>476005776</v>
      </c>
      <c r="O372" s="30">
        <f t="shared" si="219"/>
        <v>1.7894345846291539</v>
      </c>
      <c r="P372" s="30">
        <f t="shared" si="220"/>
        <v>1.7894345846291539</v>
      </c>
      <c r="Q372" s="29">
        <f t="shared" si="221"/>
        <v>113.16999434000002</v>
      </c>
      <c r="R372" s="30">
        <f t="shared" si="222"/>
        <v>0.79501224114767899</v>
      </c>
      <c r="S372" s="30">
        <f t="shared" si="223"/>
        <v>0.79501224114767899</v>
      </c>
      <c r="T372" s="37">
        <f t="shared" si="224"/>
        <v>9.9999905000000222E-2</v>
      </c>
      <c r="U372" s="30">
        <f t="shared" si="225"/>
        <v>1.1534013998475872E-2</v>
      </c>
      <c r="V372" s="38">
        <f t="shared" si="226"/>
        <v>7.0249317455789093E-4</v>
      </c>
      <c r="W372" s="9">
        <f t="shared" si="242"/>
        <v>305658608</v>
      </c>
      <c r="X372" s="12">
        <f t="shared" si="242"/>
        <v>108.87999342000001</v>
      </c>
      <c r="Y372" s="11">
        <f t="shared" si="242"/>
        <v>0.579999924</v>
      </c>
      <c r="Z372" s="7">
        <f t="shared" si="245"/>
        <v>150888224</v>
      </c>
      <c r="AA372" s="7">
        <f t="shared" si="245"/>
        <v>15.979995700000018</v>
      </c>
      <c r="AB372" s="7">
        <f t="shared" si="245"/>
        <v>1.9999981000000222E-2</v>
      </c>
    </row>
    <row r="373" spans="1:28" x14ac:dyDescent="0.25">
      <c r="A373" s="2">
        <v>369</v>
      </c>
      <c r="B373">
        <v>4</v>
      </c>
      <c r="C373">
        <v>2</v>
      </c>
      <c r="D373">
        <v>1</v>
      </c>
      <c r="E373">
        <v>4</v>
      </c>
      <c r="G373">
        <v>525305664</v>
      </c>
      <c r="H373">
        <v>155.5099945</v>
      </c>
      <c r="I373">
        <v>2.9900000100000002</v>
      </c>
      <c r="J373" s="9">
        <f t="shared" si="247"/>
        <v>39369792</v>
      </c>
      <c r="K373" s="52"/>
      <c r="L373" s="9">
        <f t="shared" si="248"/>
        <v>5.1100006000000064</v>
      </c>
      <c r="M373" s="9">
        <f t="shared" si="248"/>
        <v>0</v>
      </c>
      <c r="N373" s="29">
        <f t="shared" si="218"/>
        <v>442690320</v>
      </c>
      <c r="O373" s="30">
        <f t="shared" si="219"/>
        <v>1.7861505242900158</v>
      </c>
      <c r="P373" s="30">
        <f t="shared" si="220"/>
        <v>1.7861505242900158</v>
      </c>
      <c r="Q373" s="29">
        <f t="shared" si="221"/>
        <v>109.37999343000001</v>
      </c>
      <c r="R373" s="30">
        <f t="shared" si="222"/>
        <v>0.79037496128980689</v>
      </c>
      <c r="S373" s="30">
        <f t="shared" si="223"/>
        <v>0.79037496128980689</v>
      </c>
      <c r="T373" s="37">
        <f t="shared" si="224"/>
        <v>9.9999905000000222E-2</v>
      </c>
      <c r="U373" s="30">
        <f t="shared" si="225"/>
        <v>1.1534013998475872E-2</v>
      </c>
      <c r="V373" s="38">
        <f t="shared" si="226"/>
        <v>7.2259486003664088E-4</v>
      </c>
      <c r="W373" s="9">
        <f t="shared" si="242"/>
        <v>283761152</v>
      </c>
      <c r="X373" s="12">
        <f t="shared" si="242"/>
        <v>105.08999633000001</v>
      </c>
      <c r="Y373" s="11">
        <f t="shared" si="242"/>
        <v>0.579999924</v>
      </c>
      <c r="Z373" s="7">
        <f t="shared" si="245"/>
        <v>139230496</v>
      </c>
      <c r="AA373" s="7">
        <f t="shared" si="245"/>
        <v>15.51998900000001</v>
      </c>
      <c r="AB373" s="7">
        <f t="shared" si="245"/>
        <v>1.9999981000000222E-2</v>
      </c>
    </row>
    <row r="374" spans="1:28" x14ac:dyDescent="0.25">
      <c r="A374" s="2">
        <v>370</v>
      </c>
      <c r="B374">
        <v>4</v>
      </c>
      <c r="C374">
        <v>2</v>
      </c>
      <c r="D374">
        <v>1</v>
      </c>
      <c r="E374">
        <v>5</v>
      </c>
      <c r="G374">
        <v>487304000</v>
      </c>
      <c r="H374">
        <v>150.57000729999999</v>
      </c>
      <c r="I374">
        <v>2.9900000100000002</v>
      </c>
      <c r="J374" s="9">
        <f t="shared" si="247"/>
        <v>38001664</v>
      </c>
      <c r="K374" s="52"/>
      <c r="L374" s="9">
        <f t="shared" si="248"/>
        <v>4.9399872000000187</v>
      </c>
      <c r="M374" s="9">
        <f t="shared" si="248"/>
        <v>0</v>
      </c>
      <c r="N374" s="29">
        <f t="shared" si="218"/>
        <v>411794080</v>
      </c>
      <c r="O374" s="30">
        <f t="shared" si="219"/>
        <v>1.8178365615184513</v>
      </c>
      <c r="P374" s="30">
        <f t="shared" si="220"/>
        <v>1.8178365615184513</v>
      </c>
      <c r="Q374" s="29">
        <f t="shared" si="221"/>
        <v>106.00000760999998</v>
      </c>
      <c r="R374" s="30">
        <f t="shared" si="222"/>
        <v>0.79276051415202486</v>
      </c>
      <c r="S374" s="30">
        <f t="shared" si="223"/>
        <v>0.79276051415202486</v>
      </c>
      <c r="T374" s="37">
        <f t="shared" si="224"/>
        <v>9.9999905000000222E-2</v>
      </c>
      <c r="U374" s="30">
        <f t="shared" si="225"/>
        <v>1.1534013998475872E-2</v>
      </c>
      <c r="V374" s="38">
        <f t="shared" si="226"/>
        <v>7.4788651331639125E-4</v>
      </c>
      <c r="W374" s="9">
        <f t="shared" si="242"/>
        <v>261259376</v>
      </c>
      <c r="X374" s="12">
        <f t="shared" si="242"/>
        <v>100.73000714999998</v>
      </c>
      <c r="Y374" s="11">
        <f t="shared" si="242"/>
        <v>0.579999924</v>
      </c>
      <c r="Z374" s="7">
        <f t="shared" si="245"/>
        <v>129608192</v>
      </c>
      <c r="AA374" s="7">
        <f t="shared" si="245"/>
        <v>15.090011599999997</v>
      </c>
      <c r="AB374" s="7">
        <f t="shared" si="245"/>
        <v>1.9999981000000222E-2</v>
      </c>
    </row>
    <row r="375" spans="1:28" x14ac:dyDescent="0.25">
      <c r="A375" s="2">
        <v>371</v>
      </c>
      <c r="B375">
        <v>4</v>
      </c>
      <c r="C375">
        <v>2</v>
      </c>
      <c r="D375">
        <v>1</v>
      </c>
      <c r="E375">
        <v>6</v>
      </c>
      <c r="G375">
        <v>404634272</v>
      </c>
      <c r="H375">
        <v>135.1600037</v>
      </c>
      <c r="I375">
        <v>2.9900000100000002</v>
      </c>
      <c r="J375" s="9">
        <f t="shared" si="247"/>
        <v>82669728</v>
      </c>
      <c r="K375" s="52">
        <f t="shared" ref="K375" si="249">AVERAGE(J370:J375)</f>
        <v>28450000</v>
      </c>
      <c r="L375" s="9">
        <f t="shared" si="248"/>
        <v>15.410003599999982</v>
      </c>
      <c r="M375" s="9">
        <f t="shared" si="248"/>
        <v>0</v>
      </c>
      <c r="N375" s="29">
        <f t="shared" si="218"/>
        <v>343500160</v>
      </c>
      <c r="O375" s="30">
        <f t="shared" si="219"/>
        <v>1.8729323055078206</v>
      </c>
      <c r="P375" s="30">
        <f t="shared" si="220"/>
        <v>1.8729323055078206</v>
      </c>
      <c r="Q375" s="29">
        <f t="shared" si="221"/>
        <v>94.620002780000007</v>
      </c>
      <c r="R375" s="30">
        <f t="shared" si="222"/>
        <v>0.77799704516303381</v>
      </c>
      <c r="S375" s="30">
        <f t="shared" si="223"/>
        <v>0.77799704516303381</v>
      </c>
      <c r="T375" s="37">
        <f t="shared" si="224"/>
        <v>9.9999905000000222E-2</v>
      </c>
      <c r="U375" s="30">
        <f t="shared" si="225"/>
        <v>1.1534013998475872E-2</v>
      </c>
      <c r="V375" s="38">
        <f t="shared" si="226"/>
        <v>8.2223238555039337E-4</v>
      </c>
      <c r="W375" s="9">
        <f t="shared" si="242"/>
        <v>216103152</v>
      </c>
      <c r="X375" s="12">
        <f t="shared" si="242"/>
        <v>88.46000294000001</v>
      </c>
      <c r="Y375" s="11">
        <f t="shared" si="242"/>
        <v>0.579999924</v>
      </c>
      <c r="Z375" s="7">
        <f t="shared" si="245"/>
        <v>107271488</v>
      </c>
      <c r="AA375" s="7">
        <f t="shared" si="245"/>
        <v>13.670005799999998</v>
      </c>
      <c r="AB375" s="7">
        <f t="shared" si="245"/>
        <v>1.9999981000000222E-2</v>
      </c>
    </row>
    <row r="376" spans="1:28" x14ac:dyDescent="0.25">
      <c r="A376" s="2">
        <v>372</v>
      </c>
      <c r="B376">
        <v>4</v>
      </c>
      <c r="C376">
        <v>2</v>
      </c>
      <c r="D376">
        <v>2</v>
      </c>
      <c r="E376">
        <v>0</v>
      </c>
      <c r="G376">
        <v>2015755520</v>
      </c>
      <c r="H376">
        <v>405.17001340000002</v>
      </c>
      <c r="I376">
        <v>3.1800000669999999</v>
      </c>
      <c r="K376" s="52"/>
      <c r="N376" s="29">
        <f t="shared" si="218"/>
        <v>1449127936</v>
      </c>
      <c r="O376" s="30">
        <f t="shared" si="219"/>
        <v>0.85248699317351517</v>
      </c>
      <c r="P376" s="30">
        <f t="shared" si="220"/>
        <v>1.7049739863470303</v>
      </c>
      <c r="Q376" s="29">
        <f t="shared" si="221"/>
        <v>257.82000730000004</v>
      </c>
      <c r="R376" s="30">
        <f t="shared" si="222"/>
        <v>0.58323718273217873</v>
      </c>
      <c r="S376" s="30">
        <f t="shared" si="223"/>
        <v>1.1664743654643575</v>
      </c>
      <c r="T376" s="37">
        <f t="shared" si="224"/>
        <v>0.19000005699999978</v>
      </c>
      <c r="U376" s="30">
        <f t="shared" si="225"/>
        <v>2.1181723117563889E-2</v>
      </c>
      <c r="V376" s="38">
        <f t="shared" si="226"/>
        <v>8.5963148573406486E-4</v>
      </c>
      <c r="W376" s="9">
        <f t="shared" si="242"/>
        <v>1140786048</v>
      </c>
      <c r="X376" s="12">
        <f t="shared" si="242"/>
        <v>315.39001461999999</v>
      </c>
      <c r="Y376" s="11">
        <f t="shared" si="242"/>
        <v>0.61000013399999986</v>
      </c>
      <c r="Z376" s="7">
        <f t="shared" si="245"/>
        <v>504982912</v>
      </c>
      <c r="AA376" s="7">
        <f t="shared" si="245"/>
        <v>45.840026800000032</v>
      </c>
      <c r="AB376" s="7">
        <f t="shared" si="245"/>
        <v>3.9999962E-2</v>
      </c>
    </row>
    <row r="377" spans="1:28" x14ac:dyDescent="0.25">
      <c r="A377" s="2">
        <v>373</v>
      </c>
      <c r="B377">
        <v>4</v>
      </c>
      <c r="C377">
        <v>2</v>
      </c>
      <c r="D377">
        <v>2</v>
      </c>
      <c r="E377">
        <v>1</v>
      </c>
      <c r="G377">
        <v>2014934016</v>
      </c>
      <c r="H377">
        <v>423.64999390000003</v>
      </c>
      <c r="I377">
        <v>3.1800000669999999</v>
      </c>
      <c r="J377" s="9">
        <f t="shared" ref="J377:J424" si="250">ABS(G377-G376)</f>
        <v>821504</v>
      </c>
      <c r="K377" s="52"/>
      <c r="L377" s="9">
        <f t="shared" ref="L377:M382" si="251">ABS(H377-H376)</f>
        <v>18.479980500000011</v>
      </c>
      <c r="M377" s="9">
        <f t="shared" si="251"/>
        <v>0</v>
      </c>
      <c r="N377" s="29">
        <f t="shared" si="218"/>
        <v>1443953088</v>
      </c>
      <c r="O377" s="30">
        <f t="shared" si="219"/>
        <v>0.84296632758984202</v>
      </c>
      <c r="P377" s="30">
        <f t="shared" si="220"/>
        <v>1.685932655179684</v>
      </c>
      <c r="Q377" s="29">
        <f t="shared" si="221"/>
        <v>269.88999940000002</v>
      </c>
      <c r="R377" s="30">
        <f t="shared" si="222"/>
        <v>0.58508933631194515</v>
      </c>
      <c r="S377" s="30">
        <f t="shared" si="223"/>
        <v>1.1701786726238903</v>
      </c>
      <c r="T377" s="37">
        <f t="shared" si="224"/>
        <v>0.19000005699999978</v>
      </c>
      <c r="U377" s="30">
        <f t="shared" si="225"/>
        <v>2.1181723117563889E-2</v>
      </c>
      <c r="V377" s="38">
        <f t="shared" si="226"/>
        <v>8.2379493494757182E-4</v>
      </c>
      <c r="W377" s="9">
        <f t="shared" si="242"/>
        <v>1130646784</v>
      </c>
      <c r="X377" s="12">
        <f t="shared" si="242"/>
        <v>330.99999237000003</v>
      </c>
      <c r="Y377" s="11">
        <f t="shared" si="242"/>
        <v>0.61000013399999986</v>
      </c>
      <c r="Z377" s="7">
        <f t="shared" si="245"/>
        <v>501744000</v>
      </c>
      <c r="AA377" s="7">
        <f t="shared" si="245"/>
        <v>47.589996300000053</v>
      </c>
      <c r="AB377" s="7">
        <f t="shared" si="245"/>
        <v>3.9999962E-2</v>
      </c>
    </row>
    <row r="378" spans="1:28" x14ac:dyDescent="0.25">
      <c r="A378" s="2">
        <v>374</v>
      </c>
      <c r="B378">
        <v>4</v>
      </c>
      <c r="C378">
        <v>2</v>
      </c>
      <c r="D378">
        <v>2</v>
      </c>
      <c r="E378">
        <v>2</v>
      </c>
      <c r="G378">
        <v>2014975104</v>
      </c>
      <c r="H378">
        <v>414.4599915</v>
      </c>
      <c r="I378">
        <v>3.1800000669999999</v>
      </c>
      <c r="J378" s="9">
        <f t="shared" si="250"/>
        <v>41088</v>
      </c>
      <c r="K378" s="52"/>
      <c r="L378" s="9">
        <f t="shared" si="251"/>
        <v>9.1900024000000258</v>
      </c>
      <c r="M378" s="9">
        <f t="shared" si="251"/>
        <v>0</v>
      </c>
      <c r="N378" s="29">
        <f t="shared" si="218"/>
        <v>1446873216</v>
      </c>
      <c r="O378" s="30">
        <f t="shared" si="219"/>
        <v>0.8489517148022574</v>
      </c>
      <c r="P378" s="30">
        <f t="shared" si="220"/>
        <v>1.6979034296045148</v>
      </c>
      <c r="Q378" s="29">
        <f t="shared" si="221"/>
        <v>263.58999640000002</v>
      </c>
      <c r="R378" s="30">
        <f t="shared" si="222"/>
        <v>0.58237777548210001</v>
      </c>
      <c r="S378" s="30">
        <f t="shared" si="223"/>
        <v>1.1647555509642</v>
      </c>
      <c r="T378" s="37">
        <f t="shared" si="224"/>
        <v>0.19000005699999978</v>
      </c>
      <c r="U378" s="30">
        <f t="shared" si="225"/>
        <v>2.1181723117563889E-2</v>
      </c>
      <c r="V378" s="38">
        <f t="shared" si="226"/>
        <v>8.3957518910707848E-4</v>
      </c>
      <c r="W378" s="9">
        <f t="shared" ref="W378:Y393" si="252">ABS(G378-G357)</f>
        <v>1135356288</v>
      </c>
      <c r="X378" s="12">
        <f t="shared" si="252"/>
        <v>323.30998997</v>
      </c>
      <c r="Y378" s="11">
        <f t="shared" si="252"/>
        <v>0.61000013399999986</v>
      </c>
      <c r="Z378" s="7">
        <f t="shared" si="245"/>
        <v>503811200</v>
      </c>
      <c r="AA378" s="7">
        <f t="shared" si="245"/>
        <v>46.619995200000005</v>
      </c>
      <c r="AB378" s="7">
        <f t="shared" si="245"/>
        <v>3.9999962E-2</v>
      </c>
    </row>
    <row r="379" spans="1:28" x14ac:dyDescent="0.25">
      <c r="A379" s="2">
        <v>375</v>
      </c>
      <c r="B379">
        <v>4</v>
      </c>
      <c r="C379">
        <v>2</v>
      </c>
      <c r="D379">
        <v>2</v>
      </c>
      <c r="E379">
        <v>3</v>
      </c>
      <c r="G379">
        <v>1973417984</v>
      </c>
      <c r="H379">
        <v>442.26000979999998</v>
      </c>
      <c r="I379">
        <v>3.1800000669999999</v>
      </c>
      <c r="J379" s="9">
        <f t="shared" si="250"/>
        <v>41557120</v>
      </c>
      <c r="K379" s="52"/>
      <c r="L379" s="9">
        <f t="shared" si="251"/>
        <v>27.800018299999977</v>
      </c>
      <c r="M379" s="9">
        <f t="shared" si="251"/>
        <v>0</v>
      </c>
      <c r="N379" s="29">
        <f t="shared" si="218"/>
        <v>1408742528</v>
      </c>
      <c r="O379" s="30">
        <f t="shared" si="219"/>
        <v>0.83159421518520305</v>
      </c>
      <c r="P379" s="30">
        <f t="shared" si="220"/>
        <v>1.6631884303704061</v>
      </c>
      <c r="Q379" s="29">
        <f t="shared" si="221"/>
        <v>281.64001469999994</v>
      </c>
      <c r="R379" s="30">
        <f t="shared" si="222"/>
        <v>0.58448516849693244</v>
      </c>
      <c r="S379" s="30">
        <f t="shared" si="223"/>
        <v>1.1689703369938649</v>
      </c>
      <c r="T379" s="37">
        <f t="shared" si="224"/>
        <v>0.19000005699999978</v>
      </c>
      <c r="U379" s="30">
        <f t="shared" si="225"/>
        <v>2.1181723117563889E-2</v>
      </c>
      <c r="V379" s="38">
        <f t="shared" si="226"/>
        <v>7.8861106045860236E-4</v>
      </c>
      <c r="W379" s="9">
        <f t="shared" si="252"/>
        <v>1091787520</v>
      </c>
      <c r="X379" s="12">
        <f t="shared" si="252"/>
        <v>346.57000735999998</v>
      </c>
      <c r="Y379" s="11">
        <f t="shared" si="252"/>
        <v>0.61000013399999986</v>
      </c>
      <c r="Z379" s="7">
        <f t="shared" si="245"/>
        <v>488825600</v>
      </c>
      <c r="AA379" s="7">
        <f t="shared" si="245"/>
        <v>49.140014699999995</v>
      </c>
      <c r="AB379" s="7">
        <f t="shared" si="245"/>
        <v>3.9999962E-2</v>
      </c>
    </row>
    <row r="380" spans="1:28" x14ac:dyDescent="0.25">
      <c r="A380" s="2">
        <v>376</v>
      </c>
      <c r="B380">
        <v>4</v>
      </c>
      <c r="C380">
        <v>2</v>
      </c>
      <c r="D380">
        <v>2</v>
      </c>
      <c r="E380">
        <v>4</v>
      </c>
      <c r="G380">
        <v>1819754624</v>
      </c>
      <c r="H380">
        <v>428.98001099999999</v>
      </c>
      <c r="I380">
        <v>3.1800000669999999</v>
      </c>
      <c r="J380" s="9">
        <f t="shared" si="250"/>
        <v>153663360</v>
      </c>
      <c r="K380" s="52"/>
      <c r="L380" s="9">
        <f t="shared" si="251"/>
        <v>13.279998799999987</v>
      </c>
      <c r="M380" s="9">
        <f t="shared" si="251"/>
        <v>0</v>
      </c>
      <c r="N380" s="29">
        <f t="shared" si="218"/>
        <v>1294448960</v>
      </c>
      <c r="O380" s="30">
        <f t="shared" si="219"/>
        <v>0.82139412581446425</v>
      </c>
      <c r="P380" s="30">
        <f t="shared" si="220"/>
        <v>1.6427882516289285</v>
      </c>
      <c r="Q380" s="29">
        <f t="shared" si="221"/>
        <v>273.47001649999999</v>
      </c>
      <c r="R380" s="30">
        <f t="shared" si="222"/>
        <v>0.58617886560768062</v>
      </c>
      <c r="S380" s="30">
        <f t="shared" si="223"/>
        <v>1.1723577312153612</v>
      </c>
      <c r="T380" s="37">
        <f t="shared" si="224"/>
        <v>0.19000005699999978</v>
      </c>
      <c r="U380" s="30">
        <f t="shared" si="225"/>
        <v>2.1181723117563889E-2</v>
      </c>
      <c r="V380" s="38">
        <f t="shared" si="226"/>
        <v>8.1452452669636291E-4</v>
      </c>
      <c r="W380" s="9">
        <f t="shared" si="252"/>
        <v>995133504</v>
      </c>
      <c r="X380" s="12">
        <f t="shared" si="252"/>
        <v>335.34001160999998</v>
      </c>
      <c r="Y380" s="11">
        <f t="shared" si="252"/>
        <v>0.60000014299999993</v>
      </c>
      <c r="Z380" s="7">
        <f t="shared" si="245"/>
        <v>447382528</v>
      </c>
      <c r="AA380" s="7">
        <f t="shared" si="245"/>
        <v>47.830017099999964</v>
      </c>
      <c r="AB380" s="7">
        <f t="shared" si="245"/>
        <v>3.9999962E-2</v>
      </c>
    </row>
    <row r="381" spans="1:28" x14ac:dyDescent="0.25">
      <c r="A381" s="2">
        <v>377</v>
      </c>
      <c r="B381">
        <v>4</v>
      </c>
      <c r="C381">
        <v>2</v>
      </c>
      <c r="D381">
        <v>2</v>
      </c>
      <c r="E381">
        <v>5</v>
      </c>
      <c r="G381">
        <v>1694294528</v>
      </c>
      <c r="H381">
        <v>411.19000240000003</v>
      </c>
      <c r="I381">
        <v>3.1800000669999999</v>
      </c>
      <c r="J381" s="9">
        <f t="shared" si="250"/>
        <v>125460096</v>
      </c>
      <c r="K381" s="52"/>
      <c r="L381" s="9">
        <f t="shared" si="251"/>
        <v>17.790008599999965</v>
      </c>
      <c r="M381" s="9">
        <f t="shared" si="251"/>
        <v>0</v>
      </c>
      <c r="N381" s="29">
        <f t="shared" si="218"/>
        <v>1206990528</v>
      </c>
      <c r="O381" s="30">
        <f t="shared" si="219"/>
        <v>0.82562461215175753</v>
      </c>
      <c r="P381" s="30">
        <f t="shared" si="220"/>
        <v>1.6512492243035151</v>
      </c>
      <c r="Q381" s="29">
        <f t="shared" si="221"/>
        <v>260.61999510000004</v>
      </c>
      <c r="R381" s="30">
        <f t="shared" si="222"/>
        <v>0.57696305697130701</v>
      </c>
      <c r="S381" s="30">
        <f t="shared" si="223"/>
        <v>1.153926113942614</v>
      </c>
      <c r="T381" s="37">
        <f t="shared" si="224"/>
        <v>0.19000005699999978</v>
      </c>
      <c r="U381" s="30">
        <f t="shared" si="225"/>
        <v>2.1181723117563889E-2</v>
      </c>
      <c r="V381" s="38">
        <f t="shared" si="226"/>
        <v>8.4124791476095345E-4</v>
      </c>
      <c r="W381" s="9">
        <f t="shared" si="252"/>
        <v>919927488</v>
      </c>
      <c r="X381" s="12">
        <f t="shared" si="252"/>
        <v>317.58000179000004</v>
      </c>
      <c r="Y381" s="11">
        <f t="shared" si="252"/>
        <v>0.60000014299999993</v>
      </c>
      <c r="Z381" s="7">
        <f t="shared" si="245"/>
        <v>416921344</v>
      </c>
      <c r="AA381" s="7">
        <f t="shared" si="245"/>
        <v>45.380004800000052</v>
      </c>
      <c r="AB381" s="7">
        <f t="shared" si="245"/>
        <v>3.9999962E-2</v>
      </c>
    </row>
    <row r="382" spans="1:28" x14ac:dyDescent="0.25">
      <c r="A382" s="2">
        <v>378</v>
      </c>
      <c r="B382">
        <v>4</v>
      </c>
      <c r="C382">
        <v>2</v>
      </c>
      <c r="D382">
        <v>2</v>
      </c>
      <c r="E382">
        <v>6</v>
      </c>
      <c r="G382">
        <v>1401500416</v>
      </c>
      <c r="H382">
        <v>367.36999509999998</v>
      </c>
      <c r="I382">
        <v>3.1800000669999999</v>
      </c>
      <c r="J382" s="9">
        <f t="shared" si="250"/>
        <v>292794112</v>
      </c>
      <c r="K382" s="52">
        <f t="shared" ref="K382" si="253">AVERAGE(J377:J382)</f>
        <v>102389546.66666667</v>
      </c>
      <c r="L382" s="9">
        <f t="shared" si="251"/>
        <v>43.820007300000043</v>
      </c>
      <c r="M382" s="9">
        <f t="shared" si="251"/>
        <v>0</v>
      </c>
      <c r="N382" s="29">
        <f t="shared" si="218"/>
        <v>996866144</v>
      </c>
      <c r="O382" s="30">
        <f t="shared" si="219"/>
        <v>0.82120753890729914</v>
      </c>
      <c r="P382" s="30">
        <f t="shared" si="220"/>
        <v>1.6424150778145983</v>
      </c>
      <c r="Q382" s="29">
        <f t="shared" si="221"/>
        <v>232.20999139999998</v>
      </c>
      <c r="R382" s="30">
        <f t="shared" si="222"/>
        <v>0.57267925679012588</v>
      </c>
      <c r="S382" s="30">
        <f t="shared" si="223"/>
        <v>1.1453585135802518</v>
      </c>
      <c r="T382" s="37">
        <f t="shared" si="224"/>
        <v>0.19000005699999978</v>
      </c>
      <c r="U382" s="30">
        <f t="shared" si="225"/>
        <v>2.1181723117563889E-2</v>
      </c>
      <c r="V382" s="38">
        <f t="shared" si="226"/>
        <v>9.3716115122203505E-4</v>
      </c>
      <c r="W382" s="9">
        <f t="shared" si="252"/>
        <v>747729536</v>
      </c>
      <c r="X382" s="12">
        <f t="shared" si="252"/>
        <v>279.33999631999995</v>
      </c>
      <c r="Y382" s="11">
        <f t="shared" si="252"/>
        <v>0.60000014299999993</v>
      </c>
      <c r="Z382" s="7">
        <f t="shared" ref="Z382:AB397" si="254">ABS(G382-G277)</f>
        <v>343501376</v>
      </c>
      <c r="AA382" s="7">
        <f t="shared" si="254"/>
        <v>40.709991399999979</v>
      </c>
      <c r="AB382" s="7">
        <f t="shared" si="254"/>
        <v>3.9999962E-2</v>
      </c>
    </row>
    <row r="383" spans="1:28" x14ac:dyDescent="0.25">
      <c r="A383" s="2">
        <v>379</v>
      </c>
      <c r="B383">
        <v>4</v>
      </c>
      <c r="C383">
        <v>3</v>
      </c>
      <c r="D383">
        <v>0</v>
      </c>
      <c r="E383">
        <v>0</v>
      </c>
      <c r="G383">
        <v>175275424</v>
      </c>
      <c r="H383">
        <v>84.370002749999998</v>
      </c>
      <c r="I383">
        <v>3.4400000569999998</v>
      </c>
      <c r="K383" s="52"/>
      <c r="N383" s="29">
        <f t="shared" si="218"/>
        <v>1840480096</v>
      </c>
      <c r="O383" s="30">
        <f t="shared" si="219"/>
        <v>0.30434909355145079</v>
      </c>
      <c r="P383" s="30">
        <f t="shared" si="220"/>
        <v>1.0144969785048359</v>
      </c>
      <c r="Q383" s="29">
        <f t="shared" si="221"/>
        <v>320.80001064999999</v>
      </c>
      <c r="R383" s="30">
        <f t="shared" si="222"/>
        <v>0.26392213971117467</v>
      </c>
      <c r="S383" s="30">
        <f t="shared" si="223"/>
        <v>0.87974046570391562</v>
      </c>
      <c r="T383" s="37">
        <f t="shared" si="224"/>
        <v>0.25999998999999985</v>
      </c>
      <c r="U383" s="30">
        <f t="shared" si="225"/>
        <v>2.7253667140672195E-2</v>
      </c>
      <c r="V383" s="38">
        <f t="shared" si="226"/>
        <v>7.1300656076088962E-4</v>
      </c>
      <c r="W383" s="9">
        <f t="shared" si="252"/>
        <v>88586624</v>
      </c>
      <c r="X383" s="12">
        <f t="shared" si="252"/>
        <v>39.280002599999996</v>
      </c>
      <c r="Y383" s="11">
        <f t="shared" si="252"/>
        <v>0.54999995199999985</v>
      </c>
      <c r="Z383" s="7">
        <f t="shared" si="254"/>
        <v>43266192</v>
      </c>
      <c r="AA383" s="7">
        <f t="shared" si="254"/>
        <v>8.7600021399999974</v>
      </c>
      <c r="AB383" s="7">
        <f t="shared" si="254"/>
        <v>0</v>
      </c>
    </row>
    <row r="384" spans="1:28" x14ac:dyDescent="0.25">
      <c r="A384" s="2">
        <v>380</v>
      </c>
      <c r="B384">
        <v>4</v>
      </c>
      <c r="C384">
        <v>3</v>
      </c>
      <c r="D384">
        <v>0</v>
      </c>
      <c r="E384">
        <v>1</v>
      </c>
      <c r="G384">
        <v>175580320</v>
      </c>
      <c r="H384">
        <v>85.959999080000003</v>
      </c>
      <c r="I384">
        <v>3.4400000569999998</v>
      </c>
      <c r="J384" s="9">
        <f t="shared" ref="J384" si="255">ABS(G384-G383)</f>
        <v>304896</v>
      </c>
      <c r="K384" s="52"/>
      <c r="L384" s="9">
        <f t="shared" ref="L384:M389" si="256">ABS(H384-H383)</f>
        <v>1.5899963300000053</v>
      </c>
      <c r="M384" s="9">
        <f t="shared" si="256"/>
        <v>0</v>
      </c>
      <c r="N384" s="29">
        <f t="shared" si="218"/>
        <v>1839353696</v>
      </c>
      <c r="O384" s="30">
        <f t="shared" si="219"/>
        <v>0.30428683708651366</v>
      </c>
      <c r="P384" s="30">
        <f t="shared" si="220"/>
        <v>1.0142894569550454</v>
      </c>
      <c r="Q384" s="29">
        <f t="shared" si="221"/>
        <v>337.68999482000004</v>
      </c>
      <c r="R384" s="30">
        <f t="shared" si="222"/>
        <v>0.2656988864096067</v>
      </c>
      <c r="S384" s="30">
        <f t="shared" si="223"/>
        <v>0.88566295469868894</v>
      </c>
      <c r="T384" s="37">
        <f t="shared" si="224"/>
        <v>0.25999998999999985</v>
      </c>
      <c r="U384" s="30">
        <f t="shared" si="225"/>
        <v>2.7253667140672195E-2</v>
      </c>
      <c r="V384" s="38">
        <f t="shared" si="226"/>
        <v>6.8190459562704031E-4</v>
      </c>
      <c r="W384" s="9">
        <f t="shared" si="252"/>
        <v>87060592</v>
      </c>
      <c r="X384" s="12">
        <f t="shared" si="252"/>
        <v>39.63999939</v>
      </c>
      <c r="Y384" s="11">
        <f t="shared" si="252"/>
        <v>0.54999995199999985</v>
      </c>
      <c r="Z384" s="7">
        <f t="shared" si="254"/>
        <v>43168712</v>
      </c>
      <c r="AA384" s="7">
        <f t="shared" si="254"/>
        <v>8.9300003000000032</v>
      </c>
      <c r="AB384" s="7">
        <f t="shared" si="254"/>
        <v>0</v>
      </c>
    </row>
    <row r="385" spans="1:28" x14ac:dyDescent="0.25">
      <c r="A385" s="2">
        <v>381</v>
      </c>
      <c r="B385">
        <v>4</v>
      </c>
      <c r="C385">
        <v>3</v>
      </c>
      <c r="D385">
        <v>0</v>
      </c>
      <c r="E385">
        <v>2</v>
      </c>
      <c r="G385">
        <v>175157552</v>
      </c>
      <c r="H385">
        <v>84.739997860000003</v>
      </c>
      <c r="I385">
        <v>3.4400000569999998</v>
      </c>
      <c r="J385" s="9">
        <f t="shared" si="247"/>
        <v>422768</v>
      </c>
      <c r="K385" s="52"/>
      <c r="L385" s="9">
        <f t="shared" si="256"/>
        <v>1.2200012200000003</v>
      </c>
      <c r="M385" s="9">
        <f t="shared" si="256"/>
        <v>0</v>
      </c>
      <c r="N385" s="29">
        <f t="shared" si="218"/>
        <v>1839817552</v>
      </c>
      <c r="O385" s="30">
        <f t="shared" si="219"/>
        <v>0.3043573670542648</v>
      </c>
      <c r="P385" s="30">
        <f t="shared" si="220"/>
        <v>1.0145245568475492</v>
      </c>
      <c r="Q385" s="29">
        <f t="shared" si="221"/>
        <v>329.71999363999998</v>
      </c>
      <c r="R385" s="30">
        <f t="shared" si="222"/>
        <v>0.26518039569729296</v>
      </c>
      <c r="S385" s="30">
        <f t="shared" si="223"/>
        <v>0.88393465232430979</v>
      </c>
      <c r="T385" s="37">
        <f t="shared" si="224"/>
        <v>0.25999998999999985</v>
      </c>
      <c r="U385" s="30">
        <f t="shared" si="225"/>
        <v>2.7253667140672195E-2</v>
      </c>
      <c r="V385" s="38">
        <f t="shared" si="226"/>
        <v>6.9702476403630772E-4</v>
      </c>
      <c r="W385" s="9">
        <f t="shared" si="252"/>
        <v>87780680</v>
      </c>
      <c r="X385" s="12">
        <f t="shared" si="252"/>
        <v>39.019996640000002</v>
      </c>
      <c r="Y385" s="11">
        <f t="shared" si="252"/>
        <v>0.54999995199999985</v>
      </c>
      <c r="Z385" s="7">
        <f t="shared" si="254"/>
        <v>43199608</v>
      </c>
      <c r="AA385" s="7">
        <f t="shared" si="254"/>
        <v>8.7999954200000019</v>
      </c>
      <c r="AB385" s="7">
        <f t="shared" si="254"/>
        <v>0</v>
      </c>
    </row>
    <row r="386" spans="1:28" x14ac:dyDescent="0.25">
      <c r="A386" s="2">
        <v>382</v>
      </c>
      <c r="B386">
        <v>4</v>
      </c>
      <c r="C386">
        <v>3</v>
      </c>
      <c r="D386">
        <v>0</v>
      </c>
      <c r="E386">
        <v>3</v>
      </c>
      <c r="G386">
        <v>171829632</v>
      </c>
      <c r="H386">
        <v>86.269996640000002</v>
      </c>
      <c r="I386">
        <v>3.4400000569999998</v>
      </c>
      <c r="J386" s="9">
        <f t="shared" si="247"/>
        <v>3327920</v>
      </c>
      <c r="K386" s="52"/>
      <c r="L386" s="9">
        <f t="shared" si="256"/>
        <v>1.5299987799999997</v>
      </c>
      <c r="M386" s="9">
        <f t="shared" si="256"/>
        <v>0</v>
      </c>
      <c r="N386" s="29">
        <f t="shared" si="218"/>
        <v>1801588352</v>
      </c>
      <c r="O386" s="30">
        <f t="shared" si="219"/>
        <v>0.30430930271012807</v>
      </c>
      <c r="P386" s="30">
        <f t="shared" si="220"/>
        <v>1.0143643423670934</v>
      </c>
      <c r="Q386" s="29">
        <f t="shared" si="221"/>
        <v>355.99001315999999</v>
      </c>
      <c r="R386" s="30">
        <f t="shared" si="222"/>
        <v>0.26831125376599674</v>
      </c>
      <c r="S386" s="30">
        <f t="shared" si="223"/>
        <v>0.89437084588665572</v>
      </c>
      <c r="T386" s="37">
        <f t="shared" si="224"/>
        <v>0.25999998999999985</v>
      </c>
      <c r="U386" s="30">
        <f t="shared" si="225"/>
        <v>2.7253667140672195E-2</v>
      </c>
      <c r="V386" s="38">
        <f t="shared" si="226"/>
        <v>6.5321049015582423E-4</v>
      </c>
      <c r="W386" s="9">
        <f t="shared" si="252"/>
        <v>83159952</v>
      </c>
      <c r="X386" s="12">
        <f t="shared" si="252"/>
        <v>38.81999588</v>
      </c>
      <c r="Y386" s="11">
        <f t="shared" si="252"/>
        <v>0.54999995199999985</v>
      </c>
      <c r="Z386" s="7">
        <f t="shared" si="254"/>
        <v>42114960</v>
      </c>
      <c r="AA386" s="7">
        <f t="shared" si="254"/>
        <v>8.9799957200000051</v>
      </c>
      <c r="AB386" s="7">
        <f t="shared" si="254"/>
        <v>0</v>
      </c>
    </row>
    <row r="387" spans="1:28" x14ac:dyDescent="0.25">
      <c r="A387" s="2">
        <v>383</v>
      </c>
      <c r="B387">
        <v>4</v>
      </c>
      <c r="C387">
        <v>3</v>
      </c>
      <c r="D387">
        <v>0</v>
      </c>
      <c r="E387">
        <v>4</v>
      </c>
      <c r="G387">
        <v>158084000</v>
      </c>
      <c r="H387">
        <v>83.569999690000003</v>
      </c>
      <c r="I387">
        <v>3.4400000569999998</v>
      </c>
      <c r="J387" s="9">
        <f t="shared" si="247"/>
        <v>13745632</v>
      </c>
      <c r="K387" s="52"/>
      <c r="L387" s="9">
        <f t="shared" si="256"/>
        <v>2.6999969499999992</v>
      </c>
      <c r="M387" s="9">
        <f t="shared" si="256"/>
        <v>0</v>
      </c>
      <c r="N387" s="29">
        <f t="shared" si="218"/>
        <v>1661670624</v>
      </c>
      <c r="O387" s="30">
        <f t="shared" si="219"/>
        <v>0.30437631573782992</v>
      </c>
      <c r="P387" s="30">
        <f t="shared" si="220"/>
        <v>1.0145877191260997</v>
      </c>
      <c r="Q387" s="29">
        <f t="shared" si="221"/>
        <v>345.41001130999996</v>
      </c>
      <c r="R387" s="30">
        <f t="shared" si="222"/>
        <v>0.26839635294024611</v>
      </c>
      <c r="S387" s="30">
        <f t="shared" si="223"/>
        <v>0.89465450980082029</v>
      </c>
      <c r="T387" s="37">
        <f t="shared" si="224"/>
        <v>0.25999998999999985</v>
      </c>
      <c r="U387" s="30">
        <f t="shared" si="225"/>
        <v>2.7253667140672195E-2</v>
      </c>
      <c r="V387" s="38">
        <f t="shared" si="226"/>
        <v>6.7343202566559125E-4</v>
      </c>
      <c r="W387" s="9">
        <f t="shared" si="252"/>
        <v>75468656</v>
      </c>
      <c r="X387" s="12">
        <f t="shared" si="252"/>
        <v>37.439998620000004</v>
      </c>
      <c r="Y387" s="11">
        <f t="shared" si="252"/>
        <v>0.54999995199999985</v>
      </c>
      <c r="Z387" s="7">
        <f t="shared" si="254"/>
        <v>38800096</v>
      </c>
      <c r="AA387" s="7">
        <f t="shared" si="254"/>
        <v>8.7799987700000059</v>
      </c>
      <c r="AB387" s="7">
        <f t="shared" si="254"/>
        <v>0</v>
      </c>
    </row>
    <row r="388" spans="1:28" x14ac:dyDescent="0.25">
      <c r="A388" s="2">
        <v>384</v>
      </c>
      <c r="B388">
        <v>4</v>
      </c>
      <c r="C388">
        <v>3</v>
      </c>
      <c r="D388">
        <v>0</v>
      </c>
      <c r="E388">
        <v>5</v>
      </c>
      <c r="G388">
        <v>145046528</v>
      </c>
      <c r="H388">
        <v>77.559997559999999</v>
      </c>
      <c r="I388">
        <v>3.4400000569999998</v>
      </c>
      <c r="J388" s="9">
        <f t="shared" si="247"/>
        <v>13037472</v>
      </c>
      <c r="K388" s="52"/>
      <c r="L388" s="9">
        <f t="shared" si="256"/>
        <v>6.0100021300000037</v>
      </c>
      <c r="M388" s="9">
        <f t="shared" si="256"/>
        <v>0</v>
      </c>
      <c r="N388" s="29">
        <f t="shared" si="218"/>
        <v>1549248000</v>
      </c>
      <c r="O388" s="30">
        <f t="shared" si="219"/>
        <v>0.30479706536595746</v>
      </c>
      <c r="P388" s="30">
        <f t="shared" si="220"/>
        <v>1.0159902178865248</v>
      </c>
      <c r="Q388" s="29">
        <f t="shared" si="221"/>
        <v>333.63000484000003</v>
      </c>
      <c r="R388" s="30">
        <f t="shared" si="222"/>
        <v>0.27045891428349894</v>
      </c>
      <c r="S388" s="30">
        <f t="shared" si="223"/>
        <v>0.90152971427832984</v>
      </c>
      <c r="T388" s="37">
        <f t="shared" si="224"/>
        <v>0.25999998999999985</v>
      </c>
      <c r="U388" s="30">
        <f t="shared" si="225"/>
        <v>2.7253667140672195E-2</v>
      </c>
      <c r="V388" s="38">
        <f t="shared" si="226"/>
        <v>7.0256785449941564E-4</v>
      </c>
      <c r="W388" s="9">
        <f t="shared" si="252"/>
        <v>69536608</v>
      </c>
      <c r="X388" s="12">
        <f t="shared" si="252"/>
        <v>32.989997869999996</v>
      </c>
      <c r="Y388" s="11">
        <f t="shared" si="252"/>
        <v>0.54999995199999985</v>
      </c>
      <c r="Z388" s="7">
        <f t="shared" si="254"/>
        <v>36093008</v>
      </c>
      <c r="AA388" s="7">
        <f t="shared" si="254"/>
        <v>8.2200012200000003</v>
      </c>
      <c r="AB388" s="7">
        <f t="shared" si="254"/>
        <v>0</v>
      </c>
    </row>
    <row r="389" spans="1:28" x14ac:dyDescent="0.25">
      <c r="A389" s="2">
        <v>385</v>
      </c>
      <c r="B389">
        <v>4</v>
      </c>
      <c r="C389">
        <v>3</v>
      </c>
      <c r="D389">
        <v>0</v>
      </c>
      <c r="E389">
        <v>6</v>
      </c>
      <c r="G389">
        <v>117088040</v>
      </c>
      <c r="H389">
        <v>68.760002139999997</v>
      </c>
      <c r="I389">
        <v>3.4400000569999998</v>
      </c>
      <c r="J389" s="9">
        <f t="shared" si="247"/>
        <v>27958488</v>
      </c>
      <c r="K389" s="52">
        <f t="shared" ref="K389" si="257">AVERAGE(J384:J389)</f>
        <v>9799529.333333334</v>
      </c>
      <c r="L389" s="9">
        <f t="shared" si="256"/>
        <v>8.7999954200000019</v>
      </c>
      <c r="M389" s="9">
        <f t="shared" si="256"/>
        <v>0</v>
      </c>
      <c r="N389" s="29">
        <f t="shared" si="218"/>
        <v>1284412376</v>
      </c>
      <c r="O389" s="30">
        <f t="shared" si="219"/>
        <v>0.3054850742667683</v>
      </c>
      <c r="P389" s="30">
        <f t="shared" si="220"/>
        <v>1.0182835808892277</v>
      </c>
      <c r="Q389" s="29">
        <f t="shared" si="221"/>
        <v>298.60999296</v>
      </c>
      <c r="R389" s="30">
        <f t="shared" si="222"/>
        <v>0.27094391389505179</v>
      </c>
      <c r="S389" s="30">
        <f t="shared" si="223"/>
        <v>0.90314637965017264</v>
      </c>
      <c r="T389" s="37">
        <f t="shared" si="224"/>
        <v>0.25999998999999985</v>
      </c>
      <c r="U389" s="30">
        <f t="shared" si="225"/>
        <v>2.7253667140672195E-2</v>
      </c>
      <c r="V389" s="38">
        <f t="shared" si="226"/>
        <v>7.8637036674467813E-4</v>
      </c>
      <c r="W389" s="9">
        <f t="shared" si="252"/>
        <v>55953928</v>
      </c>
      <c r="X389" s="12">
        <f t="shared" si="252"/>
        <v>28.22000122</v>
      </c>
      <c r="Y389" s="11">
        <f t="shared" si="252"/>
        <v>0.54999995199999985</v>
      </c>
      <c r="Z389" s="7">
        <f t="shared" si="254"/>
        <v>29712936</v>
      </c>
      <c r="AA389" s="7">
        <f t="shared" si="254"/>
        <v>7.5000038199999963</v>
      </c>
      <c r="AB389" s="7">
        <f t="shared" si="254"/>
        <v>0</v>
      </c>
    </row>
    <row r="390" spans="1:28" x14ac:dyDescent="0.25">
      <c r="A390" s="2">
        <v>386</v>
      </c>
      <c r="B390">
        <v>4</v>
      </c>
      <c r="C390">
        <v>3</v>
      </c>
      <c r="D390">
        <v>1</v>
      </c>
      <c r="E390">
        <v>0</v>
      </c>
      <c r="G390">
        <v>906228544</v>
      </c>
      <c r="H390">
        <v>356.42999270000001</v>
      </c>
      <c r="I390">
        <v>3.5999999049999998</v>
      </c>
      <c r="K390" s="52"/>
      <c r="N390" s="29">
        <f t="shared" si="218"/>
        <v>730953120</v>
      </c>
      <c r="O390" s="30">
        <f t="shared" si="219"/>
        <v>1.3901038402280517</v>
      </c>
      <c r="P390" s="30">
        <f t="shared" si="220"/>
        <v>1.3901038402280517</v>
      </c>
      <c r="Q390" s="29">
        <f t="shared" si="221"/>
        <v>272.05998995000004</v>
      </c>
      <c r="R390" s="30">
        <f t="shared" si="222"/>
        <v>1.0748685594497824</v>
      </c>
      <c r="S390" s="30">
        <f t="shared" si="223"/>
        <v>1.0748685594497824</v>
      </c>
      <c r="T390" s="37">
        <f t="shared" si="224"/>
        <v>0.159999848</v>
      </c>
      <c r="U390" s="30">
        <f t="shared" si="225"/>
        <v>1.5503860983414707E-2</v>
      </c>
      <c r="V390" s="38">
        <f t="shared" si="226"/>
        <v>6.3213560422299101E-4</v>
      </c>
      <c r="W390" s="9">
        <f t="shared" si="252"/>
        <v>339600960</v>
      </c>
      <c r="X390" s="12">
        <f t="shared" si="252"/>
        <v>209.07998660000001</v>
      </c>
      <c r="Y390" s="11">
        <f t="shared" si="252"/>
        <v>0.60999989499999963</v>
      </c>
      <c r="Z390" s="7">
        <f t="shared" si="254"/>
        <v>203626304</v>
      </c>
      <c r="AA390" s="7">
        <f t="shared" si="254"/>
        <v>39.279998799999987</v>
      </c>
      <c r="AB390" s="7">
        <f t="shared" si="254"/>
        <v>1.9999980999999778E-2</v>
      </c>
    </row>
    <row r="391" spans="1:28" x14ac:dyDescent="0.25">
      <c r="A391" s="2">
        <v>387</v>
      </c>
      <c r="B391">
        <v>4</v>
      </c>
      <c r="C391">
        <v>3</v>
      </c>
      <c r="D391">
        <v>1</v>
      </c>
      <c r="E391">
        <v>1</v>
      </c>
      <c r="G391">
        <v>903475584</v>
      </c>
      <c r="H391">
        <v>363.23001099999999</v>
      </c>
      <c r="I391">
        <v>3.5999999049999998</v>
      </c>
      <c r="J391" s="9">
        <f t="shared" ref="J391" si="258">ABS(G391-G390)</f>
        <v>2752960</v>
      </c>
      <c r="K391" s="52"/>
      <c r="L391" s="9">
        <f t="shared" ref="L391:M396" si="259">ABS(H391-H390)</f>
        <v>6.8000182999999765</v>
      </c>
      <c r="M391" s="9">
        <f t="shared" si="259"/>
        <v>0</v>
      </c>
      <c r="N391" s="29">
        <f t="shared" si="218"/>
        <v>727895264</v>
      </c>
      <c r="O391" s="30">
        <f t="shared" si="219"/>
        <v>1.3818846819886572</v>
      </c>
      <c r="P391" s="30">
        <f t="shared" si="220"/>
        <v>1.3818846819886572</v>
      </c>
      <c r="Q391" s="29">
        <f t="shared" si="221"/>
        <v>277.27001192</v>
      </c>
      <c r="R391" s="30">
        <f t="shared" si="222"/>
        <v>1.0751900685881983</v>
      </c>
      <c r="S391" s="30">
        <f t="shared" si="223"/>
        <v>1.0751900685881983</v>
      </c>
      <c r="T391" s="37">
        <f t="shared" si="224"/>
        <v>0.159999848</v>
      </c>
      <c r="U391" s="30">
        <f t="shared" si="225"/>
        <v>1.5503860983414707E-2</v>
      </c>
      <c r="V391" s="38">
        <f t="shared" si="226"/>
        <v>6.2044303440523792E-4</v>
      </c>
      <c r="W391" s="9">
        <f t="shared" si="252"/>
        <v>332494656</v>
      </c>
      <c r="X391" s="12">
        <f t="shared" si="252"/>
        <v>209.47001649999999</v>
      </c>
      <c r="Y391" s="11">
        <f t="shared" si="252"/>
        <v>0.60999989499999963</v>
      </c>
      <c r="Z391" s="7">
        <f t="shared" si="254"/>
        <v>202313088</v>
      </c>
      <c r="AA391" s="7">
        <f t="shared" si="254"/>
        <v>39.820007299999986</v>
      </c>
      <c r="AB391" s="7">
        <f t="shared" si="254"/>
        <v>1.9999980999999778E-2</v>
      </c>
    </row>
    <row r="392" spans="1:28" x14ac:dyDescent="0.25">
      <c r="A392" s="2">
        <v>388</v>
      </c>
      <c r="B392">
        <v>4</v>
      </c>
      <c r="C392">
        <v>3</v>
      </c>
      <c r="D392">
        <v>1</v>
      </c>
      <c r="E392">
        <v>2</v>
      </c>
      <c r="G392">
        <v>904658304</v>
      </c>
      <c r="H392">
        <v>357.57000729999999</v>
      </c>
      <c r="I392">
        <v>3.5999999049999998</v>
      </c>
      <c r="J392" s="9">
        <f t="shared" si="250"/>
        <v>1182720</v>
      </c>
      <c r="K392" s="52"/>
      <c r="L392" s="9">
        <f t="shared" si="259"/>
        <v>5.6600037000000043</v>
      </c>
      <c r="M392" s="9">
        <f t="shared" si="259"/>
        <v>0</v>
      </c>
      <c r="N392" s="29">
        <f t="shared" si="218"/>
        <v>729500752</v>
      </c>
      <c r="O392" s="30">
        <f t="shared" si="219"/>
        <v>1.3882753815452578</v>
      </c>
      <c r="P392" s="30">
        <f t="shared" si="220"/>
        <v>1.3882753815452578</v>
      </c>
      <c r="Q392" s="29">
        <f t="shared" si="221"/>
        <v>272.83000943999997</v>
      </c>
      <c r="R392" s="30">
        <f t="shared" si="222"/>
        <v>1.0732043754620881</v>
      </c>
      <c r="S392" s="30">
        <f t="shared" si="223"/>
        <v>1.0732043754620881</v>
      </c>
      <c r="T392" s="37">
        <f t="shared" si="224"/>
        <v>0.159999848</v>
      </c>
      <c r="U392" s="30">
        <f t="shared" si="225"/>
        <v>1.5503860983414707E-2</v>
      </c>
      <c r="V392" s="38">
        <f t="shared" si="226"/>
        <v>6.2937554889698304E-4</v>
      </c>
      <c r="W392" s="9">
        <f t="shared" si="252"/>
        <v>336556416</v>
      </c>
      <c r="X392" s="12">
        <f t="shared" si="252"/>
        <v>206.70001219999997</v>
      </c>
      <c r="Y392" s="11">
        <f t="shared" si="252"/>
        <v>0.60999989499999963</v>
      </c>
      <c r="Z392" s="7">
        <f t="shared" si="254"/>
        <v>203161472</v>
      </c>
      <c r="AA392" s="7">
        <f t="shared" si="254"/>
        <v>39.330017099999964</v>
      </c>
      <c r="AB392" s="7">
        <f t="shared" si="254"/>
        <v>1.9999980999999778E-2</v>
      </c>
    </row>
    <row r="393" spans="1:28" x14ac:dyDescent="0.25">
      <c r="A393" s="2">
        <v>389</v>
      </c>
      <c r="B393">
        <v>4</v>
      </c>
      <c r="C393">
        <v>3</v>
      </c>
      <c r="D393">
        <v>1</v>
      </c>
      <c r="E393">
        <v>3</v>
      </c>
      <c r="G393">
        <v>881290304</v>
      </c>
      <c r="H393">
        <v>362.76998900000001</v>
      </c>
      <c r="I393">
        <v>3.5999999049999998</v>
      </c>
      <c r="J393" s="9">
        <f t="shared" si="250"/>
        <v>23368000</v>
      </c>
      <c r="K393" s="52"/>
      <c r="L393" s="9">
        <f t="shared" si="259"/>
        <v>5.1999817000000235</v>
      </c>
      <c r="M393" s="9">
        <f t="shared" si="259"/>
        <v>0</v>
      </c>
      <c r="N393" s="29">
        <f t="shared" si="218"/>
        <v>709460672</v>
      </c>
      <c r="O393" s="30">
        <f t="shared" si="219"/>
        <v>1.3762870112337007</v>
      </c>
      <c r="P393" s="30">
        <f t="shared" si="220"/>
        <v>1.3762870112337007</v>
      </c>
      <c r="Q393" s="29">
        <f t="shared" si="221"/>
        <v>276.49999236000002</v>
      </c>
      <c r="R393" s="30">
        <f t="shared" si="222"/>
        <v>1.0683513122714781</v>
      </c>
      <c r="S393" s="30">
        <f t="shared" si="223"/>
        <v>1.0683513122714781</v>
      </c>
      <c r="T393" s="37">
        <f t="shared" si="224"/>
        <v>0.159999848</v>
      </c>
      <c r="U393" s="30">
        <f t="shared" si="225"/>
        <v>1.5503860983414707E-2</v>
      </c>
      <c r="V393" s="38">
        <f t="shared" si="226"/>
        <v>6.1821357069507664E-4</v>
      </c>
      <c r="W393" s="9">
        <f t="shared" si="252"/>
        <v>316614848</v>
      </c>
      <c r="X393" s="12">
        <f t="shared" si="252"/>
        <v>202.1499939</v>
      </c>
      <c r="Y393" s="11">
        <f t="shared" si="252"/>
        <v>0.60999989499999963</v>
      </c>
      <c r="Z393" s="7">
        <f t="shared" si="254"/>
        <v>196627840</v>
      </c>
      <c r="AA393" s="7">
        <f t="shared" si="254"/>
        <v>39.529998799999987</v>
      </c>
      <c r="AB393" s="7">
        <f t="shared" si="254"/>
        <v>1.9999980999999778E-2</v>
      </c>
    </row>
    <row r="394" spans="1:28" x14ac:dyDescent="0.25">
      <c r="A394" s="2">
        <v>390</v>
      </c>
      <c r="B394">
        <v>4</v>
      </c>
      <c r="C394">
        <v>3</v>
      </c>
      <c r="D394">
        <v>1</v>
      </c>
      <c r="E394">
        <v>4</v>
      </c>
      <c r="G394">
        <v>810092096</v>
      </c>
      <c r="H394">
        <v>349.98999020000002</v>
      </c>
      <c r="I394">
        <v>3.5999999049999998</v>
      </c>
      <c r="J394" s="9">
        <f t="shared" si="250"/>
        <v>71198208</v>
      </c>
      <c r="K394" s="52"/>
      <c r="L394" s="9">
        <f t="shared" si="259"/>
        <v>12.779998799999987</v>
      </c>
      <c r="M394" s="9">
        <f t="shared" si="259"/>
        <v>0</v>
      </c>
      <c r="N394" s="29">
        <f t="shared" si="218"/>
        <v>652008096</v>
      </c>
      <c r="O394" s="30">
        <f t="shared" si="219"/>
        <v>1.3748135927734622</v>
      </c>
      <c r="P394" s="30">
        <f t="shared" si="220"/>
        <v>1.3748135927734622</v>
      </c>
      <c r="Q394" s="29">
        <f t="shared" si="221"/>
        <v>266.41999051000005</v>
      </c>
      <c r="R394" s="30">
        <f t="shared" si="222"/>
        <v>1.0626620058963572</v>
      </c>
      <c r="S394" s="30">
        <f t="shared" si="223"/>
        <v>1.0626620058963572</v>
      </c>
      <c r="T394" s="37">
        <f t="shared" si="224"/>
        <v>0.159999848</v>
      </c>
      <c r="U394" s="30">
        <f t="shared" si="225"/>
        <v>1.5503860983414707E-2</v>
      </c>
      <c r="V394" s="38">
        <f t="shared" si="226"/>
        <v>6.3818694345464417E-4</v>
      </c>
      <c r="W394" s="9">
        <f t="shared" ref="W394:Y409" si="260">ABS(G394-G373)</f>
        <v>284786432</v>
      </c>
      <c r="X394" s="12">
        <f t="shared" si="260"/>
        <v>194.47999570000002</v>
      </c>
      <c r="Y394" s="11">
        <f t="shared" si="260"/>
        <v>0.60999989499999963</v>
      </c>
      <c r="Z394" s="7">
        <f t="shared" si="254"/>
        <v>179961984</v>
      </c>
      <c r="AA394" s="7">
        <f t="shared" si="254"/>
        <v>38.069976800000006</v>
      </c>
      <c r="AB394" s="7">
        <f t="shared" si="254"/>
        <v>1.9999980999999778E-2</v>
      </c>
    </row>
    <row r="395" spans="1:28" x14ac:dyDescent="0.25">
      <c r="A395" s="2">
        <v>391</v>
      </c>
      <c r="B395">
        <v>4</v>
      </c>
      <c r="C395">
        <v>3</v>
      </c>
      <c r="D395">
        <v>1</v>
      </c>
      <c r="E395">
        <v>5</v>
      </c>
      <c r="G395">
        <v>752169344</v>
      </c>
      <c r="H395">
        <v>317.26998900000001</v>
      </c>
      <c r="I395">
        <v>3.5999999049999998</v>
      </c>
      <c r="J395" s="9">
        <f t="shared" si="250"/>
        <v>57922752</v>
      </c>
      <c r="K395" s="52"/>
      <c r="L395" s="9">
        <f t="shared" si="259"/>
        <v>32.720001200000013</v>
      </c>
      <c r="M395" s="9">
        <f t="shared" si="259"/>
        <v>0</v>
      </c>
      <c r="N395" s="29">
        <f t="shared" si="218"/>
        <v>607122816</v>
      </c>
      <c r="O395" s="30">
        <f t="shared" si="219"/>
        <v>1.3952369270086906</v>
      </c>
      <c r="P395" s="30">
        <f t="shared" si="220"/>
        <v>1.3952369270086906</v>
      </c>
      <c r="Q395" s="29">
        <f t="shared" si="221"/>
        <v>239.70999144000001</v>
      </c>
      <c r="R395" s="30">
        <f t="shared" si="222"/>
        <v>1.030213163921095</v>
      </c>
      <c r="S395" s="30">
        <f t="shared" si="223"/>
        <v>1.030213163921095</v>
      </c>
      <c r="T395" s="37">
        <f t="shared" si="224"/>
        <v>0.159999848</v>
      </c>
      <c r="U395" s="30">
        <f t="shared" si="225"/>
        <v>1.5503860983414707E-2</v>
      </c>
      <c r="V395" s="38">
        <f t="shared" si="226"/>
        <v>6.8763904518444991E-4</v>
      </c>
      <c r="W395" s="9">
        <f t="shared" si="260"/>
        <v>264865344</v>
      </c>
      <c r="X395" s="12">
        <f t="shared" si="260"/>
        <v>166.69998170000002</v>
      </c>
      <c r="Y395" s="11">
        <f t="shared" si="260"/>
        <v>0.60999989499999963</v>
      </c>
      <c r="Z395" s="7">
        <f t="shared" si="254"/>
        <v>168214656</v>
      </c>
      <c r="AA395" s="7">
        <f t="shared" si="254"/>
        <v>34.449981700000023</v>
      </c>
      <c r="AB395" s="7">
        <f t="shared" si="254"/>
        <v>1.9999980999999778E-2</v>
      </c>
    </row>
    <row r="396" spans="1:28" x14ac:dyDescent="0.25">
      <c r="A396" s="2">
        <v>392</v>
      </c>
      <c r="B396">
        <v>4</v>
      </c>
      <c r="C396">
        <v>3</v>
      </c>
      <c r="D396">
        <v>1</v>
      </c>
      <c r="E396">
        <v>6</v>
      </c>
      <c r="G396">
        <v>616280896</v>
      </c>
      <c r="H396">
        <v>274.26998900000001</v>
      </c>
      <c r="I396">
        <v>3.5999999049999998</v>
      </c>
      <c r="J396" s="9">
        <f t="shared" si="250"/>
        <v>135888448</v>
      </c>
      <c r="K396" s="52">
        <f t="shared" ref="K396" si="261">AVERAGE(J391:J396)</f>
        <v>48718848</v>
      </c>
      <c r="L396" s="9">
        <f t="shared" si="259"/>
        <v>43</v>
      </c>
      <c r="M396" s="9">
        <f t="shared" si="259"/>
        <v>0</v>
      </c>
      <c r="N396" s="29">
        <f t="shared" si="218"/>
        <v>499192856</v>
      </c>
      <c r="O396" s="30">
        <f t="shared" si="219"/>
        <v>1.4211324971078743</v>
      </c>
      <c r="P396" s="30">
        <f t="shared" si="220"/>
        <v>1.4211324971078743</v>
      </c>
      <c r="Q396" s="29">
        <f t="shared" si="221"/>
        <v>205.50998686000003</v>
      </c>
      <c r="R396" s="30">
        <f t="shared" si="222"/>
        <v>0.99626711491160147</v>
      </c>
      <c r="S396" s="30">
        <f t="shared" si="223"/>
        <v>0.99626711491160147</v>
      </c>
      <c r="T396" s="37">
        <f t="shared" si="224"/>
        <v>0.159999848</v>
      </c>
      <c r="U396" s="30">
        <f t="shared" si="225"/>
        <v>1.5503860983414707E-2</v>
      </c>
      <c r="V396" s="38">
        <f t="shared" si="226"/>
        <v>7.7564399369965849E-4</v>
      </c>
      <c r="W396" s="9">
        <f t="shared" si="260"/>
        <v>211646624</v>
      </c>
      <c r="X396" s="12">
        <f t="shared" si="260"/>
        <v>139.10998530000001</v>
      </c>
      <c r="Y396" s="11">
        <f t="shared" si="260"/>
        <v>0.60999989499999963</v>
      </c>
      <c r="Z396" s="7">
        <f t="shared" si="254"/>
        <v>137889952</v>
      </c>
      <c r="AA396" s="7">
        <f t="shared" si="254"/>
        <v>29.589996299999996</v>
      </c>
      <c r="AB396" s="7">
        <f t="shared" si="254"/>
        <v>1.9999980999999778E-2</v>
      </c>
    </row>
    <row r="397" spans="1:28" x14ac:dyDescent="0.25">
      <c r="A397" s="2">
        <v>393</v>
      </c>
      <c r="B397">
        <v>4</v>
      </c>
      <c r="C397">
        <v>3</v>
      </c>
      <c r="D397">
        <v>2</v>
      </c>
      <c r="E397">
        <v>0</v>
      </c>
      <c r="G397">
        <v>2606264064</v>
      </c>
      <c r="H397">
        <v>-9999.9902340000008</v>
      </c>
      <c r="I397">
        <v>3.920000076</v>
      </c>
      <c r="K397" s="52"/>
      <c r="N397" s="29">
        <f t="shared" ref="N397:N424" si="262">ABS(G397-G390)</f>
        <v>1700035520</v>
      </c>
      <c r="O397" s="30">
        <f t="shared" ref="O397:O424" si="263">(N397/ABS(G390))/3</f>
        <v>0.62531522585396149</v>
      </c>
      <c r="P397" s="30">
        <f t="shared" ref="P397:P424" si="264">(N397/ABS(G390))/(IF(AND(D397=1,D390=0),(2400-600)/600,IF(AND(D397=2,D390=1),(6000-2400)/2400,IF(AND(D397=0,D390=2),ABS(600-6000)/6000,"Not Valid"))))</f>
        <v>1.250630451707923</v>
      </c>
      <c r="Q397" s="29">
        <f t="shared" ref="Q397:Q424" si="265">ABS(H397-H390)</f>
        <v>10356.4202267</v>
      </c>
      <c r="R397" s="30">
        <f t="shared" ref="R397:R424" si="266">(Q397/ABS(H390))/3</f>
        <v>9.6853243168912098</v>
      </c>
      <c r="S397" s="30">
        <f t="shared" ref="S397:S424" si="267">(Q397/ABS(H390))/(IF(AND(D397=1,D390=0),(2400-600)/600,IF(AND(D397=2,D390=1),(6000-2400)/2400,IF(AND(D397=0,D390=2),ABS(600-6000)/6000,"Not Valid"))))</f>
        <v>19.37064863378242</v>
      </c>
      <c r="T397" s="37">
        <f t="shared" ref="T397:T424" si="268">ABS(I397-I390)</f>
        <v>0.32000017100000022</v>
      </c>
      <c r="U397" s="30">
        <f t="shared" ref="U397:U424" si="269">(T397/ABS(I390))/3</f>
        <v>2.9629646244856426E-2</v>
      </c>
      <c r="V397" s="38">
        <f t="shared" ref="V397:V424" si="270">(T397/ABS(H390))/(IF(AND(D397=1,D390=0),(2400-600)/600,IF(AND(D397=2,D390=1),(6000-2400)/2400,IF(AND(D397=0,D390=2),ABS(600-6000)/6000,"Not Valid"))))</f>
        <v>5.9852832730856065E-4</v>
      </c>
      <c r="W397" s="9">
        <f t="shared" si="260"/>
        <v>590508544</v>
      </c>
      <c r="X397" s="12">
        <f t="shared" si="260"/>
        <v>10405.160247400001</v>
      </c>
      <c r="Y397" s="11">
        <f t="shared" si="260"/>
        <v>0.74000000900000007</v>
      </c>
      <c r="Z397" s="7">
        <f t="shared" si="254"/>
        <v>539564800</v>
      </c>
      <c r="AA397" s="7">
        <f t="shared" si="254"/>
        <v>0</v>
      </c>
      <c r="AB397" s="7">
        <f t="shared" si="254"/>
        <v>3.9999962E-2</v>
      </c>
    </row>
    <row r="398" spans="1:28" x14ac:dyDescent="0.25">
      <c r="A398" s="2">
        <v>394</v>
      </c>
      <c r="B398">
        <v>4</v>
      </c>
      <c r="C398">
        <v>3</v>
      </c>
      <c r="D398">
        <v>2</v>
      </c>
      <c r="E398">
        <v>1</v>
      </c>
      <c r="G398">
        <v>2590703104</v>
      </c>
      <c r="H398">
        <v>-9999.9902340000008</v>
      </c>
      <c r="I398">
        <v>3.920000076</v>
      </c>
      <c r="J398" s="9">
        <f t="shared" ref="J398" si="271">ABS(G398-G397)</f>
        <v>15560960</v>
      </c>
      <c r="K398" s="52"/>
      <c r="L398" s="9">
        <f t="shared" ref="L398:M403" si="272">ABS(H398-H397)</f>
        <v>0</v>
      </c>
      <c r="M398" s="9">
        <f t="shared" si="272"/>
        <v>0</v>
      </c>
      <c r="N398" s="29">
        <f t="shared" si="262"/>
        <v>1687227520</v>
      </c>
      <c r="O398" s="30">
        <f t="shared" si="263"/>
        <v>0.62249515459327931</v>
      </c>
      <c r="P398" s="30">
        <f t="shared" si="264"/>
        <v>1.2449903091865586</v>
      </c>
      <c r="Q398" s="29">
        <f t="shared" si="265"/>
        <v>10363.220245</v>
      </c>
      <c r="R398" s="30">
        <f t="shared" si="266"/>
        <v>9.510245970103318</v>
      </c>
      <c r="S398" s="30">
        <f t="shared" si="267"/>
        <v>19.020491940206636</v>
      </c>
      <c r="T398" s="37">
        <f t="shared" si="268"/>
        <v>0.32000017100000022</v>
      </c>
      <c r="U398" s="30">
        <f t="shared" si="269"/>
        <v>2.9629646244856426E-2</v>
      </c>
      <c r="V398" s="38">
        <f t="shared" si="270"/>
        <v>5.873232961836226E-4</v>
      </c>
      <c r="W398" s="9">
        <f t="shared" si="260"/>
        <v>575769088</v>
      </c>
      <c r="X398" s="12">
        <f t="shared" si="260"/>
        <v>10423.640227900001</v>
      </c>
      <c r="Y398" s="11">
        <f t="shared" si="260"/>
        <v>0.74000000900000007</v>
      </c>
      <c r="Z398" s="7">
        <f t="shared" ref="Z398:AB413" si="273">ABS(G398-G293)</f>
        <v>535567360</v>
      </c>
      <c r="AA398" s="7">
        <f t="shared" si="273"/>
        <v>0</v>
      </c>
      <c r="AB398" s="7">
        <f t="shared" si="273"/>
        <v>3.9999962E-2</v>
      </c>
    </row>
    <row r="399" spans="1:28" x14ac:dyDescent="0.25">
      <c r="A399" s="2">
        <v>395</v>
      </c>
      <c r="B399">
        <v>4</v>
      </c>
      <c r="C399">
        <v>3</v>
      </c>
      <c r="D399">
        <v>2</v>
      </c>
      <c r="E399">
        <v>2</v>
      </c>
      <c r="G399">
        <v>2600177664</v>
      </c>
      <c r="H399">
        <v>-9999.9902340000008</v>
      </c>
      <c r="I399">
        <v>3.920000076</v>
      </c>
      <c r="J399" s="9">
        <f t="shared" si="247"/>
        <v>9474560</v>
      </c>
      <c r="K399" s="52"/>
      <c r="L399" s="9">
        <f t="shared" si="272"/>
        <v>0</v>
      </c>
      <c r="M399" s="9">
        <f t="shared" si="272"/>
        <v>0</v>
      </c>
      <c r="N399" s="29">
        <f t="shared" si="262"/>
        <v>1695519360</v>
      </c>
      <c r="O399" s="30">
        <f t="shared" si="263"/>
        <v>0.6247365635191251</v>
      </c>
      <c r="P399" s="30">
        <f t="shared" si="264"/>
        <v>1.2494731270382502</v>
      </c>
      <c r="Q399" s="29">
        <f t="shared" si="265"/>
        <v>10357.560241300002</v>
      </c>
      <c r="R399" s="30">
        <f t="shared" si="266"/>
        <v>9.655508040238626</v>
      </c>
      <c r="S399" s="30">
        <f t="shared" si="267"/>
        <v>19.311016080477252</v>
      </c>
      <c r="T399" s="37">
        <f t="shared" si="268"/>
        <v>0.32000017100000022</v>
      </c>
      <c r="U399" s="30">
        <f t="shared" si="269"/>
        <v>2.9629646244856426E-2</v>
      </c>
      <c r="V399" s="38">
        <f t="shared" si="270"/>
        <v>5.9662008271948671E-4</v>
      </c>
      <c r="W399" s="9">
        <f t="shared" si="260"/>
        <v>585202560</v>
      </c>
      <c r="X399" s="12">
        <f t="shared" si="260"/>
        <v>10414.450225500001</v>
      </c>
      <c r="Y399" s="11">
        <f t="shared" si="260"/>
        <v>0.74000000900000007</v>
      </c>
      <c r="Z399" s="7">
        <f t="shared" si="273"/>
        <v>538177280</v>
      </c>
      <c r="AA399" s="7">
        <f t="shared" si="273"/>
        <v>0</v>
      </c>
      <c r="AB399" s="7">
        <f t="shared" si="273"/>
        <v>3.9999962E-2</v>
      </c>
    </row>
    <row r="400" spans="1:28" x14ac:dyDescent="0.25">
      <c r="A400" s="2">
        <v>396</v>
      </c>
      <c r="B400">
        <v>4</v>
      </c>
      <c r="C400">
        <v>3</v>
      </c>
      <c r="D400">
        <v>2</v>
      </c>
      <c r="E400">
        <v>3</v>
      </c>
      <c r="G400">
        <v>2520626688</v>
      </c>
      <c r="H400">
        <v>-9999.9902340000008</v>
      </c>
      <c r="I400">
        <v>3.920000076</v>
      </c>
      <c r="J400" s="9">
        <f t="shared" si="247"/>
        <v>79550976</v>
      </c>
      <c r="K400" s="52"/>
      <c r="L400" s="9">
        <f t="shared" si="272"/>
        <v>0</v>
      </c>
      <c r="M400" s="9">
        <f t="shared" si="272"/>
        <v>0</v>
      </c>
      <c r="N400" s="29">
        <f t="shared" si="262"/>
        <v>1639336384</v>
      </c>
      <c r="O400" s="30">
        <f t="shared" si="263"/>
        <v>0.62005159804110732</v>
      </c>
      <c r="P400" s="30">
        <f t="shared" si="264"/>
        <v>1.2401031960822146</v>
      </c>
      <c r="Q400" s="29">
        <f t="shared" si="265"/>
        <v>10362.760223000001</v>
      </c>
      <c r="R400" s="30">
        <f t="shared" si="266"/>
        <v>9.5218830454761427</v>
      </c>
      <c r="S400" s="30">
        <f t="shared" si="267"/>
        <v>19.043766090952285</v>
      </c>
      <c r="T400" s="37">
        <f t="shared" si="268"/>
        <v>0.32000017100000022</v>
      </c>
      <c r="U400" s="30">
        <f t="shared" si="269"/>
        <v>2.9629646244856426E-2</v>
      </c>
      <c r="V400" s="38">
        <f t="shared" si="270"/>
        <v>5.880680701328176E-4</v>
      </c>
      <c r="W400" s="9">
        <f t="shared" si="260"/>
        <v>547208704</v>
      </c>
      <c r="X400" s="12">
        <f t="shared" si="260"/>
        <v>10442.250243800001</v>
      </c>
      <c r="Y400" s="11">
        <f t="shared" si="260"/>
        <v>0.74000000900000007</v>
      </c>
      <c r="Z400" s="7">
        <f t="shared" si="273"/>
        <v>520079360</v>
      </c>
      <c r="AA400" s="7">
        <f t="shared" si="273"/>
        <v>0</v>
      </c>
      <c r="AB400" s="7">
        <f t="shared" si="273"/>
        <v>3.9999962E-2</v>
      </c>
    </row>
    <row r="401" spans="1:28" x14ac:dyDescent="0.25">
      <c r="A401" s="2">
        <v>397</v>
      </c>
      <c r="B401">
        <v>4</v>
      </c>
      <c r="C401">
        <v>3</v>
      </c>
      <c r="D401">
        <v>2</v>
      </c>
      <c r="E401">
        <v>4</v>
      </c>
      <c r="G401">
        <v>2305556736</v>
      </c>
      <c r="H401">
        <v>-9999.9902340000008</v>
      </c>
      <c r="I401">
        <v>3.920000076</v>
      </c>
      <c r="J401" s="9">
        <f t="shared" si="247"/>
        <v>215069952</v>
      </c>
      <c r="K401" s="52"/>
      <c r="L401" s="9">
        <f t="shared" si="272"/>
        <v>0</v>
      </c>
      <c r="M401" s="9">
        <f t="shared" si="272"/>
        <v>0</v>
      </c>
      <c r="N401" s="29">
        <f t="shared" si="262"/>
        <v>1495464640</v>
      </c>
      <c r="O401" s="30">
        <f t="shared" si="263"/>
        <v>0.6153475830645968</v>
      </c>
      <c r="P401" s="30">
        <f t="shared" si="264"/>
        <v>1.2306951661291936</v>
      </c>
      <c r="Q401" s="29">
        <f t="shared" si="265"/>
        <v>10349.980224200001</v>
      </c>
      <c r="R401" s="30">
        <f t="shared" si="266"/>
        <v>9.8574059392246784</v>
      </c>
      <c r="S401" s="30">
        <f t="shared" si="267"/>
        <v>19.714811878449357</v>
      </c>
      <c r="T401" s="37">
        <f t="shared" si="268"/>
        <v>0.32000017100000022</v>
      </c>
      <c r="U401" s="30">
        <f t="shared" si="269"/>
        <v>2.9629646244856426E-2</v>
      </c>
      <c r="V401" s="38">
        <f t="shared" si="270"/>
        <v>6.0954156777862469E-4</v>
      </c>
      <c r="W401" s="9">
        <f t="shared" si="260"/>
        <v>485802112</v>
      </c>
      <c r="X401" s="12">
        <f t="shared" si="260"/>
        <v>10428.970245</v>
      </c>
      <c r="Y401" s="11">
        <f t="shared" si="260"/>
        <v>0.74000000900000007</v>
      </c>
      <c r="Z401" s="7">
        <f t="shared" si="273"/>
        <v>474276224</v>
      </c>
      <c r="AA401" s="7">
        <f t="shared" si="273"/>
        <v>0</v>
      </c>
      <c r="AB401" s="7">
        <f t="shared" si="273"/>
        <v>3.9999962E-2</v>
      </c>
    </row>
    <row r="402" spans="1:28" x14ac:dyDescent="0.25">
      <c r="A402" s="2">
        <v>398</v>
      </c>
      <c r="B402">
        <v>4</v>
      </c>
      <c r="C402">
        <v>3</v>
      </c>
      <c r="D402">
        <v>2</v>
      </c>
      <c r="E402">
        <v>5</v>
      </c>
      <c r="G402">
        <v>2152897024</v>
      </c>
      <c r="H402">
        <v>-9999.9902340000008</v>
      </c>
      <c r="I402">
        <v>3.920000076</v>
      </c>
      <c r="J402" s="9">
        <f t="shared" si="247"/>
        <v>152659712</v>
      </c>
      <c r="K402" s="52"/>
      <c r="L402" s="9">
        <f t="shared" si="272"/>
        <v>0</v>
      </c>
      <c r="M402" s="9">
        <f t="shared" si="272"/>
        <v>0</v>
      </c>
      <c r="N402" s="29">
        <f t="shared" si="262"/>
        <v>1400727680</v>
      </c>
      <c r="O402" s="30">
        <f t="shared" si="263"/>
        <v>0.6207501414291442</v>
      </c>
      <c r="P402" s="30">
        <f t="shared" si="264"/>
        <v>1.2415002828582884</v>
      </c>
      <c r="Q402" s="29">
        <f t="shared" si="265"/>
        <v>10317.260223000001</v>
      </c>
      <c r="R402" s="30">
        <f t="shared" si="266"/>
        <v>10.839621963109787</v>
      </c>
      <c r="S402" s="30">
        <f t="shared" si="267"/>
        <v>21.679243926219574</v>
      </c>
      <c r="T402" s="37">
        <f t="shared" si="268"/>
        <v>0.32000017100000022</v>
      </c>
      <c r="U402" s="30">
        <f t="shared" si="269"/>
        <v>2.9629646244856426E-2</v>
      </c>
      <c r="V402" s="38">
        <f t="shared" si="270"/>
        <v>6.724034882900112E-4</v>
      </c>
      <c r="W402" s="9">
        <f t="shared" si="260"/>
        <v>458602496</v>
      </c>
      <c r="X402" s="12">
        <f t="shared" si="260"/>
        <v>10411.180236400001</v>
      </c>
      <c r="Y402" s="11">
        <f t="shared" si="260"/>
        <v>0.74000000900000007</v>
      </c>
      <c r="Z402" s="7">
        <f t="shared" si="273"/>
        <v>444485504</v>
      </c>
      <c r="AA402" s="7">
        <f t="shared" si="273"/>
        <v>0</v>
      </c>
      <c r="AB402" s="7">
        <f t="shared" si="273"/>
        <v>3.9999962E-2</v>
      </c>
    </row>
    <row r="403" spans="1:28" x14ac:dyDescent="0.25">
      <c r="A403" s="2">
        <v>399</v>
      </c>
      <c r="B403">
        <v>4</v>
      </c>
      <c r="C403">
        <v>3</v>
      </c>
      <c r="D403">
        <v>2</v>
      </c>
      <c r="E403">
        <v>6</v>
      </c>
      <c r="G403">
        <v>1763094144</v>
      </c>
      <c r="H403">
        <v>898.4099731</v>
      </c>
      <c r="I403">
        <v>3.920000076</v>
      </c>
      <c r="J403" s="9">
        <f t="shared" si="247"/>
        <v>389802880</v>
      </c>
      <c r="K403" s="52">
        <f t="shared" ref="K403" si="274">AVERAGE(J398:J403)</f>
        <v>143686506.66666666</v>
      </c>
      <c r="L403" s="9">
        <f t="shared" si="272"/>
        <v>10898.400207100001</v>
      </c>
      <c r="M403" s="9">
        <f t="shared" si="272"/>
        <v>0</v>
      </c>
      <c r="N403" s="29">
        <f t="shared" si="262"/>
        <v>1146813248</v>
      </c>
      <c r="O403" s="30">
        <f t="shared" si="263"/>
        <v>0.62028708848159175</v>
      </c>
      <c r="P403" s="30">
        <f t="shared" si="264"/>
        <v>1.2405741769631835</v>
      </c>
      <c r="Q403" s="29">
        <f t="shared" si="265"/>
        <v>624.13998409999999</v>
      </c>
      <c r="R403" s="30">
        <f t="shared" si="266"/>
        <v>0.75854694173873571</v>
      </c>
      <c r="S403" s="30">
        <f t="shared" si="267"/>
        <v>1.5170938834774714</v>
      </c>
      <c r="T403" s="37">
        <f t="shared" si="268"/>
        <v>0.32000017100000022</v>
      </c>
      <c r="U403" s="30">
        <f t="shared" si="269"/>
        <v>2.9629646244856426E-2</v>
      </c>
      <c r="V403" s="38">
        <f t="shared" si="270"/>
        <v>7.778227873605722E-4</v>
      </c>
      <c r="W403" s="9">
        <f t="shared" si="260"/>
        <v>361593728</v>
      </c>
      <c r="X403" s="12">
        <f t="shared" si="260"/>
        <v>531.03997800000002</v>
      </c>
      <c r="Y403" s="11">
        <f t="shared" si="260"/>
        <v>0.74000000900000007</v>
      </c>
      <c r="Z403" s="7">
        <f t="shared" si="273"/>
        <v>363962496</v>
      </c>
      <c r="AA403" s="7">
        <f t="shared" si="273"/>
        <v>104.04998769999997</v>
      </c>
      <c r="AB403" s="7">
        <f t="shared" si="273"/>
        <v>3.9999962E-2</v>
      </c>
    </row>
    <row r="404" spans="1:28" x14ac:dyDescent="0.25">
      <c r="A404" s="2">
        <v>400</v>
      </c>
      <c r="B404">
        <v>4</v>
      </c>
      <c r="C404">
        <v>4</v>
      </c>
      <c r="D404">
        <v>0</v>
      </c>
      <c r="E404">
        <v>0</v>
      </c>
      <c r="G404">
        <v>227965072</v>
      </c>
      <c r="H404">
        <v>134.0500031</v>
      </c>
      <c r="I404">
        <v>3.9700000289999999</v>
      </c>
      <c r="K404" s="52"/>
      <c r="N404" s="29">
        <f t="shared" si="262"/>
        <v>2378298992</v>
      </c>
      <c r="O404" s="30">
        <f t="shared" si="263"/>
        <v>0.3041772864143158</v>
      </c>
      <c r="P404" s="30">
        <f t="shared" si="264"/>
        <v>1.0139242880477193</v>
      </c>
      <c r="Q404" s="29">
        <f t="shared" si="265"/>
        <v>10134.0402371</v>
      </c>
      <c r="R404" s="30">
        <f t="shared" si="266"/>
        <v>0.33780167113377862</v>
      </c>
      <c r="S404" s="30">
        <f t="shared" si="267"/>
        <v>1.1260055704459289</v>
      </c>
      <c r="T404" s="37">
        <f t="shared" si="268"/>
        <v>4.999995299999993E-2</v>
      </c>
      <c r="U404" s="30">
        <f t="shared" si="269"/>
        <v>4.2516966012426114E-3</v>
      </c>
      <c r="V404" s="38">
        <f t="shared" si="270"/>
        <v>5.5555557588890784E-6</v>
      </c>
      <c r="W404" s="9">
        <f t="shared" si="260"/>
        <v>52689648</v>
      </c>
      <c r="X404" s="12">
        <f t="shared" si="260"/>
        <v>49.68000035</v>
      </c>
      <c r="Y404" s="11">
        <f t="shared" si="260"/>
        <v>0.52999997200000015</v>
      </c>
      <c r="Z404" s="7">
        <f t="shared" si="273"/>
        <v>50263376</v>
      </c>
      <c r="AA404" s="7">
        <f t="shared" si="273"/>
        <v>13.420005799999998</v>
      </c>
      <c r="AB404" s="7">
        <f t="shared" si="273"/>
        <v>9.9999909999999304E-3</v>
      </c>
    </row>
    <row r="405" spans="1:28" x14ac:dyDescent="0.25">
      <c r="A405" s="2">
        <v>401</v>
      </c>
      <c r="B405">
        <v>4</v>
      </c>
      <c r="C405">
        <v>4</v>
      </c>
      <c r="D405">
        <v>0</v>
      </c>
      <c r="E405">
        <v>1</v>
      </c>
      <c r="G405">
        <v>226900560</v>
      </c>
      <c r="H405">
        <v>134.7400055</v>
      </c>
      <c r="I405">
        <v>3.9700000289999999</v>
      </c>
      <c r="J405" s="9">
        <f t="shared" ref="J405" si="275">ABS(G405-G404)</f>
        <v>1064512</v>
      </c>
      <c r="K405" s="52"/>
      <c r="L405" s="9">
        <f t="shared" ref="L405:M410" si="276">ABS(H405-H404)</f>
        <v>0.69000239999999735</v>
      </c>
      <c r="M405" s="9">
        <f t="shared" si="276"/>
        <v>0</v>
      </c>
      <c r="N405" s="29">
        <f t="shared" si="262"/>
        <v>2363802544</v>
      </c>
      <c r="O405" s="30">
        <f t="shared" si="263"/>
        <v>0.30413912737309684</v>
      </c>
      <c r="P405" s="30">
        <f t="shared" si="264"/>
        <v>1.013797091243656</v>
      </c>
      <c r="Q405" s="29">
        <f t="shared" si="265"/>
        <v>10134.730239500001</v>
      </c>
      <c r="R405" s="30">
        <f t="shared" si="266"/>
        <v>0.33782467123624055</v>
      </c>
      <c r="S405" s="30">
        <f t="shared" si="267"/>
        <v>1.1260822374541353</v>
      </c>
      <c r="T405" s="37">
        <f t="shared" si="268"/>
        <v>4.999995299999993E-2</v>
      </c>
      <c r="U405" s="30">
        <f t="shared" si="269"/>
        <v>4.2516966012426114E-3</v>
      </c>
      <c r="V405" s="38">
        <f t="shared" si="270"/>
        <v>5.5555557588890784E-6</v>
      </c>
      <c r="W405" s="9">
        <f t="shared" si="260"/>
        <v>51320240</v>
      </c>
      <c r="X405" s="12">
        <f t="shared" si="260"/>
        <v>48.780006419999992</v>
      </c>
      <c r="Y405" s="11">
        <f t="shared" si="260"/>
        <v>0.52999997200000015</v>
      </c>
      <c r="Z405" s="7">
        <f t="shared" si="273"/>
        <v>49979680</v>
      </c>
      <c r="AA405" s="7">
        <f t="shared" si="273"/>
        <v>13.500007599999989</v>
      </c>
      <c r="AB405" s="7">
        <f t="shared" si="273"/>
        <v>9.9999909999999304E-3</v>
      </c>
    </row>
    <row r="406" spans="1:28" x14ac:dyDescent="0.25">
      <c r="A406" s="2">
        <v>402</v>
      </c>
      <c r="B406">
        <v>4</v>
      </c>
      <c r="C406">
        <v>4</v>
      </c>
      <c r="D406">
        <v>0</v>
      </c>
      <c r="E406">
        <v>2</v>
      </c>
      <c r="G406">
        <v>227459840</v>
      </c>
      <c r="H406">
        <v>134</v>
      </c>
      <c r="I406">
        <v>3.9700000289999999</v>
      </c>
      <c r="J406" s="9">
        <f t="shared" si="250"/>
        <v>559280</v>
      </c>
      <c r="K406" s="52"/>
      <c r="L406" s="9">
        <f t="shared" si="276"/>
        <v>0.74000549999999521</v>
      </c>
      <c r="M406" s="9">
        <f t="shared" si="276"/>
        <v>0</v>
      </c>
      <c r="N406" s="29">
        <f t="shared" si="262"/>
        <v>2372717824</v>
      </c>
      <c r="O406" s="30">
        <f t="shared" si="263"/>
        <v>0.30417380792227794</v>
      </c>
      <c r="P406" s="30">
        <f t="shared" si="264"/>
        <v>1.0139126930742597</v>
      </c>
      <c r="Q406" s="29">
        <f t="shared" si="265"/>
        <v>10133.990234000001</v>
      </c>
      <c r="R406" s="30">
        <f t="shared" si="266"/>
        <v>0.33780000436215096</v>
      </c>
      <c r="S406" s="30">
        <f t="shared" si="267"/>
        <v>1.1260000145405031</v>
      </c>
      <c r="T406" s="37">
        <f t="shared" si="268"/>
        <v>4.999995299999993E-2</v>
      </c>
      <c r="U406" s="30">
        <f t="shared" si="269"/>
        <v>4.2516966012426114E-3</v>
      </c>
      <c r="V406" s="38">
        <f t="shared" si="270"/>
        <v>5.5555557588890784E-6</v>
      </c>
      <c r="W406" s="9">
        <f t="shared" si="260"/>
        <v>52302288</v>
      </c>
      <c r="X406" s="12">
        <f t="shared" si="260"/>
        <v>49.260002139999997</v>
      </c>
      <c r="Y406" s="11">
        <f t="shared" si="260"/>
        <v>0.52999997200000015</v>
      </c>
      <c r="Z406" s="7">
        <f t="shared" si="273"/>
        <v>50150320</v>
      </c>
      <c r="AA406" s="7">
        <f t="shared" si="273"/>
        <v>13.419998199999995</v>
      </c>
      <c r="AB406" s="7">
        <f t="shared" si="273"/>
        <v>9.9999909999999304E-3</v>
      </c>
    </row>
    <row r="407" spans="1:28" x14ac:dyDescent="0.25">
      <c r="A407" s="2">
        <v>403</v>
      </c>
      <c r="B407">
        <v>4</v>
      </c>
      <c r="C407">
        <v>4</v>
      </c>
      <c r="D407">
        <v>0</v>
      </c>
      <c r="E407">
        <v>3</v>
      </c>
      <c r="G407">
        <v>220785600</v>
      </c>
      <c r="H407">
        <v>133.0099945</v>
      </c>
      <c r="I407">
        <v>3.9700000289999999</v>
      </c>
      <c r="J407" s="9">
        <f t="shared" si="250"/>
        <v>6674240</v>
      </c>
      <c r="K407" s="52"/>
      <c r="L407" s="9">
        <f t="shared" si="276"/>
        <v>0.99000549999999521</v>
      </c>
      <c r="M407" s="9">
        <f t="shared" si="276"/>
        <v>0</v>
      </c>
      <c r="N407" s="29">
        <f t="shared" si="262"/>
        <v>2299841088</v>
      </c>
      <c r="O407" s="30">
        <f t="shared" si="263"/>
        <v>0.30413614981132819</v>
      </c>
      <c r="P407" s="30">
        <f t="shared" si="264"/>
        <v>1.0137871660377606</v>
      </c>
      <c r="Q407" s="29">
        <f t="shared" si="265"/>
        <v>10133.000228500001</v>
      </c>
      <c r="R407" s="30">
        <f t="shared" si="266"/>
        <v>0.33776700414658961</v>
      </c>
      <c r="S407" s="30">
        <f t="shared" si="267"/>
        <v>1.1258900138219652</v>
      </c>
      <c r="T407" s="37">
        <f t="shared" si="268"/>
        <v>4.999995299999993E-2</v>
      </c>
      <c r="U407" s="30">
        <f t="shared" si="269"/>
        <v>4.2516966012426114E-3</v>
      </c>
      <c r="V407" s="38">
        <f t="shared" si="270"/>
        <v>5.5555557588890784E-6</v>
      </c>
      <c r="W407" s="9">
        <f t="shared" si="260"/>
        <v>48955968</v>
      </c>
      <c r="X407" s="12">
        <f t="shared" si="260"/>
        <v>46.739997860000003</v>
      </c>
      <c r="Y407" s="11">
        <f t="shared" si="260"/>
        <v>0.52999997200000015</v>
      </c>
      <c r="Z407" s="7">
        <f t="shared" si="273"/>
        <v>48637392</v>
      </c>
      <c r="AA407" s="7">
        <f t="shared" si="273"/>
        <v>13.33999630000001</v>
      </c>
      <c r="AB407" s="7">
        <f t="shared" si="273"/>
        <v>9.9999909999999304E-3</v>
      </c>
    </row>
    <row r="408" spans="1:28" x14ac:dyDescent="0.25">
      <c r="A408" s="2">
        <v>404</v>
      </c>
      <c r="B408">
        <v>4</v>
      </c>
      <c r="C408">
        <v>4</v>
      </c>
      <c r="D408">
        <v>0</v>
      </c>
      <c r="E408">
        <v>4</v>
      </c>
      <c r="G408">
        <v>201145072</v>
      </c>
      <c r="H408">
        <v>126.1600037</v>
      </c>
      <c r="I408">
        <v>3.9700000289999999</v>
      </c>
      <c r="J408" s="9">
        <f t="shared" si="250"/>
        <v>19640528</v>
      </c>
      <c r="K408" s="52"/>
      <c r="L408" s="9">
        <f t="shared" si="276"/>
        <v>6.8499908000000005</v>
      </c>
      <c r="M408" s="9">
        <f t="shared" si="276"/>
        <v>0</v>
      </c>
      <c r="N408" s="29">
        <f t="shared" si="262"/>
        <v>2104411664</v>
      </c>
      <c r="O408" s="30">
        <f t="shared" si="263"/>
        <v>0.30425213299399223</v>
      </c>
      <c r="P408" s="30">
        <f t="shared" si="264"/>
        <v>1.0141737766466408</v>
      </c>
      <c r="Q408" s="29">
        <f t="shared" si="265"/>
        <v>10126.150237700002</v>
      </c>
      <c r="R408" s="30">
        <f t="shared" si="266"/>
        <v>0.33753867089693274</v>
      </c>
      <c r="S408" s="30">
        <f t="shared" si="267"/>
        <v>1.1251289029897757</v>
      </c>
      <c r="T408" s="37">
        <f t="shared" si="268"/>
        <v>4.999995299999993E-2</v>
      </c>
      <c r="U408" s="30">
        <f t="shared" si="269"/>
        <v>4.2516966012426114E-3</v>
      </c>
      <c r="V408" s="38">
        <f t="shared" si="270"/>
        <v>5.5555557588890784E-6</v>
      </c>
      <c r="W408" s="9">
        <f t="shared" si="260"/>
        <v>43061072</v>
      </c>
      <c r="X408" s="12">
        <f t="shared" si="260"/>
        <v>42.590004010000001</v>
      </c>
      <c r="Y408" s="11">
        <f t="shared" si="260"/>
        <v>0.52999997200000015</v>
      </c>
      <c r="Z408" s="7">
        <f t="shared" si="273"/>
        <v>44473712</v>
      </c>
      <c r="AA408" s="7">
        <f t="shared" si="273"/>
        <v>12.75</v>
      </c>
      <c r="AB408" s="7">
        <f t="shared" si="273"/>
        <v>9.9999909999999304E-3</v>
      </c>
    </row>
    <row r="409" spans="1:28" x14ac:dyDescent="0.25">
      <c r="A409" s="2">
        <v>405</v>
      </c>
      <c r="B409">
        <v>4</v>
      </c>
      <c r="C409">
        <v>4</v>
      </c>
      <c r="D409">
        <v>0</v>
      </c>
      <c r="E409">
        <v>5</v>
      </c>
      <c r="G409">
        <v>186270096</v>
      </c>
      <c r="H409">
        <v>116.5400009</v>
      </c>
      <c r="I409">
        <v>3.9700000289999999</v>
      </c>
      <c r="J409" s="9">
        <f t="shared" si="250"/>
        <v>14874976</v>
      </c>
      <c r="K409" s="52"/>
      <c r="L409" s="9">
        <f t="shared" si="276"/>
        <v>9.6200028000000088</v>
      </c>
      <c r="M409" s="9">
        <f t="shared" si="276"/>
        <v>0</v>
      </c>
      <c r="N409" s="29">
        <f t="shared" si="262"/>
        <v>1966626928</v>
      </c>
      <c r="O409" s="30">
        <f t="shared" si="263"/>
        <v>0.30449310952892716</v>
      </c>
      <c r="P409" s="30">
        <f t="shared" si="264"/>
        <v>1.0149770317630906</v>
      </c>
      <c r="Q409" s="29">
        <f t="shared" si="265"/>
        <v>10116.530234900001</v>
      </c>
      <c r="R409" s="30">
        <f t="shared" si="266"/>
        <v>0.33721800382376926</v>
      </c>
      <c r="S409" s="30">
        <f t="shared" si="267"/>
        <v>1.1240600127458975</v>
      </c>
      <c r="T409" s="37">
        <f t="shared" si="268"/>
        <v>4.999995299999993E-2</v>
      </c>
      <c r="U409" s="30">
        <f t="shared" si="269"/>
        <v>4.2516966012426114E-3</v>
      </c>
      <c r="V409" s="38">
        <f t="shared" si="270"/>
        <v>5.5555557588890784E-6</v>
      </c>
      <c r="W409" s="9">
        <f t="shared" si="260"/>
        <v>41223568</v>
      </c>
      <c r="X409" s="12">
        <f t="shared" si="260"/>
        <v>38.980003339999996</v>
      </c>
      <c r="Y409" s="11">
        <f t="shared" si="260"/>
        <v>0.52999997200000015</v>
      </c>
      <c r="Z409" s="7">
        <f t="shared" si="273"/>
        <v>41575856</v>
      </c>
      <c r="AA409" s="7">
        <f t="shared" si="273"/>
        <v>11.840003999999993</v>
      </c>
      <c r="AB409" s="7">
        <f t="shared" si="273"/>
        <v>9.9999909999999304E-3</v>
      </c>
    </row>
    <row r="410" spans="1:28" x14ac:dyDescent="0.25">
      <c r="A410" s="2">
        <v>406</v>
      </c>
      <c r="B410">
        <v>4</v>
      </c>
      <c r="C410">
        <v>4</v>
      </c>
      <c r="D410">
        <v>0</v>
      </c>
      <c r="E410">
        <v>6</v>
      </c>
      <c r="G410">
        <v>149676688</v>
      </c>
      <c r="H410">
        <v>99.230003359999998</v>
      </c>
      <c r="I410">
        <v>3.9700000289999999</v>
      </c>
      <c r="J410" s="9">
        <f t="shared" si="250"/>
        <v>36593408</v>
      </c>
      <c r="K410" s="52">
        <f t="shared" ref="K410" si="277">AVERAGE(J405:J410)</f>
        <v>13234490.666666666</v>
      </c>
      <c r="L410" s="9">
        <f t="shared" si="276"/>
        <v>17.309997539999998</v>
      </c>
      <c r="M410" s="9">
        <f t="shared" si="276"/>
        <v>0</v>
      </c>
      <c r="N410" s="29">
        <f t="shared" si="262"/>
        <v>1613417456</v>
      </c>
      <c r="O410" s="30">
        <f t="shared" si="263"/>
        <v>0.3050352248612917</v>
      </c>
      <c r="P410" s="30">
        <f t="shared" si="264"/>
        <v>1.0167840828709724</v>
      </c>
      <c r="Q410" s="29">
        <f t="shared" si="265"/>
        <v>799.17996974000005</v>
      </c>
      <c r="R410" s="30">
        <f t="shared" si="266"/>
        <v>0.29651643595124588</v>
      </c>
      <c r="S410" s="30">
        <f t="shared" si="267"/>
        <v>0.9883881198374862</v>
      </c>
      <c r="T410" s="37">
        <f t="shared" si="268"/>
        <v>4.999995299999993E-2</v>
      </c>
      <c r="U410" s="30">
        <f t="shared" si="269"/>
        <v>4.2516966012426114E-3</v>
      </c>
      <c r="V410" s="38">
        <f t="shared" si="270"/>
        <v>6.1837585285965538E-5</v>
      </c>
      <c r="W410" s="9">
        <f t="shared" ref="W410:Y424" si="278">ABS(G410-G389)</f>
        <v>32588648</v>
      </c>
      <c r="X410" s="12">
        <f t="shared" si="278"/>
        <v>30.47000122</v>
      </c>
      <c r="Y410" s="11">
        <f t="shared" si="278"/>
        <v>0.52999997200000015</v>
      </c>
      <c r="Z410" s="7">
        <f t="shared" si="273"/>
        <v>34084488</v>
      </c>
      <c r="AA410" s="7">
        <f t="shared" si="273"/>
        <v>10.290000919999997</v>
      </c>
      <c r="AB410" s="7">
        <f t="shared" si="273"/>
        <v>9.9999909999999304E-3</v>
      </c>
    </row>
    <row r="411" spans="1:28" x14ac:dyDescent="0.25">
      <c r="A411" s="2">
        <v>407</v>
      </c>
      <c r="B411">
        <v>4</v>
      </c>
      <c r="C411">
        <v>4</v>
      </c>
      <c r="D411">
        <v>1</v>
      </c>
      <c r="E411">
        <v>0</v>
      </c>
      <c r="G411">
        <v>1033896384</v>
      </c>
      <c r="H411">
        <v>562.9099731</v>
      </c>
      <c r="I411">
        <v>4.1100001339999999</v>
      </c>
      <c r="K411" s="52"/>
      <c r="N411" s="29">
        <f t="shared" si="262"/>
        <v>805931312</v>
      </c>
      <c r="O411" s="30">
        <f t="shared" si="263"/>
        <v>1.1784426811957696</v>
      </c>
      <c r="P411" s="30">
        <f t="shared" si="264"/>
        <v>1.1784426811957696</v>
      </c>
      <c r="Q411" s="29">
        <f t="shared" si="265"/>
        <v>428.85996999999998</v>
      </c>
      <c r="R411" s="30">
        <f t="shared" si="266"/>
        <v>1.0664179039719346</v>
      </c>
      <c r="S411" s="30">
        <f t="shared" si="267"/>
        <v>1.0664179039719346</v>
      </c>
      <c r="T411" s="37">
        <f t="shared" si="268"/>
        <v>0.14000010499999993</v>
      </c>
      <c r="U411" s="30">
        <f t="shared" si="269"/>
        <v>1.1754836605989014E-2</v>
      </c>
      <c r="V411" s="38">
        <f t="shared" si="270"/>
        <v>3.4812906070471136E-4</v>
      </c>
      <c r="W411" s="9">
        <f t="shared" si="278"/>
        <v>127667840</v>
      </c>
      <c r="X411" s="12">
        <f t="shared" si="278"/>
        <v>206.47998039999999</v>
      </c>
      <c r="Y411" s="11">
        <f t="shared" si="278"/>
        <v>0.51000022900000008</v>
      </c>
      <c r="Z411" s="7">
        <f t="shared" si="273"/>
        <v>211727104</v>
      </c>
      <c r="AA411" s="7">
        <f t="shared" si="273"/>
        <v>58.649963300000024</v>
      </c>
      <c r="AB411" s="7">
        <f t="shared" si="273"/>
        <v>1.9999980999999778E-2</v>
      </c>
    </row>
    <row r="412" spans="1:28" x14ac:dyDescent="0.25">
      <c r="A412" s="2">
        <v>408</v>
      </c>
      <c r="B412">
        <v>4</v>
      </c>
      <c r="C412">
        <v>4</v>
      </c>
      <c r="D412">
        <v>1</v>
      </c>
      <c r="E412">
        <v>1</v>
      </c>
      <c r="G412">
        <v>1027760768</v>
      </c>
      <c r="H412">
        <v>565.03002930000002</v>
      </c>
      <c r="I412">
        <v>4.1100001339999999</v>
      </c>
      <c r="J412" s="9">
        <f t="shared" ref="J412" si="279">ABS(G412-G411)</f>
        <v>6135616</v>
      </c>
      <c r="K412" s="52"/>
      <c r="L412" s="9">
        <f t="shared" ref="L412:M417" si="280">ABS(H412-H411)</f>
        <v>2.1200562000000218</v>
      </c>
      <c r="M412" s="9">
        <f t="shared" si="280"/>
        <v>0</v>
      </c>
      <c r="N412" s="29">
        <f t="shared" si="262"/>
        <v>800860208</v>
      </c>
      <c r="O412" s="30">
        <f t="shared" si="263"/>
        <v>1.1765215681559653</v>
      </c>
      <c r="P412" s="30">
        <f t="shared" si="264"/>
        <v>1.1765215681559653</v>
      </c>
      <c r="Q412" s="29">
        <f t="shared" si="265"/>
        <v>430.29002380000003</v>
      </c>
      <c r="R412" s="30">
        <f t="shared" si="266"/>
        <v>1.0644945975850755</v>
      </c>
      <c r="S412" s="30">
        <f t="shared" si="267"/>
        <v>1.0644945975850755</v>
      </c>
      <c r="T412" s="37">
        <f t="shared" si="268"/>
        <v>0.14000010499999993</v>
      </c>
      <c r="U412" s="30">
        <f t="shared" si="269"/>
        <v>1.1754836605989014E-2</v>
      </c>
      <c r="V412" s="38">
        <f t="shared" si="270"/>
        <v>3.4634629480304307E-4</v>
      </c>
      <c r="W412" s="9">
        <f t="shared" si="278"/>
        <v>124285184</v>
      </c>
      <c r="X412" s="12">
        <f t="shared" si="278"/>
        <v>201.80001830000003</v>
      </c>
      <c r="Y412" s="11">
        <f t="shared" si="278"/>
        <v>0.51000022900000008</v>
      </c>
      <c r="Z412" s="7">
        <f t="shared" si="273"/>
        <v>210121600</v>
      </c>
      <c r="AA412" s="7">
        <f t="shared" si="273"/>
        <v>58.730041500000027</v>
      </c>
      <c r="AB412" s="7">
        <f t="shared" si="273"/>
        <v>1.9999980999999778E-2</v>
      </c>
    </row>
    <row r="413" spans="1:28" x14ac:dyDescent="0.25">
      <c r="A413" s="2">
        <v>409</v>
      </c>
      <c r="B413">
        <v>4</v>
      </c>
      <c r="C413">
        <v>4</v>
      </c>
      <c r="D413">
        <v>1</v>
      </c>
      <c r="E413">
        <v>2</v>
      </c>
      <c r="G413">
        <v>1031538880</v>
      </c>
      <c r="H413">
        <v>562.45001219999995</v>
      </c>
      <c r="I413">
        <v>4.1100001339999999</v>
      </c>
      <c r="J413" s="9">
        <f t="shared" si="247"/>
        <v>3778112</v>
      </c>
      <c r="K413" s="52"/>
      <c r="L413" s="9">
        <f t="shared" si="280"/>
        <v>2.5800171000000773</v>
      </c>
      <c r="M413" s="9">
        <f t="shared" si="280"/>
        <v>0</v>
      </c>
      <c r="N413" s="29">
        <f t="shared" si="262"/>
        <v>804079040</v>
      </c>
      <c r="O413" s="30">
        <f t="shared" si="263"/>
        <v>1.1783457979512633</v>
      </c>
      <c r="P413" s="30">
        <f t="shared" si="264"/>
        <v>1.1783457979512633</v>
      </c>
      <c r="Q413" s="29">
        <f t="shared" si="265"/>
        <v>428.45001219999995</v>
      </c>
      <c r="R413" s="30">
        <f t="shared" si="266"/>
        <v>1.0657960502487562</v>
      </c>
      <c r="S413" s="30">
        <f t="shared" si="267"/>
        <v>1.0657960502487562</v>
      </c>
      <c r="T413" s="37">
        <f t="shared" si="268"/>
        <v>0.14000010499999993</v>
      </c>
      <c r="U413" s="30">
        <f t="shared" si="269"/>
        <v>1.1754836605989014E-2</v>
      </c>
      <c r="V413" s="38">
        <f t="shared" si="270"/>
        <v>3.4825896766169139E-4</v>
      </c>
      <c r="W413" s="9">
        <f t="shared" si="278"/>
        <v>126880576</v>
      </c>
      <c r="X413" s="12">
        <f t="shared" si="278"/>
        <v>204.88000489999996</v>
      </c>
      <c r="Y413" s="11">
        <f t="shared" si="278"/>
        <v>0.51000022900000008</v>
      </c>
      <c r="Z413" s="7">
        <f t="shared" si="273"/>
        <v>211213248</v>
      </c>
      <c r="AA413" s="7">
        <f t="shared" si="273"/>
        <v>58.580017099999964</v>
      </c>
      <c r="AB413" s="7">
        <f t="shared" si="273"/>
        <v>1.9999980999999778E-2</v>
      </c>
    </row>
    <row r="414" spans="1:28" x14ac:dyDescent="0.25">
      <c r="A414" s="2">
        <v>410</v>
      </c>
      <c r="B414">
        <v>4</v>
      </c>
      <c r="C414">
        <v>4</v>
      </c>
      <c r="D414">
        <v>1</v>
      </c>
      <c r="E414">
        <v>3</v>
      </c>
      <c r="G414">
        <v>999897856</v>
      </c>
      <c r="H414">
        <v>556.28997800000002</v>
      </c>
      <c r="I414">
        <v>4.1100001339999999</v>
      </c>
      <c r="J414" s="9">
        <f t="shared" si="247"/>
        <v>31641024</v>
      </c>
      <c r="K414" s="52"/>
      <c r="L414" s="9">
        <f t="shared" si="280"/>
        <v>6.1600341999999273</v>
      </c>
      <c r="M414" s="9">
        <f t="shared" si="280"/>
        <v>0</v>
      </c>
      <c r="N414" s="29">
        <f t="shared" si="262"/>
        <v>779112256</v>
      </c>
      <c r="O414" s="30">
        <f t="shared" si="263"/>
        <v>1.1762727520876965</v>
      </c>
      <c r="P414" s="30">
        <f t="shared" si="264"/>
        <v>1.1762727520876965</v>
      </c>
      <c r="Q414" s="29">
        <f t="shared" si="265"/>
        <v>423.27998350000001</v>
      </c>
      <c r="R414" s="30">
        <f t="shared" si="266"/>
        <v>1.0607723755174903</v>
      </c>
      <c r="S414" s="30">
        <f t="shared" si="267"/>
        <v>1.0607723755174903</v>
      </c>
      <c r="T414" s="37">
        <f t="shared" si="268"/>
        <v>0.14000010499999993</v>
      </c>
      <c r="U414" s="30">
        <f t="shared" si="269"/>
        <v>1.1754836605989014E-2</v>
      </c>
      <c r="V414" s="38">
        <f t="shared" si="270"/>
        <v>3.5085109086796214E-4</v>
      </c>
      <c r="W414" s="9">
        <f t="shared" si="278"/>
        <v>118607552</v>
      </c>
      <c r="X414" s="12">
        <f t="shared" si="278"/>
        <v>193.51998900000001</v>
      </c>
      <c r="Y414" s="11">
        <f t="shared" si="278"/>
        <v>0.51000022900000008</v>
      </c>
      <c r="Z414" s="7">
        <f t="shared" ref="Z414:AB424" si="281">ABS(G414-G309)</f>
        <v>204289408</v>
      </c>
      <c r="AA414" s="7">
        <f t="shared" si="281"/>
        <v>57.739990200000022</v>
      </c>
      <c r="AB414" s="7">
        <f t="shared" si="281"/>
        <v>1.9999980999999778E-2</v>
      </c>
    </row>
    <row r="415" spans="1:28" x14ac:dyDescent="0.25">
      <c r="A415" s="2">
        <v>411</v>
      </c>
      <c r="B415">
        <v>4</v>
      </c>
      <c r="C415">
        <v>4</v>
      </c>
      <c r="D415">
        <v>1</v>
      </c>
      <c r="E415">
        <v>4</v>
      </c>
      <c r="G415">
        <v>913276416</v>
      </c>
      <c r="H415">
        <v>521.86999509999998</v>
      </c>
      <c r="I415">
        <v>4.1100001339999999</v>
      </c>
      <c r="J415" s="9">
        <f t="shared" si="247"/>
        <v>86621440</v>
      </c>
      <c r="K415" s="52"/>
      <c r="L415" s="9">
        <f t="shared" si="280"/>
        <v>34.419982900000036</v>
      </c>
      <c r="M415" s="9">
        <f t="shared" si="280"/>
        <v>0</v>
      </c>
      <c r="N415" s="29">
        <f t="shared" si="262"/>
        <v>712131344</v>
      </c>
      <c r="O415" s="30">
        <f t="shared" si="263"/>
        <v>1.1801289104744592</v>
      </c>
      <c r="P415" s="30">
        <f t="shared" si="264"/>
        <v>1.1801289104744592</v>
      </c>
      <c r="Q415" s="29">
        <f t="shared" si="265"/>
        <v>395.70999139999998</v>
      </c>
      <c r="R415" s="30">
        <f t="shared" si="266"/>
        <v>1.0455241486860123</v>
      </c>
      <c r="S415" s="30">
        <f t="shared" si="267"/>
        <v>1.0455241486860123</v>
      </c>
      <c r="T415" s="37">
        <f t="shared" si="268"/>
        <v>0.14000010499999993</v>
      </c>
      <c r="U415" s="30">
        <f t="shared" si="269"/>
        <v>1.1754836605989014E-2</v>
      </c>
      <c r="V415" s="38">
        <f t="shared" si="270"/>
        <v>3.6990092182968636E-4</v>
      </c>
      <c r="W415" s="9">
        <f t="shared" si="278"/>
        <v>103184320</v>
      </c>
      <c r="X415" s="12">
        <f t="shared" si="278"/>
        <v>171.88000489999996</v>
      </c>
      <c r="Y415" s="11">
        <f t="shared" si="278"/>
        <v>0.51000022900000008</v>
      </c>
      <c r="Z415" s="7">
        <f t="shared" si="281"/>
        <v>186409152</v>
      </c>
      <c r="AA415" s="7">
        <f t="shared" si="281"/>
        <v>53.790008499999999</v>
      </c>
      <c r="AB415" s="7">
        <f t="shared" si="281"/>
        <v>1.9999980999999778E-2</v>
      </c>
    </row>
    <row r="416" spans="1:28" x14ac:dyDescent="0.25">
      <c r="A416" s="2">
        <v>412</v>
      </c>
      <c r="B416">
        <v>4</v>
      </c>
      <c r="C416">
        <v>4</v>
      </c>
      <c r="D416">
        <v>1</v>
      </c>
      <c r="E416">
        <v>5</v>
      </c>
      <c r="G416">
        <v>852794048</v>
      </c>
      <c r="H416">
        <v>481.17001340000002</v>
      </c>
      <c r="I416">
        <v>4.1100001339999999</v>
      </c>
      <c r="J416" s="9">
        <f t="shared" si="247"/>
        <v>60482368</v>
      </c>
      <c r="K416" s="52"/>
      <c r="L416" s="9">
        <f t="shared" si="280"/>
        <v>40.699981699999967</v>
      </c>
      <c r="M416" s="9">
        <f t="shared" si="280"/>
        <v>0</v>
      </c>
      <c r="N416" s="29">
        <f t="shared" si="262"/>
        <v>666523952</v>
      </c>
      <c r="O416" s="30">
        <f t="shared" si="263"/>
        <v>1.1927553345259814</v>
      </c>
      <c r="P416" s="30">
        <f t="shared" si="264"/>
        <v>1.1927553345259814</v>
      </c>
      <c r="Q416" s="29">
        <f t="shared" si="265"/>
        <v>364.63001250000002</v>
      </c>
      <c r="R416" s="30">
        <f t="shared" si="266"/>
        <v>1.0429323542248232</v>
      </c>
      <c r="S416" s="30">
        <f t="shared" si="267"/>
        <v>1.0429323542248232</v>
      </c>
      <c r="T416" s="37">
        <f t="shared" si="268"/>
        <v>0.14000010499999993</v>
      </c>
      <c r="U416" s="30">
        <f t="shared" si="269"/>
        <v>1.1754836605989014E-2</v>
      </c>
      <c r="V416" s="38">
        <f t="shared" si="270"/>
        <v>4.0043505497061176E-4</v>
      </c>
      <c r="W416" s="9">
        <f t="shared" si="278"/>
        <v>100624704</v>
      </c>
      <c r="X416" s="12">
        <f t="shared" si="278"/>
        <v>163.90002440000001</v>
      </c>
      <c r="Y416" s="11">
        <f t="shared" si="278"/>
        <v>0.51000022900000008</v>
      </c>
      <c r="Z416" s="7">
        <f t="shared" si="281"/>
        <v>174566976</v>
      </c>
      <c r="AA416" s="7">
        <f t="shared" si="281"/>
        <v>50.110015800000042</v>
      </c>
      <c r="AB416" s="7">
        <f t="shared" si="281"/>
        <v>1.9999980999999778E-2</v>
      </c>
    </row>
    <row r="417" spans="1:28" x14ac:dyDescent="0.25">
      <c r="A417" s="2">
        <v>413</v>
      </c>
      <c r="B417">
        <v>4</v>
      </c>
      <c r="C417">
        <v>4</v>
      </c>
      <c r="D417">
        <v>1</v>
      </c>
      <c r="E417">
        <v>6</v>
      </c>
      <c r="G417">
        <v>695791680</v>
      </c>
      <c r="H417">
        <v>400.17999270000001</v>
      </c>
      <c r="I417">
        <v>4.1100001339999999</v>
      </c>
      <c r="J417" s="9">
        <f t="shared" si="247"/>
        <v>157002368</v>
      </c>
      <c r="K417" s="52">
        <f t="shared" ref="K417" si="282">AVERAGE(J412:J417)</f>
        <v>57610154.666666664</v>
      </c>
      <c r="L417" s="9">
        <f t="shared" si="280"/>
        <v>80.990020700000002</v>
      </c>
      <c r="M417" s="9">
        <f t="shared" si="280"/>
        <v>0</v>
      </c>
      <c r="N417" s="29">
        <f t="shared" si="262"/>
        <v>546114992</v>
      </c>
      <c r="O417" s="30">
        <f t="shared" si="263"/>
        <v>1.2162103070230059</v>
      </c>
      <c r="P417" s="30">
        <f t="shared" si="264"/>
        <v>1.2162103070230059</v>
      </c>
      <c r="Q417" s="29">
        <f t="shared" si="265"/>
        <v>300.94998934</v>
      </c>
      <c r="R417" s="30">
        <f t="shared" si="266"/>
        <v>1.0109509192435577</v>
      </c>
      <c r="S417" s="30">
        <f t="shared" si="267"/>
        <v>1.0109509192435577</v>
      </c>
      <c r="T417" s="37">
        <f t="shared" si="268"/>
        <v>0.14000010499999993</v>
      </c>
      <c r="U417" s="30">
        <f t="shared" si="269"/>
        <v>1.1754836605989014E-2</v>
      </c>
      <c r="V417" s="38">
        <f t="shared" si="270"/>
        <v>4.7028822016021593E-4</v>
      </c>
      <c r="W417" s="9">
        <f t="shared" si="278"/>
        <v>79510784</v>
      </c>
      <c r="X417" s="12">
        <f t="shared" si="278"/>
        <v>125.9100037</v>
      </c>
      <c r="Y417" s="11">
        <f t="shared" si="278"/>
        <v>0.51000022900000008</v>
      </c>
      <c r="Z417" s="7">
        <f t="shared" si="281"/>
        <v>143068928</v>
      </c>
      <c r="AA417" s="7">
        <f t="shared" si="281"/>
        <v>41.549987799999997</v>
      </c>
      <c r="AB417" s="7">
        <f t="shared" si="281"/>
        <v>1.9999980999999778E-2</v>
      </c>
    </row>
    <row r="418" spans="1:28" x14ac:dyDescent="0.25">
      <c r="A418" s="2">
        <v>414</v>
      </c>
      <c r="B418">
        <v>4</v>
      </c>
      <c r="C418">
        <v>4</v>
      </c>
      <c r="D418">
        <v>2</v>
      </c>
      <c r="E418">
        <v>0</v>
      </c>
      <c r="G418">
        <v>2775362048</v>
      </c>
      <c r="H418">
        <v>-9999.9902340000008</v>
      </c>
      <c r="I418">
        <v>4.4499998090000004</v>
      </c>
      <c r="K418" s="52"/>
      <c r="N418" s="29">
        <f t="shared" si="262"/>
        <v>1741465664</v>
      </c>
      <c r="O418" s="30">
        <f t="shared" si="263"/>
        <v>0.56145718628092878</v>
      </c>
      <c r="P418" s="30">
        <f t="shared" si="264"/>
        <v>1.1229143725618576</v>
      </c>
      <c r="Q418" s="29">
        <f t="shared" si="265"/>
        <v>10562.900207100001</v>
      </c>
      <c r="R418" s="30">
        <f t="shared" si="266"/>
        <v>6.2549375636563944</v>
      </c>
      <c r="S418" s="30">
        <f t="shared" si="267"/>
        <v>12.509875127312789</v>
      </c>
      <c r="T418" s="37">
        <f t="shared" si="268"/>
        <v>0.3399996750000005</v>
      </c>
      <c r="U418" s="30">
        <f t="shared" si="269"/>
        <v>2.757499301823628E-2</v>
      </c>
      <c r="V418" s="38">
        <f t="shared" si="270"/>
        <v>4.0266909600433282E-4</v>
      </c>
      <c r="W418" s="9">
        <f t="shared" si="278"/>
        <v>169097984</v>
      </c>
      <c r="X418" s="12">
        <f t="shared" si="278"/>
        <v>0</v>
      </c>
      <c r="Y418" s="11">
        <f t="shared" si="278"/>
        <v>0.52999973300000036</v>
      </c>
      <c r="Z418" s="7">
        <f t="shared" si="281"/>
        <v>542103296</v>
      </c>
      <c r="AA418" s="7">
        <f t="shared" si="281"/>
        <v>0</v>
      </c>
      <c r="AB418" s="7">
        <f t="shared" si="281"/>
        <v>3.9999962000000444E-2</v>
      </c>
    </row>
    <row r="419" spans="1:28" x14ac:dyDescent="0.25">
      <c r="A419" s="2">
        <v>415</v>
      </c>
      <c r="B419">
        <v>4</v>
      </c>
      <c r="C419">
        <v>4</v>
      </c>
      <c r="D419">
        <v>2</v>
      </c>
      <c r="E419">
        <v>1</v>
      </c>
      <c r="G419">
        <v>2754782720</v>
      </c>
      <c r="H419">
        <v>-9999.9902340000008</v>
      </c>
      <c r="I419">
        <v>4.4499998090000004</v>
      </c>
      <c r="J419" s="9">
        <f t="shared" ref="J419" si="283">ABS(G419-G418)</f>
        <v>20579328</v>
      </c>
      <c r="K419" s="52"/>
      <c r="L419" s="9">
        <f t="shared" ref="L419:M424" si="284">ABS(H419-H418)</f>
        <v>0</v>
      </c>
      <c r="M419" s="9">
        <f t="shared" si="284"/>
        <v>0</v>
      </c>
      <c r="N419" s="29">
        <f t="shared" si="262"/>
        <v>1727021952</v>
      </c>
      <c r="O419" s="30">
        <f t="shared" si="263"/>
        <v>0.56012449776639073</v>
      </c>
      <c r="P419" s="30">
        <f t="shared" si="264"/>
        <v>1.1202489955327815</v>
      </c>
      <c r="Q419" s="29">
        <f t="shared" si="265"/>
        <v>10565.020263300001</v>
      </c>
      <c r="R419" s="30">
        <f t="shared" si="266"/>
        <v>6.2327190387790603</v>
      </c>
      <c r="S419" s="30">
        <f t="shared" si="267"/>
        <v>12.465438077558121</v>
      </c>
      <c r="T419" s="37">
        <f t="shared" si="268"/>
        <v>0.3399996750000005</v>
      </c>
      <c r="U419" s="30">
        <f t="shared" si="269"/>
        <v>2.757499301823628E-2</v>
      </c>
      <c r="V419" s="38">
        <f t="shared" si="270"/>
        <v>4.0115823628137271E-4</v>
      </c>
      <c r="W419" s="9">
        <f t="shared" si="278"/>
        <v>164079616</v>
      </c>
      <c r="X419" s="12">
        <f t="shared" si="278"/>
        <v>0</v>
      </c>
      <c r="Y419" s="11">
        <f t="shared" si="278"/>
        <v>0.52999973300000036</v>
      </c>
      <c r="Z419" s="7">
        <f t="shared" si="281"/>
        <v>537349120</v>
      </c>
      <c r="AA419" s="7">
        <f t="shared" si="281"/>
        <v>0</v>
      </c>
      <c r="AB419" s="7">
        <f t="shared" si="281"/>
        <v>3.9999962000000444E-2</v>
      </c>
    </row>
    <row r="420" spans="1:28" x14ac:dyDescent="0.25">
      <c r="A420" s="2">
        <v>416</v>
      </c>
      <c r="B420">
        <v>4</v>
      </c>
      <c r="C420">
        <v>4</v>
      </c>
      <c r="D420">
        <v>2</v>
      </c>
      <c r="E420">
        <v>2</v>
      </c>
      <c r="G420">
        <v>2768443136</v>
      </c>
      <c r="H420">
        <v>-9999.9902340000008</v>
      </c>
      <c r="I420">
        <v>4.4499998090000004</v>
      </c>
      <c r="J420" s="9">
        <f t="shared" si="250"/>
        <v>13660416</v>
      </c>
      <c r="K420" s="52"/>
      <c r="L420" s="9">
        <f t="shared" si="284"/>
        <v>0</v>
      </c>
      <c r="M420" s="9">
        <f t="shared" si="284"/>
        <v>0</v>
      </c>
      <c r="N420" s="29">
        <f t="shared" si="262"/>
        <v>1736904256</v>
      </c>
      <c r="O420" s="30">
        <f t="shared" si="263"/>
        <v>0.56126637256109368</v>
      </c>
      <c r="P420" s="30">
        <f t="shared" si="264"/>
        <v>1.1225327451221874</v>
      </c>
      <c r="Q420" s="29">
        <f t="shared" si="265"/>
        <v>10562.4402462</v>
      </c>
      <c r="R420" s="30">
        <f t="shared" si="266"/>
        <v>6.2597801387335457</v>
      </c>
      <c r="S420" s="30">
        <f t="shared" si="267"/>
        <v>12.519560277467091</v>
      </c>
      <c r="T420" s="37">
        <f t="shared" si="268"/>
        <v>0.3399996750000005</v>
      </c>
      <c r="U420" s="30">
        <f t="shared" si="269"/>
        <v>2.757499301823628E-2</v>
      </c>
      <c r="V420" s="38">
        <f t="shared" si="270"/>
        <v>4.0299839111640148E-4</v>
      </c>
      <c r="W420" s="9">
        <f t="shared" si="278"/>
        <v>168265472</v>
      </c>
      <c r="X420" s="12">
        <f t="shared" si="278"/>
        <v>0</v>
      </c>
      <c r="Y420" s="11">
        <f t="shared" si="278"/>
        <v>0.52999973300000036</v>
      </c>
      <c r="Z420" s="7">
        <f t="shared" si="281"/>
        <v>540683008</v>
      </c>
      <c r="AA420" s="7">
        <f t="shared" si="281"/>
        <v>0</v>
      </c>
      <c r="AB420" s="7">
        <f t="shared" si="281"/>
        <v>3.9999962000000444E-2</v>
      </c>
    </row>
    <row r="421" spans="1:28" x14ac:dyDescent="0.25">
      <c r="A421" s="2">
        <v>417</v>
      </c>
      <c r="B421">
        <v>4</v>
      </c>
      <c r="C421">
        <v>4</v>
      </c>
      <c r="D421">
        <v>2</v>
      </c>
      <c r="E421">
        <v>3</v>
      </c>
      <c r="G421">
        <v>2676181248</v>
      </c>
      <c r="H421">
        <v>-9999.9902340000008</v>
      </c>
      <c r="I421">
        <v>4.4499998090000004</v>
      </c>
      <c r="J421" s="9">
        <f t="shared" si="250"/>
        <v>92261888</v>
      </c>
      <c r="K421" s="52"/>
      <c r="L421" s="9">
        <f t="shared" si="284"/>
        <v>0</v>
      </c>
      <c r="M421" s="9">
        <f t="shared" si="284"/>
        <v>0</v>
      </c>
      <c r="N421" s="29">
        <f t="shared" si="262"/>
        <v>1676283392</v>
      </c>
      <c r="O421" s="30">
        <f t="shared" si="263"/>
        <v>0.55881821059396952</v>
      </c>
      <c r="P421" s="30">
        <f t="shared" si="264"/>
        <v>1.117636421187939</v>
      </c>
      <c r="Q421" s="29">
        <f t="shared" si="265"/>
        <v>10556.280212000001</v>
      </c>
      <c r="R421" s="30">
        <f t="shared" si="266"/>
        <v>6.325406190701977</v>
      </c>
      <c r="S421" s="30">
        <f t="shared" si="267"/>
        <v>12.650812381403954</v>
      </c>
      <c r="T421" s="37">
        <f t="shared" si="268"/>
        <v>0.3399996750000005</v>
      </c>
      <c r="U421" s="30">
        <f t="shared" si="269"/>
        <v>2.757499301823628E-2</v>
      </c>
      <c r="V421" s="38">
        <f t="shared" si="270"/>
        <v>4.0746096274270886E-4</v>
      </c>
      <c r="W421" s="9">
        <f t="shared" si="278"/>
        <v>155554560</v>
      </c>
      <c r="X421" s="12">
        <f t="shared" si="278"/>
        <v>0</v>
      </c>
      <c r="Y421" s="11">
        <f t="shared" si="278"/>
        <v>0.52999973300000036</v>
      </c>
      <c r="Z421" s="7">
        <f t="shared" si="281"/>
        <v>521831936</v>
      </c>
      <c r="AA421" s="7">
        <f t="shared" si="281"/>
        <v>0</v>
      </c>
      <c r="AB421" s="7">
        <f t="shared" si="281"/>
        <v>3.9999962000000444E-2</v>
      </c>
    </row>
    <row r="422" spans="1:28" x14ac:dyDescent="0.25">
      <c r="A422" s="2">
        <v>418</v>
      </c>
      <c r="B422">
        <v>4</v>
      </c>
      <c r="C422">
        <v>4</v>
      </c>
      <c r="D422">
        <v>2</v>
      </c>
      <c r="E422">
        <v>4</v>
      </c>
      <c r="G422">
        <v>2440260864</v>
      </c>
      <c r="H422">
        <v>-9999.9902340000008</v>
      </c>
      <c r="I422">
        <v>4.4499998090000004</v>
      </c>
      <c r="J422" s="9">
        <f t="shared" si="250"/>
        <v>235920384</v>
      </c>
      <c r="K422" s="52"/>
      <c r="L422" s="9">
        <f t="shared" si="284"/>
        <v>0</v>
      </c>
      <c r="M422" s="9">
        <f t="shared" si="284"/>
        <v>0</v>
      </c>
      <c r="N422" s="29">
        <f t="shared" si="262"/>
        <v>1526984448</v>
      </c>
      <c r="O422" s="30">
        <f t="shared" si="263"/>
        <v>0.55732832588551151</v>
      </c>
      <c r="P422" s="30">
        <f t="shared" si="264"/>
        <v>1.114656651771023</v>
      </c>
      <c r="Q422" s="29">
        <f t="shared" si="265"/>
        <v>10521.860229100001</v>
      </c>
      <c r="R422" s="30">
        <f t="shared" si="266"/>
        <v>6.7206138999450857</v>
      </c>
      <c r="S422" s="30">
        <f t="shared" si="267"/>
        <v>13.441227799890171</v>
      </c>
      <c r="T422" s="37">
        <f t="shared" si="268"/>
        <v>0.3399996750000005</v>
      </c>
      <c r="U422" s="30">
        <f t="shared" si="269"/>
        <v>2.757499301823628E-2</v>
      </c>
      <c r="V422" s="38">
        <f t="shared" si="270"/>
        <v>4.3433508752800941E-4</v>
      </c>
      <c r="W422" s="9">
        <f t="shared" si="278"/>
        <v>134704128</v>
      </c>
      <c r="X422" s="12">
        <f t="shared" si="278"/>
        <v>0</v>
      </c>
      <c r="Y422" s="11">
        <f t="shared" si="278"/>
        <v>0.52999973300000036</v>
      </c>
      <c r="Z422" s="7">
        <f t="shared" si="281"/>
        <v>475821824</v>
      </c>
      <c r="AA422" s="7">
        <f t="shared" si="281"/>
        <v>0</v>
      </c>
      <c r="AB422" s="7">
        <f t="shared" si="281"/>
        <v>3.9999962000000444E-2</v>
      </c>
    </row>
    <row r="423" spans="1:28" x14ac:dyDescent="0.25">
      <c r="A423" s="2">
        <v>419</v>
      </c>
      <c r="B423">
        <v>4</v>
      </c>
      <c r="C423">
        <v>4</v>
      </c>
      <c r="D423">
        <v>2</v>
      </c>
      <c r="E423">
        <v>5</v>
      </c>
      <c r="G423">
        <v>2284357888</v>
      </c>
      <c r="H423">
        <v>-9999.9902340000008</v>
      </c>
      <c r="I423">
        <v>4.4499998090000004</v>
      </c>
      <c r="J423" s="9">
        <f t="shared" si="250"/>
        <v>155902976</v>
      </c>
      <c r="K423" s="52"/>
      <c r="L423" s="9">
        <f t="shared" si="284"/>
        <v>0</v>
      </c>
      <c r="M423" s="9">
        <f t="shared" si="284"/>
        <v>0</v>
      </c>
      <c r="N423" s="29">
        <f t="shared" si="262"/>
        <v>1431563840</v>
      </c>
      <c r="O423" s="30">
        <f t="shared" si="263"/>
        <v>0.55955825182619789</v>
      </c>
      <c r="P423" s="30">
        <f t="shared" si="264"/>
        <v>1.1191165036523958</v>
      </c>
      <c r="Q423" s="29">
        <f t="shared" si="265"/>
        <v>10481.160247400001</v>
      </c>
      <c r="R423" s="30">
        <f t="shared" si="266"/>
        <v>7.2608848955063889</v>
      </c>
      <c r="S423" s="30">
        <f t="shared" si="267"/>
        <v>14.521769791012778</v>
      </c>
      <c r="T423" s="37">
        <f t="shared" si="268"/>
        <v>0.3399996750000005</v>
      </c>
      <c r="U423" s="30">
        <f t="shared" si="269"/>
        <v>2.757499301823628E-2</v>
      </c>
      <c r="V423" s="38">
        <f t="shared" si="270"/>
        <v>4.7107351598731263E-4</v>
      </c>
      <c r="W423" s="9">
        <f t="shared" si="278"/>
        <v>131460864</v>
      </c>
      <c r="X423" s="12">
        <f t="shared" si="278"/>
        <v>0</v>
      </c>
      <c r="Y423" s="11">
        <f t="shared" si="278"/>
        <v>0.52999973300000036</v>
      </c>
      <c r="Z423" s="7">
        <f t="shared" si="281"/>
        <v>445250432</v>
      </c>
      <c r="AA423" s="7">
        <f t="shared" si="281"/>
        <v>0</v>
      </c>
      <c r="AB423" s="7">
        <f t="shared" si="281"/>
        <v>3.9999962000000444E-2</v>
      </c>
    </row>
    <row r="424" spans="1:28" x14ac:dyDescent="0.25">
      <c r="A424" s="2">
        <v>420</v>
      </c>
      <c r="B424">
        <v>4</v>
      </c>
      <c r="C424">
        <v>4</v>
      </c>
      <c r="D424">
        <v>2</v>
      </c>
      <c r="E424">
        <v>6</v>
      </c>
      <c r="G424">
        <v>1868889728</v>
      </c>
      <c r="H424">
        <v>-9999.9902340000008</v>
      </c>
      <c r="I424">
        <v>4.4499998090000004</v>
      </c>
      <c r="J424" s="9">
        <f t="shared" si="250"/>
        <v>415468160</v>
      </c>
      <c r="K424" s="52">
        <f>AVERAGE(J419:J424)</f>
        <v>155632192</v>
      </c>
      <c r="L424" s="9">
        <f t="shared" si="284"/>
        <v>0</v>
      </c>
      <c r="M424" s="9">
        <f t="shared" si="284"/>
        <v>0</v>
      </c>
      <c r="N424" s="29">
        <f t="shared" si="262"/>
        <v>1173098048</v>
      </c>
      <c r="O424" s="30">
        <f t="shared" si="263"/>
        <v>0.56199677849937302</v>
      </c>
      <c r="P424" s="30">
        <f t="shared" si="264"/>
        <v>1.123993556998746</v>
      </c>
      <c r="Q424" s="29">
        <f t="shared" si="265"/>
        <v>10400.1702267</v>
      </c>
      <c r="R424" s="30">
        <f t="shared" si="266"/>
        <v>8.662910370681308</v>
      </c>
      <c r="S424" s="30">
        <f t="shared" si="267"/>
        <v>17.325820741362616</v>
      </c>
      <c r="T424" s="37">
        <f t="shared" si="268"/>
        <v>0.3399996750000005</v>
      </c>
      <c r="U424" s="30">
        <f t="shared" si="269"/>
        <v>2.757499301823628E-2</v>
      </c>
      <c r="V424" s="38">
        <f t="shared" si="270"/>
        <v>5.6641125027438266E-4</v>
      </c>
      <c r="W424" s="9">
        <f t="shared" si="278"/>
        <v>105795584</v>
      </c>
      <c r="X424" s="12">
        <f t="shared" si="278"/>
        <v>10898.400207100001</v>
      </c>
      <c r="Y424" s="11">
        <f t="shared" si="278"/>
        <v>0.52999973300000036</v>
      </c>
      <c r="Z424" s="7">
        <f t="shared" si="281"/>
        <v>365162880</v>
      </c>
      <c r="AA424" s="7">
        <f t="shared" si="281"/>
        <v>0</v>
      </c>
      <c r="AB424" s="7">
        <f t="shared" si="281"/>
        <v>3.9999962000000444E-2</v>
      </c>
    </row>
    <row r="425" spans="1:28" x14ac:dyDescent="0.25">
      <c r="A425" s="2"/>
      <c r="N425" s="29"/>
      <c r="O425" s="31"/>
      <c r="P425" s="31"/>
      <c r="Q425" s="29"/>
      <c r="R425" s="31"/>
      <c r="S425" s="31"/>
      <c r="T425" s="37"/>
      <c r="U425" s="31"/>
      <c r="V425" s="32"/>
      <c r="X425" s="12"/>
      <c r="Y425" s="11"/>
      <c r="Z425" s="7"/>
      <c r="AA425" s="7"/>
      <c r="AB425" s="7"/>
    </row>
    <row r="426" spans="1:28" x14ac:dyDescent="0.25">
      <c r="A426" s="2"/>
      <c r="N426" s="29"/>
      <c r="O426" s="31"/>
      <c r="P426" s="31"/>
      <c r="Q426" s="29"/>
      <c r="R426" s="31"/>
      <c r="S426" s="31"/>
      <c r="T426" s="37"/>
      <c r="U426" s="31"/>
      <c r="V426" s="32"/>
      <c r="X426" s="12"/>
      <c r="Y426" s="11"/>
      <c r="Z426" s="7"/>
      <c r="AA426" s="7"/>
      <c r="AB426" s="7"/>
    </row>
    <row r="427" spans="1:28" ht="15.75" thickBot="1" x14ac:dyDescent="0.3">
      <c r="D427" s="48" t="s">
        <v>17</v>
      </c>
      <c r="E427" s="48"/>
      <c r="F427" s="48"/>
      <c r="G427" s="48"/>
      <c r="H427" s="48"/>
      <c r="I427" s="48"/>
      <c r="J427" s="14">
        <f>AVERAGE(J6:J424)</f>
        <v>32105979.965944443</v>
      </c>
      <c r="K427" s="14">
        <f>AVERAGE(K6:K424)</f>
        <v>32105979.965944443</v>
      </c>
      <c r="L427" s="15">
        <f>ROUND(AVERAGE(L6:L424),0)</f>
        <v>128</v>
      </c>
      <c r="M427" s="15">
        <f>ROUND(AVERAGE(M6:M424),0)</f>
        <v>0</v>
      </c>
      <c r="N427" s="33">
        <f t="shared" ref="N427:V427" si="285">AVERAGE(N5:N424)</f>
        <v>719368085.33900714</v>
      </c>
      <c r="O427" s="17">
        <f>AVERAGE(O5:O424)</f>
        <v>2.0863445154493516</v>
      </c>
      <c r="P427" s="17">
        <f t="shared" si="285"/>
        <v>2.6021247436644264</v>
      </c>
      <c r="Q427" s="33">
        <f t="shared" si="285"/>
        <v>2372.6356199716902</v>
      </c>
      <c r="R427" s="17">
        <f t="shared" si="285"/>
        <v>1.5835864638239574</v>
      </c>
      <c r="S427" s="17">
        <f t="shared" si="285"/>
        <v>2.9918071563963133</v>
      </c>
      <c r="T427" s="39">
        <f t="shared" si="285"/>
        <v>0.26721550016707019</v>
      </c>
      <c r="U427" s="17">
        <f t="shared" si="285"/>
        <v>2.6111408950938785E-2</v>
      </c>
      <c r="V427" s="34">
        <f t="shared" si="285"/>
        <v>1.3542841869362472E-3</v>
      </c>
      <c r="W427" s="14">
        <f>AVERAGE(W6:W424)</f>
        <v>243667125.52037594</v>
      </c>
      <c r="X427" s="14">
        <f t="shared" ref="X427:Y427" si="286">AVERAGE(X6:X424)</f>
        <v>1354.3258929998597</v>
      </c>
      <c r="Y427" s="18">
        <f t="shared" si="286"/>
        <v>0.63609023561654254</v>
      </c>
      <c r="Z427" s="16">
        <f>AVERAGE(Z5:Z424)</f>
        <v>129419978.29444444</v>
      </c>
      <c r="AA427" s="16">
        <f>AVERAGE(AA5:AA424)</f>
        <v>81.931588692012738</v>
      </c>
      <c r="AB427" s="17">
        <f>AVERAGE(AB5:AB424)</f>
        <v>1.6857152463492019E-2</v>
      </c>
    </row>
    <row r="428" spans="1:28" ht="15.75" thickTop="1" x14ac:dyDescent="0.25">
      <c r="J428" s="13"/>
      <c r="K428" s="13"/>
      <c r="L428" s="13"/>
      <c r="M428" s="13"/>
      <c r="N428" s="35" t="s">
        <v>25</v>
      </c>
      <c r="O428" s="53">
        <f>MEDIAN(O5:O424)</f>
        <v>0.85713310561060541</v>
      </c>
      <c r="P428" s="53">
        <f t="shared" ref="P428:AB428" si="287">MEDIAN(P5:P424)</f>
        <v>1.3339110315673735</v>
      </c>
      <c r="Q428" s="53">
        <f t="shared" si="287"/>
        <v>198.64000699999997</v>
      </c>
      <c r="R428" s="53">
        <f t="shared" si="287"/>
        <v>0.56322577698924725</v>
      </c>
      <c r="S428" s="53">
        <f t="shared" si="287"/>
        <v>0.96113970464667975</v>
      </c>
      <c r="T428" s="53">
        <f t="shared" si="287"/>
        <v>0.14999985700000007</v>
      </c>
      <c r="U428" s="53">
        <f t="shared" si="287"/>
        <v>1.6877655382863333E-2</v>
      </c>
      <c r="V428" s="53">
        <f t="shared" si="287"/>
        <v>8.1178056896858428E-4</v>
      </c>
      <c r="W428" s="53">
        <f t="shared" si="287"/>
        <v>116468096</v>
      </c>
      <c r="X428" s="53">
        <f t="shared" si="287"/>
        <v>81.08000183</v>
      </c>
      <c r="Y428" s="53">
        <f t="shared" si="287"/>
        <v>0.55000019</v>
      </c>
      <c r="Z428" s="53">
        <f t="shared" si="287"/>
        <v>70996864</v>
      </c>
      <c r="AA428" s="53">
        <f t="shared" si="287"/>
        <v>6.2700004599999986</v>
      </c>
      <c r="AB428" s="53">
        <f t="shared" si="287"/>
        <v>9.9999909999999304E-3</v>
      </c>
    </row>
    <row r="429" spans="1:28" x14ac:dyDescent="0.25">
      <c r="J429" s="13"/>
      <c r="K429" s="13"/>
      <c r="L429" s="13"/>
      <c r="M429" s="13"/>
      <c r="N429" s="35" t="s">
        <v>26</v>
      </c>
      <c r="O429" s="53">
        <f>MIN(O5:O424)</f>
        <v>0.29459217328222581</v>
      </c>
      <c r="P429" s="53">
        <f t="shared" ref="P429:AB429" si="288">MIN(P5:P424)</f>
        <v>0.98197391094075259</v>
      </c>
      <c r="Q429" s="53">
        <f t="shared" si="288"/>
        <v>24.229998588999997</v>
      </c>
      <c r="R429" s="53">
        <f t="shared" si="288"/>
        <v>0.16480398589468118</v>
      </c>
      <c r="S429" s="53">
        <f t="shared" si="288"/>
        <v>0.44778370868554634</v>
      </c>
      <c r="T429" s="53">
        <f t="shared" si="288"/>
        <v>3.9999962E-2</v>
      </c>
      <c r="U429" s="53">
        <f t="shared" si="288"/>
        <v>4.2516966012426114E-3</v>
      </c>
      <c r="V429" s="53">
        <f t="shared" si="288"/>
        <v>5.5555557588890784E-6</v>
      </c>
      <c r="W429" s="53">
        <f t="shared" si="288"/>
        <v>186150</v>
      </c>
      <c r="X429" s="53">
        <f t="shared" si="288"/>
        <v>0</v>
      </c>
      <c r="Y429" s="53">
        <f t="shared" si="288"/>
        <v>0</v>
      </c>
      <c r="Z429" s="53">
        <f t="shared" si="288"/>
        <v>2096394.5</v>
      </c>
      <c r="AA429" s="53">
        <f t="shared" si="288"/>
        <v>0</v>
      </c>
      <c r="AB429" s="53">
        <f t="shared" si="288"/>
        <v>0</v>
      </c>
    </row>
    <row r="430" spans="1:28" x14ac:dyDescent="0.25">
      <c r="J430" s="13"/>
      <c r="K430" s="13"/>
      <c r="L430" s="13"/>
      <c r="M430" s="13"/>
      <c r="N430" s="35" t="s">
        <v>27</v>
      </c>
      <c r="O430" s="53">
        <f>MAX(O5:O424)</f>
        <v>60.067461547245777</v>
      </c>
      <c r="P430" s="53">
        <f t="shared" ref="P430:AB430" si="289">MAX(P5:P424)</f>
        <v>60.067461547245777</v>
      </c>
      <c r="Q430" s="53">
        <f t="shared" si="289"/>
        <v>10565.020263300001</v>
      </c>
      <c r="R430" s="53">
        <f t="shared" si="289"/>
        <v>12.894399541078085</v>
      </c>
      <c r="S430" s="53">
        <f t="shared" si="289"/>
        <v>25.788799082156171</v>
      </c>
      <c r="T430" s="53">
        <f t="shared" si="289"/>
        <v>2.0699999330000001</v>
      </c>
      <c r="U430" s="53">
        <f t="shared" si="289"/>
        <v>0.15646258539805949</v>
      </c>
      <c r="V430" s="53">
        <f t="shared" si="289"/>
        <v>6.7503732488816189E-3</v>
      </c>
      <c r="W430" s="53">
        <f t="shared" si="289"/>
        <v>1378921728</v>
      </c>
      <c r="X430" s="53">
        <f t="shared" si="289"/>
        <v>10898.400207100001</v>
      </c>
      <c r="Y430" s="53">
        <f t="shared" si="289"/>
        <v>1.8399999139999998</v>
      </c>
      <c r="Z430" s="53">
        <f t="shared" si="289"/>
        <v>542103296</v>
      </c>
      <c r="AA430" s="53">
        <f t="shared" si="289"/>
        <v>10866.730224200001</v>
      </c>
      <c r="AB430" s="53">
        <f t="shared" si="289"/>
        <v>6.000018099999993E-2</v>
      </c>
    </row>
    <row r="431" spans="1:28" x14ac:dyDescent="0.25">
      <c r="J431" s="13"/>
      <c r="K431" s="13"/>
      <c r="L431" s="13"/>
      <c r="M431" s="13"/>
      <c r="N431" s="35"/>
      <c r="O431" s="13"/>
      <c r="P431" s="13"/>
      <c r="Q431" s="35"/>
      <c r="R431" s="13"/>
      <c r="S431" s="13"/>
      <c r="T431" s="35"/>
      <c r="U431" s="13"/>
      <c r="V431" s="36"/>
      <c r="W431" s="13"/>
      <c r="X431" s="13"/>
      <c r="Y431" s="13"/>
      <c r="Z431" s="13"/>
      <c r="AA431" s="13"/>
      <c r="AB431" s="13"/>
    </row>
    <row r="432" spans="1:28" x14ac:dyDescent="0.25">
      <c r="J432" s="13"/>
      <c r="K432" s="13"/>
      <c r="L432" s="13"/>
      <c r="M432" s="13"/>
      <c r="N432" s="35"/>
      <c r="O432" s="13"/>
      <c r="P432" s="13"/>
      <c r="Q432" s="35"/>
      <c r="R432" s="13"/>
      <c r="S432" s="13"/>
      <c r="T432" s="35"/>
      <c r="U432" s="13"/>
      <c r="V432" s="36"/>
      <c r="W432" s="13"/>
      <c r="X432" s="13"/>
      <c r="Y432" s="13"/>
      <c r="Z432" s="13"/>
      <c r="AA432" s="13"/>
      <c r="AB432" s="13"/>
    </row>
    <row r="433" spans="10:28" x14ac:dyDescent="0.25">
      <c r="J433" s="13"/>
      <c r="K433" s="13"/>
      <c r="L433" s="13"/>
      <c r="M433" s="13"/>
      <c r="N433" s="35"/>
      <c r="O433" s="13"/>
      <c r="P433" s="13"/>
      <c r="Q433" s="35"/>
      <c r="R433" s="13"/>
      <c r="S433" s="13"/>
      <c r="T433" s="35"/>
      <c r="U433" s="13"/>
      <c r="V433" s="36"/>
      <c r="W433" s="13"/>
      <c r="X433" s="13"/>
      <c r="Y433" s="13"/>
      <c r="Z433" s="13"/>
      <c r="AA433" s="13"/>
      <c r="AB433" s="13"/>
    </row>
    <row r="434" spans="10:28" x14ac:dyDescent="0.25">
      <c r="J434" s="13"/>
      <c r="K434" s="13"/>
      <c r="L434" s="13"/>
      <c r="M434" s="13"/>
      <c r="N434" s="35"/>
      <c r="O434" s="13"/>
      <c r="P434" s="13"/>
      <c r="Q434" s="35"/>
      <c r="R434" s="13"/>
      <c r="S434" s="13"/>
      <c r="T434" s="35"/>
      <c r="U434" s="13"/>
      <c r="V434" s="36"/>
      <c r="W434" s="13"/>
      <c r="X434" s="13"/>
      <c r="Y434" s="13"/>
      <c r="Z434" s="13"/>
      <c r="AA434" s="13"/>
      <c r="AB434" s="13"/>
    </row>
    <row r="435" spans="10:28" x14ac:dyDescent="0.25">
      <c r="J435" s="13"/>
      <c r="K435" s="13"/>
      <c r="L435" s="13"/>
      <c r="M435" s="13"/>
      <c r="N435" s="35"/>
      <c r="O435" s="13"/>
      <c r="P435" s="13"/>
      <c r="Q435" s="35"/>
      <c r="R435" s="13"/>
      <c r="S435" s="13"/>
      <c r="T435" s="35"/>
      <c r="U435" s="13"/>
      <c r="V435" s="36"/>
      <c r="W435" s="13"/>
      <c r="X435" s="13"/>
      <c r="Y435" s="13"/>
      <c r="Z435" s="13"/>
      <c r="AA435" s="13"/>
      <c r="AB435" s="13"/>
    </row>
    <row r="436" spans="10:28" x14ac:dyDescent="0.25">
      <c r="J436" s="13"/>
      <c r="K436" s="13"/>
      <c r="L436" s="13"/>
      <c r="M436" s="13"/>
      <c r="N436" s="35"/>
      <c r="O436" s="13"/>
      <c r="P436" s="13"/>
      <c r="Q436" s="35"/>
      <c r="R436" s="13"/>
      <c r="S436" s="13"/>
      <c r="T436" s="35"/>
      <c r="U436" s="13"/>
      <c r="V436" s="36"/>
      <c r="W436" s="13"/>
      <c r="X436" s="13"/>
      <c r="Y436" s="13"/>
      <c r="Z436" s="13"/>
      <c r="AA436" s="13"/>
      <c r="AB436" s="13"/>
    </row>
    <row r="437" spans="10:28" x14ac:dyDescent="0.25">
      <c r="J437" s="13"/>
      <c r="K437" s="13"/>
      <c r="L437" s="13"/>
      <c r="M437" s="13"/>
      <c r="N437" s="35"/>
      <c r="O437" s="13"/>
      <c r="P437" s="13"/>
      <c r="Q437" s="35"/>
      <c r="R437" s="13"/>
      <c r="S437" s="13"/>
      <c r="T437" s="35"/>
      <c r="U437" s="13"/>
      <c r="V437" s="36"/>
      <c r="W437" s="13"/>
      <c r="X437" s="13"/>
      <c r="Y437" s="13"/>
      <c r="Z437" s="13"/>
      <c r="AA437" s="13"/>
      <c r="AB437" s="13"/>
    </row>
    <row r="438" spans="10:28" x14ac:dyDescent="0.25">
      <c r="J438" s="13"/>
      <c r="K438" s="13"/>
      <c r="L438" s="13"/>
      <c r="M438" s="13"/>
      <c r="N438" s="35"/>
      <c r="O438" s="13"/>
      <c r="P438" s="13"/>
      <c r="Q438" s="35"/>
      <c r="R438" s="13"/>
      <c r="S438" s="13"/>
      <c r="T438" s="35"/>
      <c r="U438" s="13"/>
      <c r="V438" s="36"/>
      <c r="W438" s="13"/>
      <c r="X438" s="13"/>
      <c r="Y438" s="13"/>
      <c r="Z438" s="13"/>
      <c r="AA438" s="13"/>
      <c r="AB438" s="13"/>
    </row>
    <row r="439" spans="10:28" x14ac:dyDescent="0.25">
      <c r="J439" s="13"/>
      <c r="K439" s="13"/>
      <c r="L439" s="13"/>
      <c r="M439" s="13"/>
      <c r="N439" s="35"/>
      <c r="O439" s="13"/>
      <c r="P439" s="13"/>
      <c r="Q439" s="35"/>
      <c r="R439" s="13"/>
      <c r="S439" s="13"/>
      <c r="T439" s="35"/>
      <c r="U439" s="13"/>
      <c r="V439" s="36"/>
      <c r="W439" s="13"/>
      <c r="X439" s="13"/>
      <c r="Y439" s="13"/>
      <c r="Z439" s="13"/>
      <c r="AA439" s="13"/>
      <c r="AB439" s="13"/>
    </row>
    <row r="440" spans="10:28" x14ac:dyDescent="0.25">
      <c r="J440" s="13"/>
      <c r="K440" s="13"/>
      <c r="L440" s="13"/>
      <c r="M440" s="13"/>
      <c r="N440" s="35"/>
      <c r="O440" s="13"/>
      <c r="P440" s="13"/>
      <c r="Q440" s="35"/>
      <c r="R440" s="13"/>
      <c r="S440" s="13"/>
      <c r="T440" s="35"/>
      <c r="U440" s="13"/>
      <c r="V440" s="36"/>
      <c r="W440" s="13"/>
      <c r="X440" s="13"/>
      <c r="Y440" s="13"/>
      <c r="Z440" s="13"/>
      <c r="AA440" s="13"/>
      <c r="AB440" s="13"/>
    </row>
    <row r="441" spans="10:28" x14ac:dyDescent="0.25">
      <c r="J441" s="13"/>
      <c r="K441" s="13"/>
      <c r="L441" s="13"/>
      <c r="M441" s="13"/>
      <c r="N441" s="35"/>
      <c r="O441" s="13"/>
      <c r="P441" s="13"/>
      <c r="Q441" s="35"/>
      <c r="R441" s="13"/>
      <c r="S441" s="13"/>
      <c r="T441" s="35"/>
      <c r="U441" s="13"/>
      <c r="V441" s="36"/>
      <c r="W441" s="13"/>
      <c r="X441" s="13"/>
      <c r="Y441" s="13"/>
      <c r="Z441" s="13"/>
      <c r="AA441" s="13"/>
      <c r="AB441" s="13"/>
    </row>
    <row r="442" spans="10:28" x14ac:dyDescent="0.25">
      <c r="J442" s="13"/>
      <c r="K442" s="13"/>
      <c r="L442" s="13"/>
      <c r="M442" s="13"/>
      <c r="N442" s="35"/>
      <c r="O442" s="13"/>
      <c r="P442" s="13"/>
      <c r="Q442" s="35"/>
      <c r="R442" s="13"/>
      <c r="S442" s="13"/>
      <c r="T442" s="35"/>
      <c r="U442" s="13"/>
      <c r="V442" s="36"/>
      <c r="W442" s="13"/>
      <c r="X442" s="13"/>
      <c r="Y442" s="13"/>
      <c r="Z442" s="13"/>
      <c r="AA442" s="13"/>
      <c r="AB442" s="13"/>
    </row>
    <row r="443" spans="10:28" x14ac:dyDescent="0.25">
      <c r="J443" s="13"/>
      <c r="K443" s="13"/>
      <c r="L443" s="13"/>
      <c r="M443" s="13"/>
      <c r="N443" s="35"/>
      <c r="O443" s="13"/>
      <c r="P443" s="13"/>
      <c r="Q443" s="35"/>
      <c r="R443" s="13"/>
      <c r="S443" s="13"/>
      <c r="T443" s="35"/>
      <c r="U443" s="13"/>
      <c r="V443" s="36"/>
      <c r="W443" s="13"/>
      <c r="X443" s="13"/>
      <c r="Y443" s="13"/>
      <c r="Z443" s="13"/>
      <c r="AA443" s="13"/>
      <c r="AB443" s="13"/>
    </row>
    <row r="444" spans="10:28" x14ac:dyDescent="0.25">
      <c r="J444" s="13"/>
      <c r="K444" s="13"/>
      <c r="L444" s="13"/>
      <c r="M444" s="13"/>
      <c r="N444" s="35"/>
      <c r="O444" s="13"/>
      <c r="P444" s="13"/>
      <c r="Q444" s="35"/>
      <c r="R444" s="13"/>
      <c r="S444" s="13"/>
      <c r="T444" s="35"/>
      <c r="U444" s="13"/>
      <c r="V444" s="36"/>
      <c r="W444" s="13"/>
      <c r="X444" s="13"/>
      <c r="Y444" s="13"/>
      <c r="Z444" s="13"/>
      <c r="AA444" s="13"/>
      <c r="AB444" s="13"/>
    </row>
    <row r="445" spans="10:28" x14ac:dyDescent="0.25">
      <c r="J445" s="13"/>
      <c r="K445" s="13"/>
      <c r="L445" s="13"/>
      <c r="M445" s="13"/>
      <c r="N445" s="35"/>
      <c r="O445" s="13"/>
      <c r="P445" s="13"/>
      <c r="Q445" s="35"/>
      <c r="R445" s="13"/>
      <c r="S445" s="13"/>
      <c r="T445" s="35"/>
      <c r="U445" s="13"/>
      <c r="V445" s="36"/>
      <c r="W445" s="13"/>
      <c r="X445" s="13"/>
      <c r="Y445" s="13"/>
      <c r="Z445" s="13"/>
      <c r="AA445" s="13"/>
      <c r="AB445" s="13"/>
    </row>
    <row r="446" spans="10:28" x14ac:dyDescent="0.25">
      <c r="J446" s="13"/>
      <c r="K446" s="13"/>
      <c r="L446" s="13"/>
      <c r="M446" s="13"/>
      <c r="N446" s="35"/>
      <c r="O446" s="13"/>
      <c r="P446" s="13"/>
      <c r="Q446" s="35"/>
      <c r="R446" s="13"/>
      <c r="S446" s="13"/>
      <c r="T446" s="35"/>
      <c r="U446" s="13"/>
      <c r="V446" s="36"/>
      <c r="W446" s="13"/>
      <c r="X446" s="13"/>
      <c r="Y446" s="13"/>
      <c r="Z446" s="13"/>
      <c r="AA446" s="13"/>
      <c r="AB446" s="13"/>
    </row>
    <row r="447" spans="10:28" x14ac:dyDescent="0.25">
      <c r="J447" s="13"/>
      <c r="K447" s="13"/>
      <c r="L447" s="13"/>
      <c r="M447" s="13"/>
      <c r="N447" s="35"/>
      <c r="O447" s="13"/>
      <c r="P447" s="13"/>
      <c r="Q447" s="35"/>
      <c r="R447" s="13"/>
      <c r="S447" s="13"/>
      <c r="T447" s="35"/>
      <c r="U447" s="13"/>
      <c r="V447" s="36"/>
      <c r="W447" s="13"/>
      <c r="X447" s="13"/>
      <c r="Y447" s="13"/>
      <c r="Z447" s="13"/>
      <c r="AA447" s="13"/>
      <c r="AB447" s="13"/>
    </row>
    <row r="448" spans="10:28" x14ac:dyDescent="0.25">
      <c r="J448" s="13"/>
      <c r="K448" s="13"/>
      <c r="L448" s="13"/>
      <c r="M448" s="13"/>
      <c r="N448" s="35"/>
      <c r="O448" s="13"/>
      <c r="P448" s="13"/>
      <c r="Q448" s="35"/>
      <c r="R448" s="13"/>
      <c r="S448" s="13"/>
      <c r="T448" s="35"/>
      <c r="U448" s="13"/>
      <c r="V448" s="36"/>
      <c r="W448" s="13"/>
      <c r="X448" s="13"/>
      <c r="Y448" s="13"/>
      <c r="Z448" s="13"/>
      <c r="AA448" s="13"/>
      <c r="AB448" s="13"/>
    </row>
    <row r="449" spans="10:28" x14ac:dyDescent="0.25">
      <c r="J449" s="13"/>
      <c r="K449" s="13"/>
      <c r="L449" s="13"/>
      <c r="M449" s="13"/>
      <c r="N449" s="35"/>
      <c r="O449" s="13"/>
      <c r="P449" s="13"/>
      <c r="Q449" s="35"/>
      <c r="R449" s="13"/>
      <c r="S449" s="13"/>
      <c r="T449" s="35"/>
      <c r="U449" s="13"/>
      <c r="V449" s="36"/>
      <c r="W449" s="13"/>
      <c r="X449" s="13"/>
      <c r="Y449" s="13"/>
      <c r="Z449" s="13"/>
      <c r="AA449" s="13"/>
      <c r="AB449" s="13"/>
    </row>
    <row r="450" spans="10:28" x14ac:dyDescent="0.25">
      <c r="J450" s="13"/>
      <c r="K450" s="13"/>
      <c r="L450" s="13"/>
      <c r="M450" s="13"/>
      <c r="N450" s="35"/>
      <c r="O450" s="13"/>
      <c r="P450" s="13"/>
      <c r="Q450" s="35"/>
      <c r="R450" s="13"/>
      <c r="S450" s="13"/>
      <c r="T450" s="35"/>
      <c r="U450" s="13"/>
      <c r="V450" s="36"/>
      <c r="W450" s="13"/>
      <c r="X450" s="13"/>
      <c r="Y450" s="13"/>
      <c r="Z450" s="13"/>
      <c r="AA450" s="13"/>
      <c r="AB450" s="13"/>
    </row>
    <row r="451" spans="10:28" x14ac:dyDescent="0.25">
      <c r="J451" s="13"/>
      <c r="K451" s="13"/>
      <c r="L451" s="13"/>
      <c r="M451" s="13"/>
      <c r="N451" s="35"/>
      <c r="O451" s="13"/>
      <c r="P451" s="13"/>
      <c r="Q451" s="35"/>
      <c r="R451" s="13"/>
      <c r="S451" s="13"/>
      <c r="T451" s="35"/>
      <c r="U451" s="13"/>
      <c r="V451" s="36"/>
      <c r="W451" s="13"/>
      <c r="X451" s="13"/>
      <c r="Y451" s="13"/>
      <c r="Z451" s="13"/>
      <c r="AA451" s="13"/>
      <c r="AB451" s="13"/>
    </row>
    <row r="452" spans="10:28" x14ac:dyDescent="0.25">
      <c r="J452" s="13"/>
      <c r="K452" s="13"/>
      <c r="L452" s="13"/>
      <c r="M452" s="13"/>
      <c r="N452" s="35"/>
      <c r="O452" s="13"/>
      <c r="P452" s="13"/>
      <c r="Q452" s="35"/>
      <c r="R452" s="13"/>
      <c r="S452" s="13"/>
      <c r="T452" s="35"/>
      <c r="U452" s="13"/>
      <c r="V452" s="36"/>
      <c r="W452" s="13"/>
      <c r="X452" s="13"/>
      <c r="Y452" s="13"/>
      <c r="Z452" s="13"/>
      <c r="AA452" s="13"/>
      <c r="AB452" s="13"/>
    </row>
    <row r="453" spans="10:28" x14ac:dyDescent="0.25">
      <c r="J453" s="13"/>
      <c r="K453" s="13"/>
      <c r="L453" s="13"/>
      <c r="M453" s="13"/>
      <c r="N453" s="35"/>
      <c r="O453" s="13"/>
      <c r="P453" s="13"/>
      <c r="Q453" s="35"/>
      <c r="R453" s="13"/>
      <c r="S453" s="13"/>
      <c r="T453" s="35"/>
      <c r="U453" s="13"/>
      <c r="V453" s="36"/>
      <c r="W453" s="13"/>
      <c r="X453" s="13"/>
      <c r="Y453" s="13"/>
      <c r="Z453" s="13"/>
      <c r="AA453" s="13"/>
      <c r="AB453" s="13"/>
    </row>
    <row r="454" spans="10:28" x14ac:dyDescent="0.25">
      <c r="J454" s="13"/>
      <c r="K454" s="13"/>
      <c r="L454" s="13"/>
      <c r="M454" s="13"/>
      <c r="N454" s="35"/>
      <c r="O454" s="13"/>
      <c r="P454" s="13"/>
      <c r="Q454" s="35"/>
      <c r="R454" s="13"/>
      <c r="S454" s="13"/>
      <c r="T454" s="35"/>
      <c r="U454" s="13"/>
      <c r="V454" s="36"/>
      <c r="W454" s="13"/>
      <c r="X454" s="13"/>
      <c r="Y454" s="13"/>
      <c r="Z454" s="13"/>
      <c r="AA454" s="13"/>
      <c r="AB454" s="13"/>
    </row>
    <row r="455" spans="10:28" x14ac:dyDescent="0.25">
      <c r="J455" s="13"/>
      <c r="K455" s="13"/>
      <c r="L455" s="13"/>
      <c r="M455" s="13"/>
      <c r="N455" s="35"/>
      <c r="O455" s="13"/>
      <c r="P455" s="13"/>
      <c r="Q455" s="35"/>
      <c r="R455" s="13"/>
      <c r="S455" s="13"/>
      <c r="T455" s="35"/>
      <c r="U455" s="13"/>
      <c r="V455" s="36"/>
      <c r="W455" s="13"/>
      <c r="X455" s="13"/>
      <c r="Y455" s="13"/>
      <c r="Z455" s="13"/>
      <c r="AA455" s="13"/>
      <c r="AB455" s="13"/>
    </row>
    <row r="456" spans="10:28" x14ac:dyDescent="0.25">
      <c r="J456" s="13"/>
      <c r="K456" s="13"/>
      <c r="L456" s="13"/>
      <c r="M456" s="13"/>
      <c r="N456" s="35"/>
      <c r="O456" s="13"/>
      <c r="P456" s="13"/>
      <c r="Q456" s="35"/>
      <c r="R456" s="13"/>
      <c r="S456" s="13"/>
      <c r="T456" s="35"/>
      <c r="U456" s="13"/>
      <c r="V456" s="36"/>
      <c r="W456" s="13"/>
      <c r="X456" s="13"/>
      <c r="Y456" s="13"/>
      <c r="Z456" s="13"/>
      <c r="AA456" s="13"/>
      <c r="AB456" s="13"/>
    </row>
    <row r="457" spans="10:28" x14ac:dyDescent="0.25">
      <c r="J457" s="13"/>
      <c r="K457" s="13"/>
      <c r="L457" s="13"/>
      <c r="M457" s="13"/>
      <c r="N457" s="35"/>
      <c r="O457" s="13"/>
      <c r="P457" s="13"/>
      <c r="Q457" s="35"/>
      <c r="R457" s="13"/>
      <c r="S457" s="13"/>
      <c r="T457" s="35"/>
      <c r="U457" s="13"/>
      <c r="V457" s="36"/>
      <c r="W457" s="13"/>
      <c r="X457" s="13"/>
      <c r="Y457" s="13"/>
      <c r="Z457" s="13"/>
      <c r="AA457" s="13"/>
      <c r="AB457" s="13"/>
    </row>
    <row r="458" spans="10:28" x14ac:dyDescent="0.25">
      <c r="J458" s="13"/>
      <c r="K458" s="13"/>
      <c r="L458" s="13"/>
      <c r="M458" s="13"/>
      <c r="N458" s="35"/>
      <c r="O458" s="13"/>
      <c r="P458" s="13"/>
      <c r="Q458" s="35"/>
      <c r="R458" s="13"/>
      <c r="S458" s="13"/>
      <c r="T458" s="35"/>
      <c r="U458" s="13"/>
      <c r="V458" s="36"/>
      <c r="W458" s="13"/>
      <c r="X458" s="13"/>
      <c r="Y458" s="13"/>
      <c r="Z458" s="13"/>
      <c r="AA458" s="13"/>
      <c r="AB458" s="13"/>
    </row>
    <row r="459" spans="10:28" x14ac:dyDescent="0.25">
      <c r="J459" s="13"/>
      <c r="K459" s="13"/>
      <c r="L459" s="13"/>
      <c r="M459" s="13"/>
      <c r="N459" s="35"/>
      <c r="O459" s="13"/>
      <c r="P459" s="13"/>
      <c r="Q459" s="35"/>
      <c r="R459" s="13"/>
      <c r="S459" s="13"/>
      <c r="T459" s="35"/>
      <c r="U459" s="13"/>
      <c r="V459" s="36"/>
      <c r="W459" s="13"/>
      <c r="X459" s="13"/>
      <c r="Y459" s="13"/>
      <c r="Z459" s="13"/>
      <c r="AA459" s="13"/>
      <c r="AB459" s="13"/>
    </row>
    <row r="460" spans="10:28" x14ac:dyDescent="0.25">
      <c r="J460" s="13"/>
      <c r="K460" s="13"/>
      <c r="L460" s="13"/>
      <c r="M460" s="13"/>
      <c r="N460" s="35"/>
      <c r="O460" s="13"/>
      <c r="P460" s="13"/>
      <c r="Q460" s="35"/>
      <c r="R460" s="13"/>
      <c r="S460" s="13"/>
      <c r="T460" s="35"/>
      <c r="U460" s="13"/>
      <c r="V460" s="36"/>
      <c r="W460" s="13"/>
      <c r="X460" s="13"/>
      <c r="Y460" s="13"/>
      <c r="Z460" s="13"/>
      <c r="AA460" s="13"/>
      <c r="AB460" s="13"/>
    </row>
    <row r="461" spans="10:28" x14ac:dyDescent="0.25">
      <c r="J461" s="13"/>
      <c r="K461" s="13"/>
      <c r="L461" s="13"/>
      <c r="M461" s="13"/>
      <c r="N461" s="35"/>
      <c r="O461" s="13"/>
      <c r="P461" s="13"/>
      <c r="Q461" s="35"/>
      <c r="R461" s="13"/>
      <c r="S461" s="13"/>
      <c r="T461" s="35"/>
      <c r="U461" s="13"/>
      <c r="V461" s="36"/>
      <c r="W461" s="13"/>
      <c r="X461" s="13"/>
      <c r="Y461" s="13"/>
      <c r="Z461" s="13"/>
      <c r="AA461" s="13"/>
      <c r="AB461" s="13"/>
    </row>
    <row r="462" spans="10:28" x14ac:dyDescent="0.25">
      <c r="J462" s="13"/>
      <c r="K462" s="13"/>
      <c r="L462" s="13"/>
      <c r="M462" s="13"/>
      <c r="N462" s="35"/>
      <c r="O462" s="13"/>
      <c r="P462" s="13"/>
      <c r="Q462" s="35"/>
      <c r="R462" s="13"/>
      <c r="S462" s="13"/>
      <c r="T462" s="35"/>
      <c r="U462" s="13"/>
      <c r="V462" s="36"/>
      <c r="W462" s="13"/>
      <c r="X462" s="13"/>
      <c r="Y462" s="13"/>
      <c r="Z462" s="13"/>
      <c r="AA462" s="13"/>
      <c r="AB462" s="13"/>
    </row>
    <row r="463" spans="10:28" x14ac:dyDescent="0.25">
      <c r="J463" s="13"/>
      <c r="K463" s="13"/>
      <c r="L463" s="13"/>
      <c r="M463" s="13"/>
      <c r="N463" s="35"/>
      <c r="O463" s="13"/>
      <c r="P463" s="13"/>
      <c r="Q463" s="35"/>
      <c r="R463" s="13"/>
      <c r="S463" s="13"/>
      <c r="T463" s="35"/>
      <c r="U463" s="13"/>
      <c r="V463" s="36"/>
      <c r="W463" s="13"/>
      <c r="X463" s="13"/>
      <c r="Y463" s="13"/>
      <c r="Z463" s="13"/>
      <c r="AA463" s="13"/>
      <c r="AB463" s="13"/>
    </row>
    <row r="464" spans="10:28" x14ac:dyDescent="0.25">
      <c r="J464" s="13"/>
      <c r="K464" s="13"/>
      <c r="L464" s="13"/>
      <c r="M464" s="13"/>
      <c r="N464" s="35"/>
      <c r="O464" s="13"/>
      <c r="P464" s="13"/>
      <c r="Q464" s="35"/>
      <c r="R464" s="13"/>
      <c r="S464" s="13"/>
      <c r="T464" s="35"/>
      <c r="U464" s="13"/>
      <c r="V464" s="36"/>
      <c r="W464" s="13"/>
      <c r="X464" s="13"/>
      <c r="Y464" s="13"/>
      <c r="Z464" s="13"/>
      <c r="AA464" s="13"/>
      <c r="AB464" s="13"/>
    </row>
    <row r="465" spans="10:28" x14ac:dyDescent="0.25">
      <c r="J465" s="13"/>
      <c r="K465" s="13"/>
      <c r="L465" s="13"/>
      <c r="M465" s="13"/>
      <c r="N465" s="35"/>
      <c r="O465" s="13"/>
      <c r="P465" s="13"/>
      <c r="Q465" s="35"/>
      <c r="R465" s="13"/>
      <c r="S465" s="13"/>
      <c r="T465" s="35"/>
      <c r="U465" s="13"/>
      <c r="V465" s="36"/>
      <c r="W465" s="13"/>
      <c r="X465" s="13"/>
      <c r="Y465" s="13"/>
      <c r="Z465" s="13"/>
      <c r="AA465" s="13"/>
      <c r="AB465" s="13"/>
    </row>
    <row r="466" spans="10:28" x14ac:dyDescent="0.25">
      <c r="J466" s="13"/>
      <c r="K466" s="13"/>
      <c r="L466" s="13"/>
      <c r="M466" s="13"/>
      <c r="N466" s="35"/>
      <c r="O466" s="13"/>
      <c r="P466" s="13"/>
      <c r="Q466" s="35"/>
      <c r="R466" s="13"/>
      <c r="S466" s="13"/>
      <c r="T466" s="35"/>
      <c r="U466" s="13"/>
      <c r="V466" s="36"/>
      <c r="W466" s="13"/>
      <c r="X466" s="13"/>
      <c r="Y466" s="13"/>
      <c r="Z466" s="13"/>
      <c r="AA466" s="13"/>
      <c r="AB466" s="13"/>
    </row>
    <row r="467" spans="10:28" x14ac:dyDescent="0.25">
      <c r="J467" s="13"/>
      <c r="K467" s="13"/>
      <c r="L467" s="13"/>
      <c r="M467" s="13"/>
      <c r="N467" s="35"/>
      <c r="O467" s="13"/>
      <c r="P467" s="13"/>
      <c r="Q467" s="35"/>
      <c r="R467" s="13"/>
      <c r="S467" s="13"/>
      <c r="T467" s="35"/>
      <c r="U467" s="13"/>
      <c r="V467" s="36"/>
      <c r="W467" s="13"/>
      <c r="X467" s="13"/>
      <c r="Y467" s="13"/>
      <c r="Z467" s="13"/>
      <c r="AA467" s="13"/>
      <c r="AB467" s="13"/>
    </row>
    <row r="468" spans="10:28" x14ac:dyDescent="0.25">
      <c r="J468" s="13"/>
      <c r="K468" s="13"/>
      <c r="L468" s="13"/>
      <c r="M468" s="13"/>
      <c r="N468" s="35"/>
      <c r="O468" s="13"/>
      <c r="P468" s="13"/>
      <c r="Q468" s="35"/>
      <c r="R468" s="13"/>
      <c r="S468" s="13"/>
      <c r="T468" s="35"/>
      <c r="U468" s="13"/>
      <c r="V468" s="36"/>
      <c r="W468" s="13"/>
      <c r="X468" s="13"/>
      <c r="Y468" s="13"/>
      <c r="Z468" s="13"/>
      <c r="AA468" s="13"/>
      <c r="AB468" s="13"/>
    </row>
    <row r="469" spans="10:28" x14ac:dyDescent="0.25">
      <c r="J469" s="13"/>
      <c r="K469" s="13"/>
      <c r="L469" s="13"/>
      <c r="M469" s="13"/>
      <c r="N469" s="35"/>
      <c r="O469" s="13"/>
      <c r="P469" s="13"/>
      <c r="Q469" s="35"/>
      <c r="R469" s="13"/>
      <c r="S469" s="13"/>
      <c r="T469" s="35"/>
      <c r="U469" s="13"/>
      <c r="V469" s="36"/>
      <c r="W469" s="13"/>
      <c r="X469" s="13"/>
      <c r="Y469" s="13"/>
      <c r="Z469" s="13"/>
      <c r="AA469" s="13"/>
      <c r="AB469" s="13"/>
    </row>
    <row r="470" spans="10:28" x14ac:dyDescent="0.25">
      <c r="J470" s="13"/>
      <c r="K470" s="13"/>
      <c r="L470" s="13"/>
      <c r="M470" s="13"/>
      <c r="N470" s="35"/>
      <c r="O470" s="13"/>
      <c r="P470" s="13"/>
      <c r="Q470" s="35"/>
      <c r="R470" s="13"/>
      <c r="S470" s="13"/>
      <c r="T470" s="35"/>
      <c r="U470" s="13"/>
      <c r="V470" s="36"/>
      <c r="W470" s="13"/>
      <c r="X470" s="13"/>
      <c r="Y470" s="13"/>
      <c r="Z470" s="13"/>
      <c r="AA470" s="13"/>
      <c r="AB470" s="13"/>
    </row>
    <row r="471" spans="10:28" x14ac:dyDescent="0.25">
      <c r="J471" s="13"/>
      <c r="K471" s="13"/>
      <c r="L471" s="13"/>
      <c r="M471" s="13"/>
      <c r="N471" s="35"/>
      <c r="O471" s="13"/>
      <c r="P471" s="13"/>
      <c r="Q471" s="35"/>
      <c r="R471" s="13"/>
      <c r="S471" s="13"/>
      <c r="T471" s="35"/>
      <c r="U471" s="13"/>
      <c r="V471" s="36"/>
      <c r="W471" s="13"/>
      <c r="X471" s="13"/>
      <c r="Y471" s="13"/>
      <c r="Z471" s="13"/>
      <c r="AA471" s="13"/>
      <c r="AB471" s="13"/>
    </row>
    <row r="472" spans="10:28" x14ac:dyDescent="0.25">
      <c r="J472" s="13"/>
      <c r="K472" s="13"/>
      <c r="L472" s="13"/>
      <c r="M472" s="13"/>
      <c r="N472" s="35"/>
      <c r="O472" s="13"/>
      <c r="P472" s="13"/>
      <c r="Q472" s="35"/>
      <c r="R472" s="13"/>
      <c r="S472" s="13"/>
      <c r="T472" s="35"/>
      <c r="U472" s="13"/>
      <c r="V472" s="36"/>
      <c r="W472" s="13"/>
      <c r="X472" s="13"/>
      <c r="Y472" s="13"/>
      <c r="Z472" s="13"/>
      <c r="AA472" s="13"/>
      <c r="AB472" s="13"/>
    </row>
    <row r="473" spans="10:28" x14ac:dyDescent="0.25">
      <c r="J473" s="13"/>
      <c r="K473" s="13"/>
      <c r="L473" s="13"/>
      <c r="M473" s="13"/>
      <c r="N473" s="35"/>
      <c r="O473" s="13"/>
      <c r="P473" s="13"/>
      <c r="Q473" s="35"/>
      <c r="R473" s="13"/>
      <c r="S473" s="13"/>
      <c r="T473" s="35"/>
      <c r="U473" s="13"/>
      <c r="V473" s="36"/>
      <c r="W473" s="13"/>
      <c r="X473" s="13"/>
      <c r="Y473" s="13"/>
      <c r="Z473" s="13"/>
      <c r="AA473" s="13"/>
      <c r="AB473" s="13"/>
    </row>
    <row r="474" spans="10:28" x14ac:dyDescent="0.25">
      <c r="J474" s="13"/>
      <c r="K474" s="13"/>
      <c r="L474" s="13"/>
      <c r="M474" s="13"/>
      <c r="N474" s="35"/>
      <c r="O474" s="13"/>
      <c r="P474" s="13"/>
      <c r="Q474" s="35"/>
      <c r="R474" s="13"/>
      <c r="S474" s="13"/>
      <c r="T474" s="35"/>
      <c r="U474" s="13"/>
      <c r="V474" s="36"/>
      <c r="W474" s="13"/>
      <c r="X474" s="13"/>
      <c r="Y474" s="13"/>
      <c r="Z474" s="13"/>
      <c r="AA474" s="13"/>
      <c r="AB474" s="13"/>
    </row>
    <row r="475" spans="10:28" x14ac:dyDescent="0.25">
      <c r="J475" s="13"/>
      <c r="K475" s="13"/>
      <c r="L475" s="13"/>
      <c r="M475" s="13"/>
      <c r="N475" s="35"/>
      <c r="O475" s="13"/>
      <c r="P475" s="13"/>
      <c r="Q475" s="35"/>
      <c r="R475" s="13"/>
      <c r="S475" s="13"/>
      <c r="T475" s="35"/>
      <c r="U475" s="13"/>
      <c r="V475" s="36"/>
      <c r="W475" s="13"/>
      <c r="X475" s="13"/>
      <c r="Y475" s="13"/>
      <c r="Z475" s="13"/>
      <c r="AA475" s="13"/>
      <c r="AB475" s="13"/>
    </row>
    <row r="476" spans="10:28" x14ac:dyDescent="0.25">
      <c r="J476" s="13"/>
      <c r="K476" s="13"/>
      <c r="L476" s="13"/>
      <c r="M476" s="13"/>
      <c r="N476" s="35"/>
      <c r="O476" s="13"/>
      <c r="P476" s="13"/>
      <c r="Q476" s="35"/>
      <c r="R476" s="13"/>
      <c r="S476" s="13"/>
      <c r="T476" s="35"/>
      <c r="U476" s="13"/>
      <c r="V476" s="36"/>
      <c r="W476" s="13"/>
      <c r="X476" s="13"/>
      <c r="Y476" s="13"/>
      <c r="Z476" s="13"/>
      <c r="AA476" s="13"/>
      <c r="AB476" s="13"/>
    </row>
    <row r="477" spans="10:28" x14ac:dyDescent="0.25">
      <c r="J477" s="13"/>
      <c r="K477" s="13"/>
      <c r="L477" s="13"/>
      <c r="M477" s="13"/>
      <c r="N477" s="35"/>
      <c r="O477" s="13"/>
      <c r="P477" s="13"/>
      <c r="Q477" s="35"/>
      <c r="R477" s="13"/>
      <c r="S477" s="13"/>
      <c r="T477" s="35"/>
      <c r="U477" s="13"/>
      <c r="V477" s="36"/>
      <c r="W477" s="13"/>
      <c r="X477" s="13"/>
      <c r="Y477" s="13"/>
      <c r="Z477" s="13"/>
      <c r="AA477" s="13"/>
      <c r="AB477" s="13"/>
    </row>
    <row r="478" spans="10:28" x14ac:dyDescent="0.25">
      <c r="J478" s="13"/>
      <c r="K478" s="13"/>
      <c r="L478" s="13"/>
      <c r="M478" s="13"/>
      <c r="N478" s="35"/>
      <c r="O478" s="13"/>
      <c r="P478" s="13"/>
      <c r="Q478" s="35"/>
      <c r="R478" s="13"/>
      <c r="S478" s="13"/>
      <c r="T478" s="35"/>
      <c r="U478" s="13"/>
      <c r="V478" s="36"/>
      <c r="W478" s="13"/>
      <c r="X478" s="13"/>
      <c r="Y478" s="13"/>
      <c r="Z478" s="13"/>
      <c r="AA478" s="13"/>
      <c r="AB478" s="13"/>
    </row>
    <row r="479" spans="10:28" x14ac:dyDescent="0.25">
      <c r="J479" s="13"/>
      <c r="K479" s="13"/>
      <c r="L479" s="13"/>
      <c r="M479" s="13"/>
      <c r="N479" s="35"/>
      <c r="O479" s="13"/>
      <c r="P479" s="13"/>
      <c r="Q479" s="35"/>
      <c r="R479" s="13"/>
      <c r="S479" s="13"/>
      <c r="T479" s="35"/>
      <c r="U479" s="13"/>
      <c r="V479" s="36"/>
      <c r="W479" s="13"/>
      <c r="X479" s="13"/>
      <c r="Y479" s="13"/>
      <c r="Z479" s="13"/>
      <c r="AA479" s="13"/>
      <c r="AB479" s="13"/>
    </row>
    <row r="480" spans="10:28" x14ac:dyDescent="0.25">
      <c r="J480" s="13"/>
      <c r="K480" s="13"/>
      <c r="L480" s="13"/>
      <c r="M480" s="13"/>
      <c r="N480" s="35"/>
      <c r="O480" s="13"/>
      <c r="P480" s="13"/>
      <c r="Q480" s="35"/>
      <c r="R480" s="13"/>
      <c r="S480" s="13"/>
      <c r="T480" s="35"/>
      <c r="U480" s="13"/>
      <c r="V480" s="36"/>
      <c r="W480" s="13"/>
      <c r="X480" s="13"/>
      <c r="Y480" s="13"/>
      <c r="Z480" s="13"/>
      <c r="AA480" s="13"/>
      <c r="AB480" s="13"/>
    </row>
    <row r="481" spans="10:28" x14ac:dyDescent="0.25">
      <c r="J481" s="13"/>
      <c r="K481" s="13"/>
      <c r="L481" s="13"/>
      <c r="M481" s="13"/>
      <c r="N481" s="35"/>
      <c r="O481" s="13"/>
      <c r="P481" s="13"/>
      <c r="Q481" s="35"/>
      <c r="R481" s="13"/>
      <c r="S481" s="13"/>
      <c r="T481" s="35"/>
      <c r="U481" s="13"/>
      <c r="V481" s="36"/>
      <c r="W481" s="13"/>
      <c r="X481" s="13"/>
      <c r="Y481" s="13"/>
      <c r="Z481" s="13"/>
      <c r="AA481" s="13"/>
      <c r="AB481" s="13"/>
    </row>
    <row r="482" spans="10:28" x14ac:dyDescent="0.25">
      <c r="J482" s="13"/>
      <c r="K482" s="13"/>
      <c r="L482" s="13"/>
      <c r="M482" s="13"/>
      <c r="N482" s="35"/>
      <c r="O482" s="13"/>
      <c r="P482" s="13"/>
      <c r="Q482" s="35"/>
      <c r="R482" s="13"/>
      <c r="S482" s="13"/>
      <c r="T482" s="35"/>
      <c r="U482" s="13"/>
      <c r="V482" s="36"/>
      <c r="W482" s="13"/>
      <c r="X482" s="13"/>
      <c r="Y482" s="13"/>
      <c r="Z482" s="13"/>
      <c r="AA482" s="13"/>
      <c r="AB482" s="13"/>
    </row>
    <row r="483" spans="10:28" x14ac:dyDescent="0.25">
      <c r="J483" s="13"/>
      <c r="K483" s="13"/>
      <c r="L483" s="13"/>
      <c r="M483" s="13"/>
      <c r="N483" s="35"/>
      <c r="O483" s="13"/>
      <c r="P483" s="13"/>
      <c r="Q483" s="35"/>
      <c r="R483" s="13"/>
      <c r="S483" s="13"/>
      <c r="T483" s="35"/>
      <c r="U483" s="13"/>
      <c r="V483" s="36"/>
      <c r="W483" s="13"/>
      <c r="X483" s="13"/>
      <c r="Y483" s="13"/>
      <c r="Z483" s="13"/>
      <c r="AA483" s="13"/>
      <c r="AB483" s="13"/>
    </row>
    <row r="484" spans="10:28" x14ac:dyDescent="0.25">
      <c r="J484" s="13"/>
      <c r="K484" s="13"/>
      <c r="L484" s="13"/>
      <c r="M484" s="13"/>
      <c r="N484" s="35"/>
      <c r="O484" s="13"/>
      <c r="P484" s="13"/>
      <c r="Q484" s="35"/>
      <c r="R484" s="13"/>
      <c r="S484" s="13"/>
      <c r="T484" s="35"/>
      <c r="U484" s="13"/>
      <c r="V484" s="36"/>
      <c r="W484" s="13"/>
      <c r="X484" s="13"/>
      <c r="Y484" s="13"/>
      <c r="Z484" s="13"/>
      <c r="AA484" s="13"/>
      <c r="AB484" s="13"/>
    </row>
    <row r="485" spans="10:28" x14ac:dyDescent="0.25">
      <c r="J485" s="13"/>
      <c r="K485" s="13"/>
      <c r="L485" s="13"/>
      <c r="M485" s="13"/>
      <c r="N485" s="35"/>
      <c r="O485" s="13"/>
      <c r="P485" s="13"/>
      <c r="Q485" s="35"/>
      <c r="R485" s="13"/>
      <c r="S485" s="13"/>
      <c r="T485" s="35"/>
      <c r="U485" s="13"/>
      <c r="V485" s="36"/>
      <c r="W485" s="13"/>
      <c r="X485" s="13"/>
      <c r="Y485" s="13"/>
      <c r="Z485" s="13"/>
      <c r="AA485" s="13"/>
      <c r="AB485" s="13"/>
    </row>
    <row r="486" spans="10:28" x14ac:dyDescent="0.25">
      <c r="J486" s="13"/>
      <c r="K486" s="13"/>
      <c r="L486" s="13"/>
      <c r="M486" s="13"/>
      <c r="N486" s="35"/>
      <c r="O486" s="13"/>
      <c r="P486" s="13"/>
      <c r="Q486" s="35"/>
      <c r="R486" s="13"/>
      <c r="S486" s="13"/>
      <c r="T486" s="35"/>
      <c r="U486" s="13"/>
      <c r="V486" s="36"/>
      <c r="W486" s="13"/>
      <c r="X486" s="13"/>
      <c r="Y486" s="13"/>
      <c r="Z486" s="13"/>
      <c r="AA486" s="13"/>
      <c r="AB486" s="13"/>
    </row>
    <row r="487" spans="10:28" x14ac:dyDescent="0.25">
      <c r="J487" s="13"/>
      <c r="K487" s="13"/>
      <c r="L487" s="13"/>
      <c r="M487" s="13"/>
      <c r="N487" s="35"/>
      <c r="O487" s="13"/>
      <c r="P487" s="13"/>
      <c r="Q487" s="35"/>
      <c r="R487" s="13"/>
      <c r="S487" s="13"/>
      <c r="T487" s="35"/>
      <c r="U487" s="13"/>
      <c r="V487" s="36"/>
      <c r="W487" s="13"/>
      <c r="X487" s="13"/>
      <c r="Y487" s="13"/>
      <c r="Z487" s="13"/>
      <c r="AA487" s="13"/>
      <c r="AB487" s="13"/>
    </row>
    <row r="488" spans="10:28" x14ac:dyDescent="0.25">
      <c r="J488" s="13"/>
      <c r="K488" s="13"/>
      <c r="L488" s="13"/>
      <c r="M488" s="13"/>
      <c r="N488" s="35"/>
      <c r="O488" s="13"/>
      <c r="P488" s="13"/>
      <c r="Q488" s="35"/>
      <c r="R488" s="13"/>
      <c r="S488" s="13"/>
      <c r="T488" s="35"/>
      <c r="U488" s="13"/>
      <c r="V488" s="36"/>
      <c r="W488" s="13"/>
      <c r="X488" s="13"/>
      <c r="Y488" s="13"/>
      <c r="Z488" s="13"/>
      <c r="AA488" s="13"/>
      <c r="AB488" s="13"/>
    </row>
    <row r="489" spans="10:28" x14ac:dyDescent="0.25">
      <c r="J489" s="13"/>
      <c r="K489" s="13"/>
      <c r="L489" s="13"/>
      <c r="M489" s="13"/>
      <c r="N489" s="35"/>
      <c r="O489" s="13"/>
      <c r="P489" s="13"/>
      <c r="Q489" s="35"/>
      <c r="R489" s="13"/>
      <c r="S489" s="13"/>
      <c r="T489" s="35"/>
      <c r="U489" s="13"/>
      <c r="V489" s="36"/>
      <c r="W489" s="13"/>
      <c r="X489" s="13"/>
      <c r="Y489" s="13"/>
      <c r="Z489" s="13"/>
      <c r="AA489" s="13"/>
      <c r="AB489" s="13"/>
    </row>
    <row r="490" spans="10:28" x14ac:dyDescent="0.25">
      <c r="J490" s="13"/>
      <c r="K490" s="13"/>
      <c r="L490" s="13"/>
      <c r="M490" s="13"/>
      <c r="N490" s="35"/>
      <c r="O490" s="13"/>
      <c r="P490" s="13"/>
      <c r="Q490" s="35"/>
      <c r="R490" s="13"/>
      <c r="S490" s="13"/>
      <c r="T490" s="35"/>
      <c r="U490" s="13"/>
      <c r="V490" s="36"/>
      <c r="W490" s="13"/>
      <c r="X490" s="13"/>
      <c r="Y490" s="13"/>
      <c r="Z490" s="13"/>
      <c r="AA490" s="13"/>
      <c r="AB490" s="13"/>
    </row>
    <row r="491" spans="10:28" x14ac:dyDescent="0.25">
      <c r="J491" s="13"/>
      <c r="K491" s="13"/>
      <c r="L491" s="13"/>
      <c r="M491" s="13"/>
      <c r="N491" s="35"/>
      <c r="O491" s="13"/>
      <c r="P491" s="13"/>
      <c r="Q491" s="35"/>
      <c r="R491" s="13"/>
      <c r="S491" s="13"/>
      <c r="T491" s="35"/>
      <c r="U491" s="13"/>
      <c r="V491" s="36"/>
      <c r="W491" s="13"/>
      <c r="X491" s="13"/>
      <c r="Y491" s="13"/>
      <c r="Z491" s="13"/>
      <c r="AA491" s="13"/>
      <c r="AB491" s="13"/>
    </row>
    <row r="492" spans="10:28" x14ac:dyDescent="0.25">
      <c r="J492" s="13"/>
      <c r="K492" s="13"/>
      <c r="L492" s="13"/>
      <c r="M492" s="13"/>
      <c r="N492" s="35"/>
      <c r="O492" s="13"/>
      <c r="P492" s="13"/>
      <c r="Q492" s="35"/>
      <c r="R492" s="13"/>
      <c r="S492" s="13"/>
      <c r="T492" s="35"/>
      <c r="U492" s="13"/>
      <c r="V492" s="36"/>
      <c r="W492" s="13"/>
      <c r="X492" s="13"/>
      <c r="Y492" s="13"/>
      <c r="Z492" s="13"/>
      <c r="AA492" s="13"/>
      <c r="AB492" s="13"/>
    </row>
    <row r="493" spans="10:28" x14ac:dyDescent="0.25">
      <c r="J493" s="13"/>
      <c r="K493" s="13"/>
      <c r="L493" s="13"/>
      <c r="M493" s="13"/>
      <c r="N493" s="35"/>
      <c r="O493" s="13"/>
      <c r="P493" s="13"/>
      <c r="Q493" s="35"/>
      <c r="R493" s="13"/>
      <c r="S493" s="13"/>
      <c r="T493" s="35"/>
      <c r="U493" s="13"/>
      <c r="V493" s="36"/>
      <c r="W493" s="13"/>
      <c r="X493" s="13"/>
      <c r="Y493" s="13"/>
      <c r="Z493" s="13"/>
      <c r="AA493" s="13"/>
      <c r="AB493" s="13"/>
    </row>
    <row r="494" spans="10:28" x14ac:dyDescent="0.25">
      <c r="J494" s="13"/>
      <c r="K494" s="13"/>
      <c r="L494" s="13"/>
      <c r="M494" s="13"/>
      <c r="N494" s="35"/>
      <c r="O494" s="13"/>
      <c r="P494" s="13"/>
      <c r="Q494" s="35"/>
      <c r="R494" s="13"/>
      <c r="S494" s="13"/>
      <c r="T494" s="35"/>
      <c r="U494" s="13"/>
      <c r="V494" s="36"/>
      <c r="W494" s="13"/>
      <c r="X494" s="13"/>
      <c r="Y494" s="13"/>
      <c r="Z494" s="13"/>
      <c r="AA494" s="13"/>
      <c r="AB494" s="13"/>
    </row>
    <row r="495" spans="10:28" x14ac:dyDescent="0.25">
      <c r="J495" s="13"/>
      <c r="K495" s="13"/>
      <c r="L495" s="13"/>
      <c r="M495" s="13"/>
      <c r="N495" s="35"/>
      <c r="O495" s="13"/>
      <c r="P495" s="13"/>
      <c r="Q495" s="35"/>
      <c r="R495" s="13"/>
      <c r="S495" s="13"/>
      <c r="T495" s="35"/>
      <c r="U495" s="13"/>
      <c r="V495" s="36"/>
      <c r="W495" s="13"/>
      <c r="X495" s="13"/>
      <c r="Y495" s="13"/>
      <c r="Z495" s="13"/>
      <c r="AA495" s="13"/>
      <c r="AB495" s="13"/>
    </row>
    <row r="496" spans="10:28" x14ac:dyDescent="0.25">
      <c r="J496" s="13"/>
      <c r="K496" s="13"/>
      <c r="L496" s="13"/>
      <c r="M496" s="13"/>
      <c r="N496" s="35"/>
      <c r="O496" s="13"/>
      <c r="P496" s="13"/>
      <c r="Q496" s="35"/>
      <c r="R496" s="13"/>
      <c r="S496" s="13"/>
      <c r="T496" s="35"/>
      <c r="U496" s="13"/>
      <c r="V496" s="36"/>
      <c r="W496" s="13"/>
      <c r="X496" s="13"/>
      <c r="Y496" s="13"/>
      <c r="Z496" s="13"/>
      <c r="AA496" s="13"/>
      <c r="AB496" s="13"/>
    </row>
    <row r="497" spans="10:28" x14ac:dyDescent="0.25">
      <c r="J497" s="13"/>
      <c r="K497" s="13"/>
      <c r="L497" s="13"/>
      <c r="M497" s="13"/>
      <c r="N497" s="35"/>
      <c r="O497" s="13"/>
      <c r="P497" s="13"/>
      <c r="Q497" s="35"/>
      <c r="R497" s="13"/>
      <c r="S497" s="13"/>
      <c r="T497" s="35"/>
      <c r="U497" s="13"/>
      <c r="V497" s="36"/>
      <c r="W497" s="13"/>
      <c r="X497" s="13"/>
      <c r="Y497" s="13"/>
      <c r="Z497" s="13"/>
      <c r="AA497" s="13"/>
      <c r="AB497" s="13"/>
    </row>
    <row r="498" spans="10:28" x14ac:dyDescent="0.25">
      <c r="J498" s="13"/>
      <c r="K498" s="13"/>
      <c r="L498" s="13"/>
      <c r="M498" s="13"/>
      <c r="N498" s="35"/>
      <c r="O498" s="13"/>
      <c r="P498" s="13"/>
      <c r="Q498" s="35"/>
      <c r="R498" s="13"/>
      <c r="S498" s="13"/>
      <c r="T498" s="35"/>
      <c r="U498" s="13"/>
      <c r="V498" s="36"/>
      <c r="W498" s="13"/>
      <c r="X498" s="13"/>
      <c r="Y498" s="13"/>
      <c r="Z498" s="13"/>
      <c r="AA498" s="13"/>
      <c r="AB498" s="13"/>
    </row>
    <row r="499" spans="10:28" x14ac:dyDescent="0.25">
      <c r="J499" s="13"/>
      <c r="K499" s="13"/>
      <c r="L499" s="13"/>
      <c r="M499" s="13"/>
      <c r="N499" s="35"/>
      <c r="O499" s="13"/>
      <c r="P499" s="13"/>
      <c r="Q499" s="35"/>
      <c r="R499" s="13"/>
      <c r="S499" s="13"/>
      <c r="T499" s="35"/>
      <c r="U499" s="13"/>
      <c r="V499" s="36"/>
      <c r="W499" s="13"/>
      <c r="X499" s="13"/>
      <c r="Y499" s="13"/>
      <c r="Z499" s="13"/>
      <c r="AA499" s="13"/>
      <c r="AB499" s="13"/>
    </row>
    <row r="500" spans="10:28" x14ac:dyDescent="0.25">
      <c r="J500" s="13"/>
      <c r="K500" s="13"/>
      <c r="L500" s="13"/>
      <c r="M500" s="13"/>
      <c r="N500" s="35"/>
      <c r="O500" s="13"/>
      <c r="P500" s="13"/>
      <c r="Q500" s="35"/>
      <c r="R500" s="13"/>
      <c r="S500" s="13"/>
      <c r="T500" s="35"/>
      <c r="U500" s="13"/>
      <c r="V500" s="36"/>
      <c r="W500" s="13"/>
      <c r="X500" s="13"/>
      <c r="Y500" s="13"/>
      <c r="Z500" s="13"/>
      <c r="AA500" s="13"/>
      <c r="AB500" s="13"/>
    </row>
    <row r="501" spans="10:28" x14ac:dyDescent="0.25">
      <c r="J501" s="13"/>
      <c r="K501" s="13"/>
      <c r="L501" s="13"/>
      <c r="M501" s="13"/>
      <c r="N501" s="35"/>
      <c r="O501" s="13"/>
      <c r="P501" s="13"/>
      <c r="Q501" s="35"/>
      <c r="R501" s="13"/>
      <c r="S501" s="13"/>
      <c r="T501" s="35"/>
      <c r="U501" s="13"/>
      <c r="V501" s="36"/>
      <c r="W501" s="13"/>
      <c r="X501" s="13"/>
      <c r="Y501" s="13"/>
      <c r="Z501" s="13"/>
      <c r="AA501" s="13"/>
      <c r="AB501" s="13"/>
    </row>
    <row r="502" spans="10:28" x14ac:dyDescent="0.25">
      <c r="J502" s="13"/>
      <c r="K502" s="13"/>
      <c r="L502" s="13"/>
      <c r="M502" s="13"/>
      <c r="N502" s="35"/>
      <c r="O502" s="13"/>
      <c r="P502" s="13"/>
      <c r="Q502" s="35"/>
      <c r="R502" s="13"/>
      <c r="S502" s="13"/>
      <c r="T502" s="35"/>
      <c r="U502" s="13"/>
      <c r="V502" s="36"/>
      <c r="W502" s="13"/>
      <c r="X502" s="13"/>
      <c r="Y502" s="13"/>
      <c r="Z502" s="13"/>
      <c r="AA502" s="13"/>
      <c r="AB502" s="13"/>
    </row>
    <row r="503" spans="10:28" x14ac:dyDescent="0.25">
      <c r="J503" s="13"/>
      <c r="K503" s="13"/>
      <c r="L503" s="13"/>
      <c r="M503" s="13"/>
      <c r="N503" s="35"/>
      <c r="O503" s="13"/>
      <c r="P503" s="13"/>
      <c r="Q503" s="35"/>
      <c r="R503" s="13"/>
      <c r="S503" s="13"/>
      <c r="T503" s="35"/>
      <c r="U503" s="13"/>
      <c r="V503" s="36"/>
      <c r="W503" s="13"/>
      <c r="X503" s="13"/>
      <c r="Y503" s="13"/>
      <c r="Z503" s="13"/>
      <c r="AA503" s="13"/>
      <c r="AB503" s="13"/>
    </row>
    <row r="504" spans="10:28" x14ac:dyDescent="0.25">
      <c r="J504" s="13"/>
      <c r="K504" s="13"/>
      <c r="L504" s="13"/>
      <c r="M504" s="13"/>
      <c r="N504" s="35"/>
      <c r="O504" s="13"/>
      <c r="P504" s="13"/>
      <c r="Q504" s="35"/>
      <c r="R504" s="13"/>
      <c r="S504" s="13"/>
      <c r="T504" s="35"/>
      <c r="U504" s="13"/>
      <c r="V504" s="36"/>
      <c r="W504" s="13"/>
      <c r="X504" s="13"/>
      <c r="Y504" s="13"/>
      <c r="Z504" s="13"/>
      <c r="AA504" s="13"/>
      <c r="AB504" s="13"/>
    </row>
    <row r="505" spans="10:28" x14ac:dyDescent="0.25">
      <c r="J505" s="13"/>
      <c r="K505" s="13"/>
      <c r="L505" s="13"/>
      <c r="M505" s="13"/>
      <c r="N505" s="35"/>
      <c r="O505" s="13"/>
      <c r="P505" s="13"/>
      <c r="Q505" s="35"/>
      <c r="R505" s="13"/>
      <c r="S505" s="13"/>
      <c r="T505" s="35"/>
      <c r="U505" s="13"/>
      <c r="V505" s="36"/>
      <c r="W505" s="13"/>
      <c r="X505" s="13"/>
      <c r="Y505" s="13"/>
      <c r="Z505" s="13"/>
      <c r="AA505" s="13"/>
      <c r="AB505" s="13"/>
    </row>
    <row r="506" spans="10:28" x14ac:dyDescent="0.25">
      <c r="J506" s="13"/>
      <c r="K506" s="13"/>
      <c r="L506" s="13"/>
      <c r="M506" s="13"/>
      <c r="N506" s="35"/>
      <c r="O506" s="13"/>
      <c r="P506" s="13"/>
      <c r="Q506" s="35"/>
      <c r="R506" s="13"/>
      <c r="S506" s="13"/>
      <c r="T506" s="35"/>
      <c r="U506" s="13"/>
      <c r="V506" s="36"/>
      <c r="W506" s="13"/>
      <c r="X506" s="13"/>
      <c r="Y506" s="13"/>
      <c r="Z506" s="13"/>
      <c r="AA506" s="13"/>
      <c r="AB506" s="13"/>
    </row>
    <row r="507" spans="10:28" x14ac:dyDescent="0.25">
      <c r="J507" s="13"/>
      <c r="K507" s="13"/>
      <c r="L507" s="13"/>
      <c r="M507" s="13"/>
      <c r="N507" s="35"/>
      <c r="O507" s="13"/>
      <c r="P507" s="13"/>
      <c r="Q507" s="35"/>
      <c r="R507" s="13"/>
      <c r="S507" s="13"/>
      <c r="T507" s="35"/>
      <c r="U507" s="13"/>
      <c r="V507" s="36"/>
      <c r="W507" s="13"/>
      <c r="X507" s="13"/>
      <c r="Y507" s="13"/>
      <c r="Z507" s="13"/>
      <c r="AA507" s="13"/>
      <c r="AB507" s="13"/>
    </row>
    <row r="508" spans="10:28" x14ac:dyDescent="0.25">
      <c r="J508" s="13"/>
      <c r="K508" s="13"/>
      <c r="L508" s="13"/>
      <c r="M508" s="13"/>
      <c r="N508" s="35"/>
      <c r="O508" s="13"/>
      <c r="P508" s="13"/>
      <c r="Q508" s="35"/>
      <c r="R508" s="13"/>
      <c r="S508" s="13"/>
      <c r="T508" s="35"/>
      <c r="U508" s="13"/>
      <c r="V508" s="36"/>
      <c r="W508" s="13"/>
      <c r="X508" s="13"/>
      <c r="Y508" s="13"/>
      <c r="Z508" s="13"/>
      <c r="AA508" s="13"/>
      <c r="AB508" s="13"/>
    </row>
    <row r="509" spans="10:28" x14ac:dyDescent="0.25">
      <c r="J509" s="13"/>
      <c r="K509" s="13"/>
      <c r="L509" s="13"/>
      <c r="M509" s="13"/>
      <c r="N509" s="35"/>
      <c r="O509" s="13"/>
      <c r="P509" s="13"/>
      <c r="Q509" s="35"/>
      <c r="R509" s="13"/>
      <c r="S509" s="13"/>
      <c r="T509" s="35"/>
      <c r="U509" s="13"/>
      <c r="V509" s="36"/>
      <c r="W509" s="13"/>
      <c r="X509" s="13"/>
      <c r="Y509" s="13"/>
      <c r="Z509" s="13"/>
      <c r="AA509" s="13"/>
      <c r="AB509" s="13"/>
    </row>
    <row r="510" spans="10:28" x14ac:dyDescent="0.25">
      <c r="J510" s="13"/>
      <c r="K510" s="13"/>
      <c r="L510" s="13"/>
      <c r="M510" s="13"/>
      <c r="N510" s="35"/>
      <c r="O510" s="13"/>
      <c r="P510" s="13"/>
      <c r="Q510" s="35"/>
      <c r="R510" s="13"/>
      <c r="S510" s="13"/>
      <c r="T510" s="35"/>
      <c r="U510" s="13"/>
      <c r="V510" s="36"/>
      <c r="W510" s="13"/>
      <c r="X510" s="13"/>
      <c r="Y510" s="13"/>
      <c r="Z510" s="13"/>
      <c r="AA510" s="13"/>
      <c r="AB510" s="13"/>
    </row>
    <row r="511" spans="10:28" x14ac:dyDescent="0.25">
      <c r="J511" s="13"/>
      <c r="K511" s="13"/>
      <c r="L511" s="13"/>
      <c r="M511" s="13"/>
      <c r="N511" s="35"/>
      <c r="O511" s="13"/>
      <c r="P511" s="13"/>
      <c r="Q511" s="35"/>
      <c r="R511" s="13"/>
      <c r="S511" s="13"/>
      <c r="T511" s="35"/>
      <c r="U511" s="13"/>
      <c r="V511" s="36"/>
      <c r="W511" s="13"/>
      <c r="X511" s="13"/>
      <c r="Y511" s="13"/>
      <c r="Z511" s="13"/>
      <c r="AA511" s="13"/>
      <c r="AB511" s="13"/>
    </row>
    <row r="512" spans="10:28" x14ac:dyDescent="0.25">
      <c r="J512" s="13"/>
      <c r="K512" s="13"/>
      <c r="L512" s="13"/>
      <c r="M512" s="13"/>
      <c r="N512" s="35"/>
      <c r="O512" s="13"/>
      <c r="P512" s="13"/>
      <c r="Q512" s="35"/>
      <c r="R512" s="13"/>
      <c r="S512" s="13"/>
      <c r="T512" s="35"/>
      <c r="U512" s="13"/>
      <c r="V512" s="36"/>
      <c r="W512" s="13"/>
      <c r="X512" s="13"/>
      <c r="Y512" s="13"/>
      <c r="Z512" s="13"/>
      <c r="AA512" s="13"/>
      <c r="AB512" s="13"/>
    </row>
    <row r="513" spans="10:28" x14ac:dyDescent="0.25">
      <c r="J513" s="13"/>
      <c r="K513" s="13"/>
      <c r="L513" s="13"/>
      <c r="M513" s="13"/>
      <c r="N513" s="35"/>
      <c r="O513" s="13"/>
      <c r="P513" s="13"/>
      <c r="Q513" s="35"/>
      <c r="R513" s="13"/>
      <c r="S513" s="13"/>
      <c r="T513" s="35"/>
      <c r="U513" s="13"/>
      <c r="V513" s="36"/>
      <c r="W513" s="13"/>
      <c r="X513" s="13"/>
      <c r="Y513" s="13"/>
      <c r="Z513" s="13"/>
      <c r="AA513" s="13"/>
      <c r="AB513" s="13"/>
    </row>
    <row r="514" spans="10:28" x14ac:dyDescent="0.25">
      <c r="J514" s="13"/>
      <c r="K514" s="13"/>
      <c r="L514" s="13"/>
      <c r="M514" s="13"/>
      <c r="N514" s="35"/>
      <c r="O514" s="13"/>
      <c r="P514" s="13"/>
      <c r="Q514" s="35"/>
      <c r="R514" s="13"/>
      <c r="S514" s="13"/>
      <c r="T514" s="35"/>
      <c r="U514" s="13"/>
      <c r="V514" s="36"/>
      <c r="W514" s="13"/>
      <c r="X514" s="13"/>
      <c r="Y514" s="13"/>
      <c r="Z514" s="13"/>
      <c r="AA514" s="13"/>
      <c r="AB514" s="13"/>
    </row>
    <row r="515" spans="10:28" x14ac:dyDescent="0.25">
      <c r="J515" s="13"/>
      <c r="K515" s="13"/>
      <c r="L515" s="13"/>
      <c r="M515" s="13"/>
      <c r="N515" s="35"/>
      <c r="O515" s="13"/>
      <c r="P515" s="13"/>
      <c r="Q515" s="35"/>
      <c r="R515" s="13"/>
      <c r="S515" s="13"/>
      <c r="T515" s="35"/>
      <c r="U515" s="13"/>
      <c r="V515" s="36"/>
      <c r="W515" s="13"/>
      <c r="X515" s="13"/>
      <c r="Y515" s="13"/>
      <c r="Z515" s="13"/>
      <c r="AA515" s="13"/>
      <c r="AB515" s="13"/>
    </row>
    <row r="516" spans="10:28" x14ac:dyDescent="0.25">
      <c r="J516" s="13"/>
      <c r="K516" s="13"/>
      <c r="L516" s="13"/>
      <c r="M516" s="13"/>
      <c r="N516" s="35"/>
      <c r="O516" s="13"/>
      <c r="P516" s="13"/>
      <c r="Q516" s="35"/>
      <c r="R516" s="13"/>
      <c r="S516" s="13"/>
      <c r="T516" s="35"/>
      <c r="U516" s="13"/>
      <c r="V516" s="36"/>
      <c r="W516" s="13"/>
      <c r="X516" s="13"/>
      <c r="Y516" s="13"/>
      <c r="Z516" s="13"/>
      <c r="AA516" s="13"/>
      <c r="AB516" s="13"/>
    </row>
    <row r="517" spans="10:28" x14ac:dyDescent="0.25">
      <c r="J517" s="13"/>
      <c r="K517" s="13"/>
      <c r="L517" s="13"/>
      <c r="M517" s="13"/>
      <c r="N517" s="35"/>
      <c r="O517" s="13"/>
      <c r="P517" s="13"/>
      <c r="Q517" s="35"/>
      <c r="R517" s="13"/>
      <c r="S517" s="13"/>
      <c r="T517" s="35"/>
      <c r="U517" s="13"/>
      <c r="V517" s="36"/>
      <c r="W517" s="13"/>
      <c r="X517" s="13"/>
      <c r="Y517" s="13"/>
      <c r="Z517" s="13"/>
      <c r="AA517" s="13"/>
      <c r="AB517" s="13"/>
    </row>
    <row r="518" spans="10:28" x14ac:dyDescent="0.25">
      <c r="J518" s="13"/>
      <c r="K518" s="13"/>
      <c r="L518" s="13"/>
      <c r="M518" s="13"/>
      <c r="N518" s="35"/>
      <c r="O518" s="13"/>
      <c r="P518" s="13"/>
      <c r="Q518" s="35"/>
      <c r="R518" s="13"/>
      <c r="S518" s="13"/>
      <c r="T518" s="35"/>
      <c r="U518" s="13"/>
      <c r="V518" s="36"/>
      <c r="W518" s="13"/>
      <c r="X518" s="13"/>
      <c r="Y518" s="13"/>
      <c r="Z518" s="13"/>
      <c r="AA518" s="13"/>
      <c r="AB518" s="13"/>
    </row>
    <row r="519" spans="10:28" x14ac:dyDescent="0.25">
      <c r="J519" s="13"/>
      <c r="K519" s="13"/>
      <c r="L519" s="13"/>
      <c r="M519" s="13"/>
      <c r="N519" s="35"/>
      <c r="O519" s="13"/>
      <c r="P519" s="13"/>
      <c r="Q519" s="35"/>
      <c r="R519" s="13"/>
      <c r="S519" s="13"/>
      <c r="T519" s="35"/>
      <c r="U519" s="13"/>
      <c r="V519" s="36"/>
      <c r="W519" s="13"/>
      <c r="X519" s="13"/>
      <c r="Y519" s="13"/>
      <c r="Z519" s="13"/>
      <c r="AA519" s="13"/>
      <c r="AB519" s="13"/>
    </row>
    <row r="520" spans="10:28" x14ac:dyDescent="0.25">
      <c r="J520" s="13"/>
      <c r="K520" s="13"/>
      <c r="L520" s="13"/>
      <c r="M520" s="13"/>
      <c r="N520" s="35"/>
      <c r="O520" s="13"/>
      <c r="P520" s="13"/>
      <c r="Q520" s="35"/>
      <c r="R520" s="13"/>
      <c r="S520" s="13"/>
      <c r="T520" s="35"/>
      <c r="U520" s="13"/>
      <c r="V520" s="36"/>
      <c r="W520" s="13"/>
      <c r="X520" s="13"/>
      <c r="Y520" s="13"/>
      <c r="Z520" s="13"/>
      <c r="AA520" s="13"/>
      <c r="AB520" s="13"/>
    </row>
    <row r="521" spans="10:28" x14ac:dyDescent="0.25">
      <c r="J521" s="13"/>
      <c r="K521" s="13"/>
      <c r="L521" s="13"/>
      <c r="M521" s="13"/>
      <c r="N521" s="35"/>
      <c r="O521" s="13"/>
      <c r="P521" s="13"/>
      <c r="Q521" s="35"/>
      <c r="R521" s="13"/>
      <c r="S521" s="13"/>
      <c r="T521" s="35"/>
      <c r="U521" s="13"/>
      <c r="V521" s="36"/>
      <c r="W521" s="13"/>
      <c r="X521" s="13"/>
      <c r="Y521" s="13"/>
      <c r="Z521" s="13"/>
      <c r="AA521" s="13"/>
      <c r="AB521" s="13"/>
    </row>
    <row r="522" spans="10:28" x14ac:dyDescent="0.25">
      <c r="J522" s="13"/>
      <c r="K522" s="13"/>
      <c r="L522" s="13"/>
      <c r="M522" s="13"/>
      <c r="N522" s="35"/>
      <c r="O522" s="13"/>
      <c r="P522" s="13"/>
      <c r="Q522" s="35"/>
      <c r="R522" s="13"/>
      <c r="S522" s="13"/>
      <c r="T522" s="35"/>
      <c r="U522" s="13"/>
      <c r="V522" s="36"/>
      <c r="W522" s="13"/>
      <c r="X522" s="13"/>
      <c r="Y522" s="13"/>
      <c r="Z522" s="13"/>
      <c r="AA522" s="13"/>
      <c r="AB522" s="13"/>
    </row>
    <row r="523" spans="10:28" x14ac:dyDescent="0.25">
      <c r="J523" s="13"/>
      <c r="K523" s="13"/>
      <c r="L523" s="13"/>
      <c r="M523" s="13"/>
      <c r="N523" s="35"/>
      <c r="O523" s="13"/>
      <c r="P523" s="13"/>
      <c r="Q523" s="35"/>
      <c r="R523" s="13"/>
      <c r="S523" s="13"/>
      <c r="T523" s="35"/>
      <c r="U523" s="13"/>
      <c r="V523" s="36"/>
      <c r="W523" s="13"/>
      <c r="X523" s="13"/>
      <c r="Y523" s="13"/>
      <c r="Z523" s="13"/>
      <c r="AA523" s="13"/>
      <c r="AB523" s="13"/>
    </row>
    <row r="524" spans="10:28" x14ac:dyDescent="0.25">
      <c r="J524" s="13"/>
      <c r="K524" s="13"/>
      <c r="L524" s="13"/>
      <c r="M524" s="13"/>
      <c r="N524" s="35"/>
      <c r="O524" s="13"/>
      <c r="P524" s="13"/>
      <c r="Q524" s="35"/>
      <c r="R524" s="13"/>
      <c r="S524" s="13"/>
      <c r="T524" s="35"/>
      <c r="U524" s="13"/>
      <c r="V524" s="36"/>
      <c r="W524" s="13"/>
      <c r="X524" s="13"/>
      <c r="Y524" s="13"/>
      <c r="Z524" s="13"/>
      <c r="AA524" s="13"/>
      <c r="AB524" s="13"/>
    </row>
    <row r="525" spans="10:28" x14ac:dyDescent="0.25">
      <c r="J525" s="13"/>
      <c r="K525" s="13"/>
      <c r="L525" s="13"/>
      <c r="M525" s="13"/>
      <c r="N525" s="35"/>
      <c r="O525" s="13"/>
      <c r="P525" s="13"/>
      <c r="Q525" s="35"/>
      <c r="R525" s="13"/>
      <c r="S525" s="13"/>
      <c r="T525" s="35"/>
      <c r="U525" s="13"/>
      <c r="V525" s="36"/>
      <c r="W525" s="13"/>
      <c r="X525" s="13"/>
      <c r="Y525" s="13"/>
      <c r="Z525" s="13"/>
      <c r="AA525" s="13"/>
      <c r="AB525" s="13"/>
    </row>
    <row r="526" spans="10:28" x14ac:dyDescent="0.25">
      <c r="J526" s="13"/>
      <c r="K526" s="13"/>
      <c r="L526" s="13"/>
      <c r="M526" s="13"/>
      <c r="N526" s="35"/>
      <c r="O526" s="13"/>
      <c r="P526" s="13"/>
      <c r="Q526" s="35"/>
      <c r="R526" s="13"/>
      <c r="S526" s="13"/>
      <c r="T526" s="35"/>
      <c r="U526" s="13"/>
      <c r="V526" s="36"/>
      <c r="W526" s="13"/>
      <c r="X526" s="13"/>
      <c r="Y526" s="13"/>
      <c r="Z526" s="13"/>
      <c r="AA526" s="13"/>
      <c r="AB526" s="13"/>
    </row>
    <row r="527" spans="10:28" x14ac:dyDescent="0.25">
      <c r="J527" s="13"/>
      <c r="K527" s="13"/>
      <c r="L527" s="13"/>
      <c r="M527" s="13"/>
      <c r="N527" s="35"/>
      <c r="O527" s="13"/>
      <c r="P527" s="13"/>
      <c r="Q527" s="35"/>
      <c r="R527" s="13"/>
      <c r="S527" s="13"/>
      <c r="T527" s="35"/>
      <c r="U527" s="13"/>
      <c r="V527" s="36"/>
      <c r="W527" s="13"/>
      <c r="X527" s="13"/>
      <c r="Y527" s="13"/>
      <c r="Z527" s="13"/>
      <c r="AA527" s="13"/>
      <c r="AB527" s="13"/>
    </row>
    <row r="528" spans="10:28" x14ac:dyDescent="0.25">
      <c r="J528" s="13"/>
      <c r="K528" s="13"/>
      <c r="L528" s="13"/>
      <c r="M528" s="13"/>
      <c r="N528" s="35"/>
      <c r="O528" s="13"/>
      <c r="P528" s="13"/>
      <c r="Q528" s="35"/>
      <c r="R528" s="13"/>
      <c r="S528" s="13"/>
      <c r="T528" s="35"/>
      <c r="U528" s="13"/>
      <c r="V528" s="36"/>
      <c r="W528" s="13"/>
      <c r="X528" s="13"/>
      <c r="Y528" s="13"/>
      <c r="Z528" s="13"/>
      <c r="AA528" s="13"/>
      <c r="AB528" s="13"/>
    </row>
    <row r="529" spans="10:28" x14ac:dyDescent="0.25">
      <c r="J529" s="13"/>
      <c r="K529" s="13"/>
      <c r="L529" s="13"/>
      <c r="M529" s="13"/>
      <c r="N529" s="35"/>
      <c r="O529" s="13"/>
      <c r="P529" s="13"/>
      <c r="Q529" s="35"/>
      <c r="R529" s="13"/>
      <c r="S529" s="13"/>
      <c r="T529" s="35"/>
      <c r="U529" s="13"/>
      <c r="V529" s="36"/>
      <c r="W529" s="13"/>
      <c r="X529" s="13"/>
      <c r="Y529" s="13"/>
      <c r="Z529" s="13"/>
      <c r="AA529" s="13"/>
      <c r="AB529" s="13"/>
    </row>
    <row r="530" spans="10:28" x14ac:dyDescent="0.25">
      <c r="J530" s="13"/>
      <c r="K530" s="13"/>
      <c r="L530" s="13"/>
      <c r="M530" s="13"/>
      <c r="N530" s="35"/>
      <c r="O530" s="13"/>
      <c r="P530" s="13"/>
      <c r="Q530" s="35"/>
      <c r="R530" s="13"/>
      <c r="S530" s="13"/>
      <c r="T530" s="35"/>
      <c r="U530" s="13"/>
      <c r="V530" s="36"/>
      <c r="W530" s="13"/>
      <c r="X530" s="13"/>
      <c r="Y530" s="13"/>
      <c r="Z530" s="13"/>
      <c r="AA530" s="13"/>
      <c r="AB530" s="13"/>
    </row>
    <row r="531" spans="10:28" x14ac:dyDescent="0.25">
      <c r="J531" s="13"/>
      <c r="K531" s="13"/>
      <c r="L531" s="13"/>
      <c r="M531" s="13"/>
      <c r="N531" s="35"/>
      <c r="O531" s="13"/>
      <c r="P531" s="13"/>
      <c r="Q531" s="35"/>
      <c r="R531" s="13"/>
      <c r="S531" s="13"/>
      <c r="T531" s="35"/>
      <c r="U531" s="13"/>
      <c r="V531" s="36"/>
      <c r="W531" s="13"/>
      <c r="X531" s="13"/>
      <c r="Y531" s="13"/>
      <c r="Z531" s="13"/>
      <c r="AA531" s="13"/>
      <c r="AB531" s="13"/>
    </row>
    <row r="532" spans="10:28" x14ac:dyDescent="0.25">
      <c r="J532" s="13"/>
      <c r="K532" s="13"/>
      <c r="L532" s="13"/>
      <c r="M532" s="13"/>
      <c r="N532" s="35"/>
      <c r="O532" s="13"/>
      <c r="P532" s="13"/>
      <c r="Q532" s="35"/>
      <c r="R532" s="13"/>
      <c r="S532" s="13"/>
      <c r="T532" s="35"/>
      <c r="U532" s="13"/>
      <c r="V532" s="36"/>
      <c r="W532" s="13"/>
      <c r="X532" s="13"/>
      <c r="Y532" s="13"/>
      <c r="Z532" s="13"/>
      <c r="AA532" s="13"/>
      <c r="AB532" s="13"/>
    </row>
    <row r="533" spans="10:28" x14ac:dyDescent="0.25">
      <c r="J533" s="13"/>
      <c r="K533" s="13"/>
      <c r="L533" s="13"/>
      <c r="M533" s="13"/>
      <c r="N533" s="35"/>
      <c r="O533" s="13"/>
      <c r="P533" s="13"/>
      <c r="Q533" s="35"/>
      <c r="R533" s="13"/>
      <c r="S533" s="13"/>
      <c r="T533" s="35"/>
      <c r="U533" s="13"/>
      <c r="V533" s="36"/>
      <c r="W533" s="13"/>
      <c r="X533" s="13"/>
      <c r="Y533" s="13"/>
      <c r="Z533" s="13"/>
      <c r="AA533" s="13"/>
      <c r="AB533" s="13"/>
    </row>
    <row r="534" spans="10:28" x14ac:dyDescent="0.25">
      <c r="J534" s="13"/>
      <c r="K534" s="13"/>
      <c r="L534" s="13"/>
      <c r="M534" s="13"/>
      <c r="N534" s="35"/>
      <c r="O534" s="13"/>
      <c r="P534" s="13"/>
      <c r="Q534" s="35"/>
      <c r="R534" s="13"/>
      <c r="S534" s="13"/>
      <c r="T534" s="35"/>
      <c r="U534" s="13"/>
      <c r="V534" s="36"/>
      <c r="W534" s="13"/>
      <c r="X534" s="13"/>
      <c r="Y534" s="13"/>
      <c r="Z534" s="13"/>
      <c r="AA534" s="13"/>
      <c r="AB534" s="13"/>
    </row>
    <row r="535" spans="10:28" x14ac:dyDescent="0.25">
      <c r="J535" s="13"/>
      <c r="K535" s="13"/>
      <c r="L535" s="13"/>
      <c r="M535" s="13"/>
      <c r="N535" s="35"/>
      <c r="O535" s="13"/>
      <c r="P535" s="13"/>
      <c r="Q535" s="35"/>
      <c r="R535" s="13"/>
      <c r="S535" s="13"/>
      <c r="T535" s="35"/>
      <c r="U535" s="13"/>
      <c r="V535" s="36"/>
      <c r="W535" s="13"/>
      <c r="X535" s="13"/>
      <c r="Y535" s="13"/>
      <c r="Z535" s="13"/>
      <c r="AA535" s="13"/>
      <c r="AB535" s="13"/>
    </row>
    <row r="536" spans="10:28" x14ac:dyDescent="0.25">
      <c r="J536" s="13"/>
      <c r="K536" s="13"/>
      <c r="L536" s="13"/>
      <c r="M536" s="13"/>
      <c r="N536" s="35"/>
      <c r="O536" s="13"/>
      <c r="P536" s="13"/>
      <c r="Q536" s="35"/>
      <c r="R536" s="13"/>
      <c r="S536" s="13"/>
      <c r="T536" s="35"/>
      <c r="U536" s="13"/>
      <c r="V536" s="36"/>
      <c r="W536" s="13"/>
      <c r="X536" s="13"/>
      <c r="Y536" s="13"/>
      <c r="Z536" s="13"/>
      <c r="AA536" s="13"/>
      <c r="AB536" s="13"/>
    </row>
    <row r="537" spans="10:28" x14ac:dyDescent="0.25">
      <c r="J537" s="13"/>
      <c r="K537" s="13"/>
      <c r="L537" s="13"/>
      <c r="M537" s="13"/>
      <c r="N537" s="35"/>
      <c r="O537" s="13"/>
      <c r="P537" s="13"/>
      <c r="Q537" s="35"/>
      <c r="R537" s="13"/>
      <c r="S537" s="13"/>
      <c r="T537" s="35"/>
      <c r="U537" s="13"/>
      <c r="V537" s="36"/>
      <c r="W537" s="13"/>
      <c r="X537" s="13"/>
      <c r="Y537" s="13"/>
      <c r="Z537" s="13"/>
      <c r="AA537" s="13"/>
      <c r="AB537" s="13"/>
    </row>
    <row r="538" spans="10:28" x14ac:dyDescent="0.25">
      <c r="J538" s="13"/>
      <c r="K538" s="13"/>
      <c r="L538" s="13"/>
      <c r="M538" s="13"/>
      <c r="N538" s="35"/>
      <c r="O538" s="13"/>
      <c r="P538" s="13"/>
      <c r="Q538" s="35"/>
      <c r="R538" s="13"/>
      <c r="S538" s="13"/>
      <c r="T538" s="35"/>
      <c r="U538" s="13"/>
      <c r="V538" s="36"/>
      <c r="W538" s="13"/>
      <c r="X538" s="13"/>
      <c r="Y538" s="13"/>
      <c r="Z538" s="13"/>
      <c r="AA538" s="13"/>
      <c r="AB538" s="13"/>
    </row>
    <row r="539" spans="10:28" x14ac:dyDescent="0.25">
      <c r="J539" s="13"/>
      <c r="K539" s="13"/>
      <c r="L539" s="13"/>
      <c r="M539" s="13"/>
      <c r="N539" s="35"/>
      <c r="O539" s="13"/>
      <c r="P539" s="13"/>
      <c r="Q539" s="35"/>
      <c r="R539" s="13"/>
      <c r="S539" s="13"/>
      <c r="T539" s="35"/>
      <c r="U539" s="13"/>
      <c r="V539" s="36"/>
      <c r="W539" s="13"/>
      <c r="X539" s="13"/>
      <c r="Y539" s="13"/>
      <c r="Z539" s="13"/>
      <c r="AA539" s="13"/>
      <c r="AB539" s="13"/>
    </row>
    <row r="540" spans="10:28" x14ac:dyDescent="0.25">
      <c r="J540" s="13"/>
      <c r="K540" s="13"/>
      <c r="L540" s="13"/>
      <c r="M540" s="13"/>
      <c r="N540" s="35"/>
      <c r="O540" s="13"/>
      <c r="P540" s="13"/>
      <c r="Q540" s="35"/>
      <c r="R540" s="13"/>
      <c r="S540" s="13"/>
      <c r="T540" s="35"/>
      <c r="U540" s="13"/>
      <c r="V540" s="36"/>
      <c r="W540" s="13"/>
      <c r="X540" s="13"/>
      <c r="Y540" s="13"/>
      <c r="Z540" s="13"/>
      <c r="AA540" s="13"/>
      <c r="AB540" s="13"/>
    </row>
    <row r="541" spans="10:28" x14ac:dyDescent="0.25">
      <c r="J541" s="13"/>
      <c r="K541" s="13"/>
      <c r="L541" s="13"/>
      <c r="M541" s="13"/>
      <c r="N541" s="35"/>
      <c r="O541" s="13"/>
      <c r="P541" s="13"/>
      <c r="Q541" s="35"/>
      <c r="R541" s="13"/>
      <c r="S541" s="13"/>
      <c r="T541" s="35"/>
      <c r="U541" s="13"/>
      <c r="V541" s="36"/>
      <c r="W541" s="13"/>
      <c r="X541" s="13"/>
      <c r="Y541" s="13"/>
      <c r="Z541" s="13"/>
      <c r="AA541" s="13"/>
      <c r="AB541" s="13"/>
    </row>
    <row r="542" spans="10:28" x14ac:dyDescent="0.25">
      <c r="J542" s="13"/>
      <c r="K542" s="13"/>
      <c r="L542" s="13"/>
      <c r="M542" s="13"/>
      <c r="N542" s="35"/>
      <c r="O542" s="13"/>
      <c r="P542" s="13"/>
      <c r="Q542" s="35"/>
      <c r="R542" s="13"/>
      <c r="S542" s="13"/>
      <c r="T542" s="35"/>
      <c r="U542" s="13"/>
      <c r="V542" s="36"/>
      <c r="W542" s="13"/>
      <c r="X542" s="13"/>
      <c r="Y542" s="13"/>
      <c r="Z542" s="13"/>
      <c r="AA542" s="13"/>
      <c r="AB542" s="13"/>
    </row>
    <row r="543" spans="10:28" x14ac:dyDescent="0.25">
      <c r="J543" s="13"/>
      <c r="K543" s="13"/>
      <c r="L543" s="13"/>
      <c r="M543" s="13"/>
      <c r="N543" s="35"/>
      <c r="O543" s="13"/>
      <c r="P543" s="13"/>
      <c r="Q543" s="35"/>
      <c r="R543" s="13"/>
      <c r="S543" s="13"/>
      <c r="T543" s="35"/>
      <c r="U543" s="13"/>
      <c r="V543" s="36"/>
      <c r="W543" s="13"/>
      <c r="X543" s="13"/>
      <c r="Y543" s="13"/>
      <c r="Z543" s="13"/>
      <c r="AA543" s="13"/>
      <c r="AB543" s="13"/>
    </row>
    <row r="544" spans="10:28" x14ac:dyDescent="0.25">
      <c r="J544" s="13"/>
      <c r="K544" s="13"/>
      <c r="L544" s="13"/>
      <c r="M544" s="13"/>
      <c r="N544" s="35"/>
      <c r="O544" s="13"/>
      <c r="P544" s="13"/>
      <c r="Q544" s="35"/>
      <c r="R544" s="13"/>
      <c r="S544" s="13"/>
      <c r="T544" s="35"/>
      <c r="U544" s="13"/>
      <c r="V544" s="36"/>
      <c r="W544" s="13"/>
      <c r="X544" s="13"/>
      <c r="Y544" s="13"/>
      <c r="Z544" s="13"/>
      <c r="AA544" s="13"/>
      <c r="AB544" s="13"/>
    </row>
    <row r="545" spans="10:28" x14ac:dyDescent="0.25">
      <c r="J545" s="13"/>
      <c r="K545" s="13"/>
      <c r="L545" s="13"/>
      <c r="M545" s="13"/>
      <c r="N545" s="35"/>
      <c r="O545" s="13"/>
      <c r="P545" s="13"/>
      <c r="Q545" s="35"/>
      <c r="R545" s="13"/>
      <c r="S545" s="13"/>
      <c r="T545" s="35"/>
      <c r="U545" s="13"/>
      <c r="V545" s="36"/>
      <c r="W545" s="13"/>
      <c r="X545" s="13"/>
      <c r="Y545" s="13"/>
      <c r="Z545" s="13"/>
      <c r="AA545" s="13"/>
      <c r="AB545" s="13"/>
    </row>
    <row r="546" spans="10:28" x14ac:dyDescent="0.25">
      <c r="J546" s="13"/>
      <c r="K546" s="13"/>
      <c r="L546" s="13"/>
      <c r="M546" s="13"/>
      <c r="N546" s="35"/>
      <c r="O546" s="13"/>
      <c r="P546" s="13"/>
      <c r="Q546" s="35"/>
      <c r="R546" s="13"/>
      <c r="S546" s="13"/>
      <c r="T546" s="35"/>
      <c r="U546" s="13"/>
      <c r="V546" s="36"/>
      <c r="W546" s="13"/>
      <c r="X546" s="13"/>
      <c r="Y546" s="13"/>
      <c r="Z546" s="13"/>
      <c r="AA546" s="13"/>
      <c r="AB546" s="13"/>
    </row>
    <row r="547" spans="10:28" x14ac:dyDescent="0.25">
      <c r="J547" s="13"/>
      <c r="K547" s="13"/>
      <c r="L547" s="13"/>
      <c r="M547" s="13"/>
      <c r="N547" s="35"/>
      <c r="O547" s="13"/>
      <c r="P547" s="13"/>
      <c r="Q547" s="35"/>
      <c r="R547" s="13"/>
      <c r="S547" s="13"/>
      <c r="T547" s="35"/>
      <c r="U547" s="13"/>
      <c r="V547" s="36"/>
      <c r="W547" s="13"/>
      <c r="X547" s="13"/>
      <c r="Y547" s="13"/>
      <c r="Z547" s="13"/>
      <c r="AA547" s="13"/>
      <c r="AB547" s="13"/>
    </row>
    <row r="548" spans="10:28" x14ac:dyDescent="0.25">
      <c r="J548" s="13"/>
      <c r="K548" s="13"/>
      <c r="L548" s="13"/>
      <c r="M548" s="13"/>
      <c r="N548" s="35"/>
      <c r="O548" s="13"/>
      <c r="P548" s="13"/>
      <c r="Q548" s="35"/>
      <c r="R548" s="13"/>
      <c r="S548" s="13"/>
      <c r="T548" s="35"/>
      <c r="U548" s="13"/>
      <c r="V548" s="36"/>
      <c r="W548" s="13"/>
      <c r="X548" s="13"/>
      <c r="Y548" s="13"/>
      <c r="Z548" s="13"/>
      <c r="AA548" s="13"/>
      <c r="AB548" s="13"/>
    </row>
    <row r="549" spans="10:28" x14ac:dyDescent="0.25">
      <c r="J549" s="13"/>
      <c r="K549" s="13"/>
      <c r="L549" s="13"/>
      <c r="M549" s="13"/>
      <c r="N549" s="35"/>
      <c r="O549" s="13"/>
      <c r="P549" s="13"/>
      <c r="Q549" s="35"/>
      <c r="R549" s="13"/>
      <c r="S549" s="13"/>
      <c r="T549" s="35"/>
      <c r="U549" s="13"/>
      <c r="V549" s="36"/>
      <c r="W549" s="13"/>
      <c r="X549" s="13"/>
      <c r="Y549" s="13"/>
      <c r="Z549" s="13"/>
      <c r="AA549" s="13"/>
      <c r="AB549" s="13"/>
    </row>
    <row r="550" spans="10:28" x14ac:dyDescent="0.25">
      <c r="J550" s="13"/>
      <c r="K550" s="13"/>
      <c r="L550" s="13"/>
      <c r="M550" s="13"/>
      <c r="N550" s="35"/>
      <c r="O550" s="13"/>
      <c r="P550" s="13"/>
      <c r="Q550" s="35"/>
      <c r="R550" s="13"/>
      <c r="S550" s="13"/>
      <c r="T550" s="35"/>
      <c r="U550" s="13"/>
      <c r="V550" s="36"/>
      <c r="W550" s="13"/>
      <c r="X550" s="13"/>
      <c r="Y550" s="13"/>
      <c r="Z550" s="13"/>
      <c r="AA550" s="13"/>
      <c r="AB550" s="13"/>
    </row>
    <row r="551" spans="10:28" x14ac:dyDescent="0.25">
      <c r="J551" s="13"/>
      <c r="K551" s="13"/>
      <c r="L551" s="13"/>
      <c r="M551" s="13"/>
      <c r="N551" s="35"/>
      <c r="O551" s="13"/>
      <c r="P551" s="13"/>
      <c r="Q551" s="35"/>
      <c r="R551" s="13"/>
      <c r="S551" s="13"/>
      <c r="T551" s="35"/>
      <c r="U551" s="13"/>
      <c r="V551" s="36"/>
      <c r="W551" s="13"/>
      <c r="X551" s="13"/>
      <c r="Y551" s="13"/>
      <c r="Z551" s="13"/>
      <c r="AA551" s="13"/>
      <c r="AB551" s="13"/>
    </row>
    <row r="552" spans="10:28" x14ac:dyDescent="0.25">
      <c r="J552" s="13"/>
      <c r="K552" s="13"/>
      <c r="L552" s="13"/>
      <c r="M552" s="13"/>
      <c r="N552" s="35"/>
      <c r="O552" s="13"/>
      <c r="P552" s="13"/>
      <c r="Q552" s="35"/>
      <c r="R552" s="13"/>
      <c r="S552" s="13"/>
      <c r="T552" s="35"/>
      <c r="U552" s="13"/>
      <c r="V552" s="36"/>
      <c r="W552" s="13"/>
      <c r="X552" s="13"/>
      <c r="Y552" s="13"/>
      <c r="Z552" s="13"/>
      <c r="AA552" s="13"/>
      <c r="AB552" s="13"/>
    </row>
    <row r="553" spans="10:28" x14ac:dyDescent="0.25">
      <c r="J553" s="13"/>
      <c r="K553" s="13"/>
      <c r="L553" s="13"/>
      <c r="M553" s="13"/>
      <c r="N553" s="35"/>
      <c r="O553" s="13"/>
      <c r="P553" s="13"/>
      <c r="Q553" s="35"/>
      <c r="R553" s="13"/>
      <c r="S553" s="13"/>
      <c r="T553" s="35"/>
      <c r="U553" s="13"/>
      <c r="V553" s="36"/>
      <c r="W553" s="13"/>
      <c r="X553" s="13"/>
      <c r="Y553" s="13"/>
      <c r="Z553" s="13"/>
      <c r="AA553" s="13"/>
      <c r="AB553" s="13"/>
    </row>
    <row r="554" spans="10:28" x14ac:dyDescent="0.25">
      <c r="J554" s="13"/>
      <c r="K554" s="13"/>
      <c r="L554" s="13"/>
      <c r="M554" s="13"/>
      <c r="N554" s="35"/>
      <c r="O554" s="13"/>
      <c r="P554" s="13"/>
      <c r="Q554" s="35"/>
      <c r="R554" s="13"/>
      <c r="S554" s="13"/>
      <c r="T554" s="35"/>
      <c r="U554" s="13"/>
      <c r="V554" s="36"/>
      <c r="W554" s="13"/>
      <c r="X554" s="13"/>
      <c r="Y554" s="13"/>
      <c r="Z554" s="13"/>
      <c r="AA554" s="13"/>
      <c r="AB554" s="13"/>
    </row>
    <row r="555" spans="10:28" x14ac:dyDescent="0.25">
      <c r="J555" s="13"/>
      <c r="K555" s="13"/>
      <c r="L555" s="13"/>
      <c r="M555" s="13"/>
      <c r="N555" s="35"/>
      <c r="O555" s="13"/>
      <c r="P555" s="13"/>
      <c r="Q555" s="35"/>
      <c r="R555" s="13"/>
      <c r="S555" s="13"/>
      <c r="T555" s="35"/>
      <c r="U555" s="13"/>
      <c r="V555" s="36"/>
      <c r="W555" s="13"/>
      <c r="X555" s="13"/>
      <c r="Y555" s="13"/>
      <c r="Z555" s="13"/>
      <c r="AA555" s="13"/>
      <c r="AB555" s="13"/>
    </row>
    <row r="556" spans="10:28" x14ac:dyDescent="0.25">
      <c r="J556" s="13"/>
      <c r="K556" s="13"/>
      <c r="L556" s="13"/>
      <c r="M556" s="13"/>
      <c r="N556" s="35"/>
      <c r="O556" s="13"/>
      <c r="P556" s="13"/>
      <c r="Q556" s="35"/>
      <c r="R556" s="13"/>
      <c r="S556" s="13"/>
      <c r="T556" s="35"/>
      <c r="U556" s="13"/>
      <c r="V556" s="36"/>
      <c r="W556" s="13"/>
      <c r="X556" s="13"/>
      <c r="Y556" s="13"/>
      <c r="Z556" s="13"/>
      <c r="AA556" s="13"/>
      <c r="AB556" s="13"/>
    </row>
    <row r="557" spans="10:28" x14ac:dyDescent="0.25">
      <c r="J557" s="13"/>
      <c r="K557" s="13"/>
      <c r="L557" s="13"/>
      <c r="M557" s="13"/>
      <c r="N557" s="35"/>
      <c r="O557" s="13"/>
      <c r="P557" s="13"/>
      <c r="Q557" s="35"/>
      <c r="R557" s="13"/>
      <c r="S557" s="13"/>
      <c r="T557" s="35"/>
      <c r="U557" s="13"/>
      <c r="V557" s="36"/>
      <c r="W557" s="13"/>
      <c r="X557" s="13"/>
      <c r="Y557" s="13"/>
      <c r="Z557" s="13"/>
      <c r="AA557" s="13"/>
      <c r="AB557" s="13"/>
    </row>
    <row r="558" spans="10:28" x14ac:dyDescent="0.25">
      <c r="J558" s="13"/>
      <c r="K558" s="13"/>
      <c r="L558" s="13"/>
      <c r="M558" s="13"/>
      <c r="N558" s="35"/>
      <c r="O558" s="13"/>
      <c r="P558" s="13"/>
      <c r="Q558" s="35"/>
      <c r="R558" s="13"/>
      <c r="S558" s="13"/>
      <c r="T558" s="35"/>
      <c r="U558" s="13"/>
      <c r="V558" s="36"/>
      <c r="W558" s="13"/>
      <c r="X558" s="13"/>
      <c r="Y558" s="13"/>
      <c r="Z558" s="13"/>
      <c r="AA558" s="13"/>
      <c r="AB558" s="13"/>
    </row>
    <row r="559" spans="10:28" x14ac:dyDescent="0.25">
      <c r="J559" s="13"/>
      <c r="K559" s="13"/>
      <c r="L559" s="13"/>
      <c r="M559" s="13"/>
      <c r="N559" s="35"/>
      <c r="O559" s="13"/>
      <c r="P559" s="13"/>
      <c r="Q559" s="35"/>
      <c r="R559" s="13"/>
      <c r="S559" s="13"/>
      <c r="T559" s="35"/>
      <c r="U559" s="13"/>
      <c r="V559" s="36"/>
      <c r="W559" s="13"/>
      <c r="X559" s="13"/>
      <c r="Y559" s="13"/>
      <c r="Z559" s="13"/>
      <c r="AA559" s="13"/>
      <c r="AB559" s="13"/>
    </row>
    <row r="560" spans="10:28" x14ac:dyDescent="0.25">
      <c r="J560" s="13"/>
      <c r="K560" s="13"/>
      <c r="L560" s="13"/>
      <c r="M560" s="13"/>
      <c r="N560" s="35"/>
      <c r="O560" s="13"/>
      <c r="P560" s="13"/>
      <c r="Q560" s="35"/>
      <c r="R560" s="13"/>
      <c r="S560" s="13"/>
      <c r="T560" s="35"/>
      <c r="U560" s="13"/>
      <c r="V560" s="36"/>
      <c r="W560" s="13"/>
      <c r="X560" s="13"/>
      <c r="Y560" s="13"/>
      <c r="Z560" s="13"/>
      <c r="AA560" s="13"/>
      <c r="AB560" s="13"/>
    </row>
    <row r="561" spans="10:28" x14ac:dyDescent="0.25">
      <c r="J561" s="13"/>
      <c r="K561" s="13"/>
      <c r="L561" s="13"/>
      <c r="M561" s="13"/>
      <c r="N561" s="35"/>
      <c r="O561" s="13"/>
      <c r="P561" s="13"/>
      <c r="Q561" s="35"/>
      <c r="R561" s="13"/>
      <c r="S561" s="13"/>
      <c r="T561" s="35"/>
      <c r="U561" s="13"/>
      <c r="V561" s="36"/>
      <c r="W561" s="13"/>
      <c r="X561" s="13"/>
      <c r="Y561" s="13"/>
      <c r="Z561" s="13"/>
      <c r="AA561" s="13"/>
      <c r="AB561" s="13"/>
    </row>
    <row r="562" spans="10:28" x14ac:dyDescent="0.25">
      <c r="J562" s="13"/>
      <c r="K562" s="13"/>
      <c r="L562" s="13"/>
      <c r="M562" s="13"/>
      <c r="N562" s="35"/>
      <c r="O562" s="13"/>
      <c r="P562" s="13"/>
      <c r="Q562" s="35"/>
      <c r="R562" s="13"/>
      <c r="S562" s="13"/>
      <c r="T562" s="35"/>
      <c r="U562" s="13"/>
      <c r="V562" s="36"/>
      <c r="W562" s="13"/>
      <c r="X562" s="13"/>
      <c r="Y562" s="13"/>
      <c r="Z562" s="13"/>
      <c r="AA562" s="13"/>
      <c r="AB562" s="13"/>
    </row>
    <row r="563" spans="10:28" x14ac:dyDescent="0.25">
      <c r="J563" s="13"/>
      <c r="K563" s="13"/>
      <c r="L563" s="13"/>
      <c r="M563" s="13"/>
      <c r="N563" s="35"/>
      <c r="O563" s="13"/>
      <c r="P563" s="13"/>
      <c r="Q563" s="35"/>
      <c r="R563" s="13"/>
      <c r="S563" s="13"/>
      <c r="T563" s="35"/>
      <c r="U563" s="13"/>
      <c r="V563" s="36"/>
      <c r="W563" s="13"/>
      <c r="X563" s="13"/>
      <c r="Y563" s="13"/>
      <c r="Z563" s="13"/>
      <c r="AA563" s="13"/>
      <c r="AB563" s="13"/>
    </row>
    <row r="564" spans="10:28" x14ac:dyDescent="0.25">
      <c r="J564" s="13"/>
      <c r="K564" s="13"/>
      <c r="L564" s="13"/>
      <c r="M564" s="13"/>
      <c r="N564" s="35"/>
      <c r="O564" s="13"/>
      <c r="P564" s="13"/>
      <c r="Q564" s="35"/>
      <c r="R564" s="13"/>
      <c r="S564" s="13"/>
      <c r="T564" s="35"/>
      <c r="U564" s="13"/>
      <c r="V564" s="36"/>
      <c r="W564" s="13"/>
      <c r="X564" s="13"/>
      <c r="Y564" s="13"/>
      <c r="Z564" s="13"/>
      <c r="AA564" s="13"/>
      <c r="AB564" s="13"/>
    </row>
    <row r="565" spans="10:28" x14ac:dyDescent="0.25">
      <c r="J565" s="13"/>
      <c r="K565" s="13"/>
      <c r="L565" s="13"/>
      <c r="M565" s="13"/>
      <c r="N565" s="35"/>
      <c r="O565" s="13"/>
      <c r="P565" s="13"/>
      <c r="Q565" s="35"/>
      <c r="R565" s="13"/>
      <c r="S565" s="13"/>
      <c r="T565" s="35"/>
      <c r="U565" s="13"/>
      <c r="V565" s="36"/>
      <c r="W565" s="13"/>
      <c r="X565" s="13"/>
      <c r="Y565" s="13"/>
      <c r="Z565" s="13"/>
      <c r="AA565" s="13"/>
      <c r="AB565" s="13"/>
    </row>
    <row r="566" spans="10:28" x14ac:dyDescent="0.25">
      <c r="J566" s="13"/>
      <c r="K566" s="13"/>
      <c r="L566" s="13"/>
      <c r="M566" s="13"/>
      <c r="N566" s="35"/>
      <c r="O566" s="13"/>
      <c r="P566" s="13"/>
      <c r="Q566" s="35"/>
      <c r="R566" s="13"/>
      <c r="S566" s="13"/>
      <c r="T566" s="35"/>
      <c r="U566" s="13"/>
      <c r="V566" s="36"/>
      <c r="W566" s="13"/>
      <c r="X566" s="13"/>
      <c r="Y566" s="13"/>
      <c r="Z566" s="13"/>
      <c r="AA566" s="13"/>
      <c r="AB566" s="13"/>
    </row>
    <row r="567" spans="10:28" x14ac:dyDescent="0.25">
      <c r="J567" s="13"/>
      <c r="K567" s="13"/>
      <c r="L567" s="13"/>
      <c r="M567" s="13"/>
      <c r="N567" s="35"/>
      <c r="O567" s="13"/>
      <c r="P567" s="13"/>
      <c r="Q567" s="35"/>
      <c r="R567" s="13"/>
      <c r="S567" s="13"/>
      <c r="T567" s="35"/>
      <c r="U567" s="13"/>
      <c r="V567" s="36"/>
      <c r="W567" s="13"/>
      <c r="X567" s="13"/>
      <c r="Y567" s="13"/>
      <c r="Z567" s="13"/>
      <c r="AA567" s="13"/>
      <c r="AB567" s="13"/>
    </row>
    <row r="568" spans="10:28" x14ac:dyDescent="0.25">
      <c r="J568" s="13"/>
      <c r="K568" s="13"/>
      <c r="L568" s="13"/>
      <c r="M568" s="13"/>
      <c r="N568" s="35"/>
      <c r="O568" s="13"/>
      <c r="P568" s="13"/>
      <c r="Q568" s="35"/>
      <c r="R568" s="13"/>
      <c r="S568" s="13"/>
      <c r="T568" s="35"/>
      <c r="U568" s="13"/>
      <c r="V568" s="36"/>
      <c r="W568" s="13"/>
      <c r="X568" s="13"/>
      <c r="Y568" s="13"/>
      <c r="Z568" s="13"/>
      <c r="AA568" s="13"/>
      <c r="AB568" s="13"/>
    </row>
    <row r="569" spans="10:28" x14ac:dyDescent="0.25">
      <c r="J569" s="13"/>
      <c r="K569" s="13"/>
      <c r="L569" s="13"/>
      <c r="M569" s="13"/>
      <c r="N569" s="35"/>
      <c r="O569" s="13"/>
      <c r="P569" s="13"/>
      <c r="Q569" s="35"/>
      <c r="R569" s="13"/>
      <c r="S569" s="13"/>
      <c r="T569" s="35"/>
      <c r="U569" s="13"/>
      <c r="V569" s="36"/>
      <c r="W569" s="13"/>
      <c r="X569" s="13"/>
      <c r="Y569" s="13"/>
      <c r="Z569" s="13"/>
      <c r="AA569" s="13"/>
      <c r="AB569" s="13"/>
    </row>
    <row r="570" spans="10:28" x14ac:dyDescent="0.25">
      <c r="J570" s="13"/>
      <c r="K570" s="13"/>
      <c r="L570" s="13"/>
      <c r="M570" s="13"/>
      <c r="N570" s="35"/>
      <c r="O570" s="13"/>
      <c r="P570" s="13"/>
      <c r="Q570" s="35"/>
      <c r="R570" s="13"/>
      <c r="S570" s="13"/>
      <c r="T570" s="35"/>
      <c r="U570" s="13"/>
      <c r="V570" s="36"/>
      <c r="W570" s="13"/>
      <c r="X570" s="13"/>
      <c r="Y570" s="13"/>
      <c r="Z570" s="13"/>
      <c r="AA570" s="13"/>
      <c r="AB570" s="13"/>
    </row>
    <row r="571" spans="10:28" x14ac:dyDescent="0.25">
      <c r="J571" s="13"/>
      <c r="K571" s="13"/>
      <c r="L571" s="13"/>
      <c r="M571" s="13"/>
      <c r="N571" s="35"/>
      <c r="O571" s="13"/>
      <c r="P571" s="13"/>
      <c r="Q571" s="35"/>
      <c r="R571" s="13"/>
      <c r="S571" s="13"/>
      <c r="T571" s="35"/>
      <c r="U571" s="13"/>
      <c r="V571" s="36"/>
      <c r="W571" s="13"/>
      <c r="X571" s="13"/>
      <c r="Y571" s="13"/>
      <c r="Z571" s="13"/>
      <c r="AA571" s="13"/>
      <c r="AB571" s="13"/>
    </row>
    <row r="572" spans="10:28" x14ac:dyDescent="0.25">
      <c r="J572" s="13"/>
      <c r="K572" s="13"/>
      <c r="L572" s="13"/>
      <c r="M572" s="13"/>
      <c r="N572" s="35"/>
      <c r="O572" s="13"/>
      <c r="P572" s="13"/>
      <c r="Q572" s="35"/>
      <c r="R572" s="13"/>
      <c r="S572" s="13"/>
      <c r="T572" s="35"/>
      <c r="U572" s="13"/>
      <c r="V572" s="36"/>
      <c r="W572" s="13"/>
      <c r="X572" s="13"/>
      <c r="Y572" s="13"/>
      <c r="Z572" s="13"/>
      <c r="AA572" s="13"/>
      <c r="AB572" s="13"/>
    </row>
    <row r="573" spans="10:28" x14ac:dyDescent="0.25">
      <c r="J573" s="13"/>
      <c r="K573" s="13"/>
      <c r="L573" s="13"/>
      <c r="M573" s="13"/>
      <c r="N573" s="35"/>
      <c r="O573" s="13"/>
      <c r="P573" s="13"/>
      <c r="Q573" s="35"/>
      <c r="R573" s="13"/>
      <c r="S573" s="13"/>
      <c r="T573" s="35"/>
      <c r="U573" s="13"/>
      <c r="V573" s="36"/>
      <c r="W573" s="13"/>
      <c r="X573" s="13"/>
      <c r="Y573" s="13"/>
      <c r="Z573" s="13"/>
      <c r="AA573" s="13"/>
      <c r="AB573" s="13"/>
    </row>
    <row r="574" spans="10:28" x14ac:dyDescent="0.25">
      <c r="J574" s="13"/>
      <c r="K574" s="13"/>
      <c r="L574" s="13"/>
      <c r="M574" s="13"/>
      <c r="N574" s="35"/>
      <c r="O574" s="13"/>
      <c r="P574" s="13"/>
      <c r="Q574" s="35"/>
      <c r="R574" s="13"/>
      <c r="S574" s="13"/>
      <c r="T574" s="35"/>
      <c r="U574" s="13"/>
      <c r="V574" s="36"/>
      <c r="W574" s="13"/>
      <c r="X574" s="13"/>
      <c r="Y574" s="13"/>
      <c r="Z574" s="13"/>
      <c r="AA574" s="13"/>
      <c r="AB574" s="13"/>
    </row>
    <row r="575" spans="10:28" x14ac:dyDescent="0.25">
      <c r="J575" s="13"/>
      <c r="K575" s="13"/>
      <c r="L575" s="13"/>
      <c r="M575" s="13"/>
      <c r="N575" s="35"/>
      <c r="O575" s="13"/>
      <c r="P575" s="13"/>
      <c r="Q575" s="35"/>
      <c r="R575" s="13"/>
      <c r="S575" s="13"/>
      <c r="T575" s="35"/>
      <c r="U575" s="13"/>
      <c r="V575" s="36"/>
      <c r="W575" s="13"/>
      <c r="X575" s="13"/>
      <c r="Y575" s="13"/>
      <c r="Z575" s="13"/>
      <c r="AA575" s="13"/>
      <c r="AB575" s="13"/>
    </row>
    <row r="576" spans="10:28" x14ac:dyDescent="0.25">
      <c r="J576" s="13"/>
      <c r="K576" s="13"/>
      <c r="L576" s="13"/>
      <c r="M576" s="13"/>
      <c r="N576" s="35"/>
      <c r="O576" s="13"/>
      <c r="P576" s="13"/>
      <c r="Q576" s="35"/>
      <c r="R576" s="13"/>
      <c r="S576" s="13"/>
      <c r="T576" s="35"/>
      <c r="U576" s="13"/>
      <c r="V576" s="36"/>
      <c r="W576" s="13"/>
      <c r="X576" s="13"/>
      <c r="Y576" s="13"/>
      <c r="Z576" s="13"/>
      <c r="AA576" s="13"/>
      <c r="AB576" s="13"/>
    </row>
    <row r="577" spans="10:28" x14ac:dyDescent="0.25">
      <c r="J577" s="13"/>
      <c r="K577" s="13"/>
      <c r="L577" s="13"/>
      <c r="M577" s="13"/>
      <c r="N577" s="35"/>
      <c r="O577" s="13"/>
      <c r="P577" s="13"/>
      <c r="Q577" s="35"/>
      <c r="R577" s="13"/>
      <c r="S577" s="13"/>
      <c r="T577" s="35"/>
      <c r="U577" s="13"/>
      <c r="V577" s="36"/>
      <c r="W577" s="13"/>
      <c r="X577" s="13"/>
      <c r="Y577" s="13"/>
      <c r="Z577" s="13"/>
      <c r="AA577" s="13"/>
      <c r="AB577" s="13"/>
    </row>
    <row r="578" spans="10:28" x14ac:dyDescent="0.25">
      <c r="J578" s="13"/>
      <c r="K578" s="13"/>
      <c r="L578" s="13"/>
      <c r="M578" s="13"/>
      <c r="N578" s="35"/>
      <c r="O578" s="13"/>
      <c r="P578" s="13"/>
      <c r="Q578" s="35"/>
      <c r="R578" s="13"/>
      <c r="S578" s="13"/>
      <c r="T578" s="35"/>
      <c r="U578" s="13"/>
      <c r="V578" s="36"/>
      <c r="W578" s="13"/>
      <c r="X578" s="13"/>
      <c r="Y578" s="13"/>
      <c r="Z578" s="13"/>
      <c r="AA578" s="13"/>
      <c r="AB578" s="13"/>
    </row>
    <row r="579" spans="10:28" x14ac:dyDescent="0.25">
      <c r="J579" s="13"/>
      <c r="K579" s="13"/>
      <c r="L579" s="13"/>
      <c r="M579" s="13"/>
      <c r="N579" s="35"/>
      <c r="O579" s="13"/>
      <c r="P579" s="13"/>
      <c r="Q579" s="35"/>
      <c r="R579" s="13"/>
      <c r="S579" s="13"/>
      <c r="T579" s="35"/>
      <c r="U579" s="13"/>
      <c r="V579" s="36"/>
      <c r="W579" s="13"/>
      <c r="X579" s="13"/>
      <c r="Y579" s="13"/>
      <c r="Z579" s="13"/>
      <c r="AA579" s="13"/>
      <c r="AB579" s="13"/>
    </row>
    <row r="580" spans="10:28" x14ac:dyDescent="0.25">
      <c r="J580" s="13"/>
      <c r="K580" s="13"/>
      <c r="L580" s="13"/>
      <c r="M580" s="13"/>
      <c r="N580" s="35"/>
      <c r="O580" s="13"/>
      <c r="P580" s="13"/>
      <c r="Q580" s="35"/>
      <c r="R580" s="13"/>
      <c r="S580" s="13"/>
      <c r="T580" s="35"/>
      <c r="U580" s="13"/>
      <c r="V580" s="36"/>
      <c r="W580" s="13"/>
      <c r="X580" s="13"/>
      <c r="Y580" s="13"/>
      <c r="Z580" s="13"/>
      <c r="AA580" s="13"/>
      <c r="AB580" s="13"/>
    </row>
    <row r="581" spans="10:28" x14ac:dyDescent="0.25">
      <c r="J581" s="13"/>
      <c r="K581" s="13"/>
      <c r="L581" s="13"/>
      <c r="M581" s="13"/>
      <c r="N581" s="35"/>
      <c r="O581" s="13"/>
      <c r="P581" s="13"/>
      <c r="Q581" s="35"/>
      <c r="R581" s="13"/>
      <c r="S581" s="13"/>
      <c r="T581" s="35"/>
      <c r="U581" s="13"/>
      <c r="V581" s="36"/>
      <c r="W581" s="13"/>
      <c r="X581" s="13"/>
      <c r="Y581" s="13"/>
      <c r="Z581" s="13"/>
      <c r="AA581" s="13"/>
      <c r="AB581" s="13"/>
    </row>
    <row r="582" spans="10:28" x14ac:dyDescent="0.25">
      <c r="J582" s="13"/>
      <c r="K582" s="13"/>
      <c r="L582" s="13"/>
      <c r="M582" s="13"/>
      <c r="N582" s="35"/>
      <c r="O582" s="13"/>
      <c r="P582" s="13"/>
      <c r="Q582" s="35"/>
      <c r="R582" s="13"/>
      <c r="S582" s="13"/>
      <c r="T582" s="35"/>
      <c r="U582" s="13"/>
      <c r="V582" s="36"/>
      <c r="W582" s="13"/>
      <c r="X582" s="13"/>
      <c r="Y582" s="13"/>
      <c r="Z582" s="13"/>
      <c r="AA582" s="13"/>
      <c r="AB582" s="13"/>
    </row>
    <row r="583" spans="10:28" x14ac:dyDescent="0.25">
      <c r="J583" s="13"/>
      <c r="K583" s="13"/>
      <c r="L583" s="13"/>
      <c r="M583" s="13"/>
      <c r="N583" s="35"/>
      <c r="O583" s="13"/>
      <c r="P583" s="13"/>
      <c r="Q583" s="35"/>
      <c r="R583" s="13"/>
      <c r="S583" s="13"/>
      <c r="T583" s="35"/>
      <c r="U583" s="13"/>
      <c r="V583" s="36"/>
      <c r="W583" s="13"/>
      <c r="X583" s="13"/>
      <c r="Y583" s="13"/>
      <c r="Z583" s="13"/>
      <c r="AA583" s="13"/>
      <c r="AB583" s="13"/>
    </row>
  </sheetData>
  <mergeCells count="10">
    <mergeCell ref="D427:I427"/>
    <mergeCell ref="G1:M1"/>
    <mergeCell ref="G2:I2"/>
    <mergeCell ref="J2:M2"/>
    <mergeCell ref="N2:V2"/>
    <mergeCell ref="W2:Y2"/>
    <mergeCell ref="Z2:AB2"/>
    <mergeCell ref="N3:P3"/>
    <mergeCell ref="Q3:S3"/>
    <mergeCell ref="T3:V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3"/>
  <sheetViews>
    <sheetView topLeftCell="E1" workbookViewId="0">
      <selection activeCell="K11" sqref="K11"/>
    </sheetView>
  </sheetViews>
  <sheetFormatPr defaultRowHeight="15" x14ac:dyDescent="0.25"/>
  <cols>
    <col min="9" max="9" width="9.140625" customWidth="1"/>
    <col min="10" max="11" width="16.5703125" style="9" customWidth="1"/>
    <col min="12" max="12" width="15" style="9" customWidth="1"/>
    <col min="13" max="13" width="13.85546875" style="9" customWidth="1"/>
    <col min="14" max="14" width="16.140625" style="26" customWidth="1"/>
    <col min="15" max="16" width="16.140625" style="27" customWidth="1"/>
    <col min="17" max="17" width="15" style="26" bestFit="1" customWidth="1"/>
    <col min="18" max="19" width="16.140625" style="27" customWidth="1"/>
    <col min="20" max="20" width="14.140625" style="26" customWidth="1"/>
    <col min="21" max="21" width="16.140625" style="27" customWidth="1"/>
    <col min="22" max="22" width="16.140625" style="28" customWidth="1"/>
    <col min="23" max="23" width="16.5703125" style="9" customWidth="1"/>
    <col min="24" max="24" width="15" style="9" customWidth="1"/>
    <col min="25" max="25" width="13.85546875" style="9" customWidth="1"/>
    <col min="26" max="26" width="16.140625" style="5" customWidth="1"/>
    <col min="27" max="27" width="15" style="5" bestFit="1" customWidth="1"/>
    <col min="28" max="28" width="14.140625" style="5" customWidth="1"/>
  </cols>
  <sheetData>
    <row r="1" spans="1:28" x14ac:dyDescent="0.25">
      <c r="G1" s="49" t="s">
        <v>8</v>
      </c>
      <c r="H1" s="49"/>
      <c r="I1" s="49"/>
      <c r="J1" s="49"/>
      <c r="K1" s="49"/>
      <c r="L1" s="49"/>
      <c r="M1" s="49"/>
      <c r="N1" s="23"/>
      <c r="O1" s="24"/>
      <c r="P1" s="24"/>
      <c r="Q1" s="23"/>
      <c r="R1" s="24"/>
      <c r="S1" s="24"/>
      <c r="T1" s="23"/>
      <c r="U1" s="24"/>
      <c r="V1" s="25"/>
      <c r="W1"/>
      <c r="X1"/>
      <c r="Y1"/>
    </row>
    <row r="2" spans="1:28" x14ac:dyDescent="0.25">
      <c r="G2" s="49" t="s">
        <v>12</v>
      </c>
      <c r="H2" s="49"/>
      <c r="I2" s="49"/>
      <c r="J2" s="50" t="s">
        <v>13</v>
      </c>
      <c r="K2" s="50"/>
      <c r="L2" s="50"/>
      <c r="M2" s="50"/>
      <c r="N2" s="51" t="s">
        <v>14</v>
      </c>
      <c r="O2" s="51"/>
      <c r="P2" s="51"/>
      <c r="Q2" s="51"/>
      <c r="R2" s="51"/>
      <c r="S2" s="51"/>
      <c r="T2" s="51"/>
      <c r="U2" s="51"/>
      <c r="V2" s="51"/>
      <c r="W2" s="43" t="s">
        <v>15</v>
      </c>
      <c r="X2" s="43"/>
      <c r="Y2" s="43"/>
      <c r="Z2" s="44" t="s">
        <v>16</v>
      </c>
      <c r="AA2" s="44"/>
      <c r="AB2" s="44"/>
    </row>
    <row r="3" spans="1:28" ht="15.75" thickBot="1" x14ac:dyDescent="0.3">
      <c r="G3" s="4"/>
      <c r="H3" s="4"/>
      <c r="I3" s="4"/>
      <c r="J3" s="8"/>
      <c r="K3" s="8"/>
      <c r="L3" s="8"/>
      <c r="M3" s="8"/>
      <c r="N3" s="45" t="s">
        <v>21</v>
      </c>
      <c r="O3" s="46"/>
      <c r="P3" s="47"/>
      <c r="Q3" s="45" t="s">
        <v>22</v>
      </c>
      <c r="R3" s="46"/>
      <c r="S3" s="47"/>
      <c r="T3" s="45" t="s">
        <v>23</v>
      </c>
      <c r="U3" s="46"/>
      <c r="V3" s="47"/>
      <c r="W3" s="8"/>
      <c r="X3" s="8"/>
      <c r="Y3" s="8"/>
      <c r="Z3" s="6"/>
      <c r="AA3" s="6"/>
      <c r="AB3" s="6"/>
    </row>
    <row r="4" spans="1:28" s="19" customFormat="1" ht="52.5" customHeight="1" thickBot="1" x14ac:dyDescent="0.3">
      <c r="A4" s="19" t="s">
        <v>4</v>
      </c>
      <c r="B4" s="19" t="s">
        <v>0</v>
      </c>
      <c r="C4" s="19" t="s">
        <v>1</v>
      </c>
      <c r="D4" s="19" t="s">
        <v>2</v>
      </c>
      <c r="E4" s="19" t="s">
        <v>3</v>
      </c>
      <c r="G4" s="20" t="s">
        <v>7</v>
      </c>
      <c r="H4" s="20" t="s">
        <v>5</v>
      </c>
      <c r="I4" s="20" t="s">
        <v>6</v>
      </c>
      <c r="J4" s="21" t="s">
        <v>9</v>
      </c>
      <c r="K4" s="21" t="s">
        <v>18</v>
      </c>
      <c r="L4" s="21" t="s">
        <v>10</v>
      </c>
      <c r="M4" s="21" t="s">
        <v>11</v>
      </c>
      <c r="N4" s="40" t="s">
        <v>9</v>
      </c>
      <c r="O4" s="41" t="s">
        <v>19</v>
      </c>
      <c r="P4" s="42" t="s">
        <v>20</v>
      </c>
      <c r="Q4" s="40" t="s">
        <v>10</v>
      </c>
      <c r="R4" s="41" t="s">
        <v>19</v>
      </c>
      <c r="S4" s="42" t="s">
        <v>20</v>
      </c>
      <c r="T4" s="40" t="s">
        <v>11</v>
      </c>
      <c r="U4" s="41" t="s">
        <v>19</v>
      </c>
      <c r="V4" s="42" t="s">
        <v>20</v>
      </c>
      <c r="W4" s="21" t="s">
        <v>9</v>
      </c>
      <c r="X4" s="21" t="s">
        <v>10</v>
      </c>
      <c r="Y4" s="21" t="s">
        <v>11</v>
      </c>
      <c r="Z4" s="22" t="s">
        <v>9</v>
      </c>
      <c r="AA4" s="22" t="s">
        <v>10</v>
      </c>
      <c r="AB4" s="22" t="s">
        <v>11</v>
      </c>
    </row>
    <row r="5" spans="1:28" x14ac:dyDescent="0.25">
      <c r="A5" s="2">
        <v>1</v>
      </c>
      <c r="B5">
        <v>1</v>
      </c>
      <c r="C5">
        <v>0</v>
      </c>
      <c r="D5">
        <v>0</v>
      </c>
      <c r="E5">
        <v>0</v>
      </c>
      <c r="G5">
        <v>-4666723</v>
      </c>
      <c r="H5">
        <v>7.7699999809999998</v>
      </c>
      <c r="I5">
        <v>2.329999924</v>
      </c>
    </row>
    <row r="6" spans="1:28" x14ac:dyDescent="0.25">
      <c r="A6" s="2">
        <v>2</v>
      </c>
      <c r="B6">
        <v>1</v>
      </c>
      <c r="C6">
        <v>0</v>
      </c>
      <c r="D6">
        <v>0</v>
      </c>
      <c r="E6">
        <v>1</v>
      </c>
      <c r="G6">
        <v>-4032837</v>
      </c>
      <c r="H6">
        <v>8.4300003050000001</v>
      </c>
      <c r="I6">
        <v>2.329999924</v>
      </c>
      <c r="J6" s="9">
        <f>ABS(G6-G5)</f>
        <v>633886</v>
      </c>
      <c r="L6" s="9">
        <f t="shared" ref="L6:M11" si="0">ABS(H6-H5)</f>
        <v>0.6600003240000003</v>
      </c>
      <c r="M6" s="9">
        <f t="shared" si="0"/>
        <v>0</v>
      </c>
    </row>
    <row r="7" spans="1:28" x14ac:dyDescent="0.25">
      <c r="A7" s="2">
        <v>3</v>
      </c>
      <c r="B7">
        <v>1</v>
      </c>
      <c r="C7">
        <v>0</v>
      </c>
      <c r="D7">
        <v>0</v>
      </c>
      <c r="E7">
        <v>2</v>
      </c>
      <c r="G7">
        <v>-4352480.5</v>
      </c>
      <c r="H7">
        <v>8.0900001530000001</v>
      </c>
      <c r="I7">
        <v>2.329999924</v>
      </c>
      <c r="J7" s="9">
        <f>ABS(G7-G6)</f>
        <v>319643.5</v>
      </c>
      <c r="L7" s="9">
        <f t="shared" si="0"/>
        <v>0.340000152</v>
      </c>
      <c r="M7" s="9">
        <f t="shared" si="0"/>
        <v>0</v>
      </c>
    </row>
    <row r="8" spans="1:28" x14ac:dyDescent="0.25">
      <c r="A8" s="2">
        <v>4</v>
      </c>
      <c r="B8">
        <v>1</v>
      </c>
      <c r="C8">
        <v>0</v>
      </c>
      <c r="D8">
        <v>0</v>
      </c>
      <c r="E8">
        <v>3</v>
      </c>
      <c r="G8">
        <v>-3483538.75</v>
      </c>
      <c r="H8">
        <v>8.9600000380000004</v>
      </c>
      <c r="I8">
        <v>2.329999924</v>
      </c>
      <c r="J8" s="9">
        <f t="shared" ref="J8:J11" si="1">ABS(G8-G7)</f>
        <v>868941.75</v>
      </c>
      <c r="L8" s="9">
        <f t="shared" si="0"/>
        <v>0.86999988500000036</v>
      </c>
      <c r="M8" s="9">
        <f t="shared" si="0"/>
        <v>0</v>
      </c>
    </row>
    <row r="9" spans="1:28" x14ac:dyDescent="0.25">
      <c r="A9" s="2">
        <v>5</v>
      </c>
      <c r="B9">
        <v>1</v>
      </c>
      <c r="C9">
        <v>0</v>
      </c>
      <c r="D9">
        <v>0</v>
      </c>
      <c r="E9">
        <v>4</v>
      </c>
      <c r="G9">
        <v>-4202983</v>
      </c>
      <c r="H9">
        <v>8.3000001910000005</v>
      </c>
      <c r="I9">
        <v>2.329999924</v>
      </c>
      <c r="J9" s="9">
        <f t="shared" si="1"/>
        <v>719444.25</v>
      </c>
      <c r="L9" s="9">
        <f t="shared" si="0"/>
        <v>0.65999984699999992</v>
      </c>
      <c r="M9" s="9">
        <f t="shared" si="0"/>
        <v>0</v>
      </c>
    </row>
    <row r="10" spans="1:28" x14ac:dyDescent="0.25">
      <c r="A10" s="2">
        <v>6</v>
      </c>
      <c r="B10">
        <v>1</v>
      </c>
      <c r="C10">
        <v>0</v>
      </c>
      <c r="D10">
        <v>0</v>
      </c>
      <c r="E10">
        <v>5</v>
      </c>
      <c r="G10">
        <v>-4660392</v>
      </c>
      <c r="H10">
        <v>7.75</v>
      </c>
      <c r="I10">
        <v>2.329999924</v>
      </c>
      <c r="J10" s="9">
        <f t="shared" si="1"/>
        <v>457409</v>
      </c>
      <c r="L10" s="9">
        <f t="shared" si="0"/>
        <v>0.55000019100000053</v>
      </c>
      <c r="M10" s="9">
        <f t="shared" si="0"/>
        <v>0</v>
      </c>
    </row>
    <row r="11" spans="1:28" x14ac:dyDescent="0.25">
      <c r="A11" s="2">
        <v>7</v>
      </c>
      <c r="B11">
        <v>1</v>
      </c>
      <c r="C11">
        <v>0</v>
      </c>
      <c r="D11">
        <v>0</v>
      </c>
      <c r="E11">
        <v>6</v>
      </c>
      <c r="G11">
        <v>-6447347.5</v>
      </c>
      <c r="H11">
        <v>-86.180000309999997</v>
      </c>
      <c r="I11">
        <v>2.329999924</v>
      </c>
      <c r="J11" s="9">
        <f t="shared" si="1"/>
        <v>1786955.5</v>
      </c>
      <c r="L11" s="9">
        <f t="shared" si="0"/>
        <v>93.930000309999997</v>
      </c>
      <c r="M11" s="9">
        <f t="shared" si="0"/>
        <v>0</v>
      </c>
    </row>
    <row r="12" spans="1:28" x14ac:dyDescent="0.25">
      <c r="A12" s="2">
        <v>8</v>
      </c>
      <c r="B12">
        <v>1</v>
      </c>
      <c r="C12">
        <v>0</v>
      </c>
      <c r="D12">
        <v>1</v>
      </c>
      <c r="E12">
        <v>0</v>
      </c>
      <c r="G12">
        <v>57882248</v>
      </c>
      <c r="H12">
        <v>32.060001370000002</v>
      </c>
      <c r="I12">
        <v>2.369999886</v>
      </c>
      <c r="N12" s="29">
        <f>ABS(G12-G5)</f>
        <v>62548971</v>
      </c>
      <c r="O12" s="30">
        <f>(N12/ABS(G5))/3</f>
        <v>4.4677297109770606</v>
      </c>
      <c r="P12" s="30">
        <f>(N12/ABS(G5))/(IF(AND(D12=1,D5=0),(2400-600)/600,IF(AND(D12=2,D5=1),(6000-2400)/2400,IF(AND(D12=0,D5=2),ABS(600-6000)/6000,"Not Valid"))))</f>
        <v>4.4677297109770606</v>
      </c>
      <c r="Q12" s="29">
        <f>ABS(H12-H5)</f>
        <v>24.290001389000004</v>
      </c>
      <c r="R12" s="30">
        <f>(Q12/ABS(H5))/3</f>
        <v>1.0420421041783099</v>
      </c>
      <c r="S12" s="30">
        <f>(Q12/ABS(H5))/(IF(AND(D12=1,D5=0),(2400-600)/600,IF(AND(D12=2,D5=1),(6000-2400)/2400,IF(AND(D12=0,D5=2),ABS(600-6000)/6000,"Not Valid"))))</f>
        <v>1.0420421041783099</v>
      </c>
      <c r="T12" s="37">
        <f>ABS(I12-I5)</f>
        <v>3.9999962E-2</v>
      </c>
      <c r="U12" s="30">
        <f>(T12/ABS(I5))/3</f>
        <v>5.7224554084005482E-3</v>
      </c>
      <c r="V12" s="38">
        <f>(T12/ABS(H5))/(IF(AND(D12=1,D5=0),(2400-600)/600,IF(AND(D12=2,D5=1),(6000-2400)/2400,IF(AND(D12=0,D5=2),ABS(600-6000)/6000,"Not Valid"))))</f>
        <v>1.7160000899962252E-3</v>
      </c>
      <c r="Z12" s="7"/>
      <c r="AA12" s="7"/>
      <c r="AB12" s="10"/>
    </row>
    <row r="13" spans="1:28" x14ac:dyDescent="0.25">
      <c r="A13" s="2">
        <v>9</v>
      </c>
      <c r="B13">
        <v>1</v>
      </c>
      <c r="C13">
        <v>0</v>
      </c>
      <c r="D13">
        <v>1</v>
      </c>
      <c r="E13">
        <v>1</v>
      </c>
      <c r="G13">
        <v>60533832</v>
      </c>
      <c r="H13">
        <v>32.840000150000002</v>
      </c>
      <c r="I13">
        <v>2.369999886</v>
      </c>
      <c r="J13" s="9">
        <f>ABS(G13-G12)</f>
        <v>2651584</v>
      </c>
      <c r="L13" s="9">
        <f t="shared" ref="L13:M18" si="2">ABS(H13-H12)</f>
        <v>0.77999877999999967</v>
      </c>
      <c r="M13" s="9">
        <f t="shared" si="2"/>
        <v>0</v>
      </c>
      <c r="N13" s="29">
        <f>ABS(G13-G6)</f>
        <v>64566669</v>
      </c>
      <c r="O13" s="30">
        <f t="shared" ref="O13:O76" si="3">(N13/ABS(G6))/3</f>
        <v>5.3367450754890413</v>
      </c>
      <c r="P13" s="30">
        <f t="shared" ref="P13:P76" si="4">(N13/ABS(G6))/(IF(AND(D13=1,D6=0),(2400-600)/600,IF(AND(D13=2,D6=1),(6000-2400)/2400,IF(AND(D13=0,D6=2),ABS(600-6000)/6000,"Not Valid"))))</f>
        <v>5.3367450754890413</v>
      </c>
      <c r="Q13" s="29">
        <f>ABS(H13-H6)</f>
        <v>24.409999845000002</v>
      </c>
      <c r="R13" s="30">
        <f t="shared" ref="R13:R76" si="5">(Q13/ABS(H6))/3</f>
        <v>0.96520359675123413</v>
      </c>
      <c r="S13" s="30">
        <f t="shared" ref="S13:S76" si="6">(Q13/ABS(H6))/(IF(AND(D13=1,D6=0),(2400-600)/600,IF(AND(D13=2,D6=1),(6000-2400)/2400,IF(AND(D13=0,D6=2),ABS(600-6000)/6000,"Not Valid"))))</f>
        <v>0.96520359675123413</v>
      </c>
      <c r="T13" s="37">
        <f t="shared" ref="T13:T76" si="7">ABS(I13-I6)</f>
        <v>3.9999962E-2</v>
      </c>
      <c r="U13" s="30">
        <f t="shared" ref="U13:U76" si="8">(T13/ABS(I6))/3</f>
        <v>5.7224554084005482E-3</v>
      </c>
      <c r="V13" s="38">
        <f t="shared" ref="V13:V76" si="9">(T13/ABS(H6))/(IF(AND(D13=1,D6=0),(2400-600)/600,IF(AND(D13=2,D6=1),(6000-2400)/2400,IF(AND(D13=0,D6=2),ABS(600-6000)/6000,"Not Valid"))))</f>
        <v>1.5816512674096119E-3</v>
      </c>
      <c r="Z13" s="7"/>
      <c r="AA13" s="7"/>
      <c r="AB13" s="10"/>
    </row>
    <row r="14" spans="1:28" x14ac:dyDescent="0.25">
      <c r="A14" s="2">
        <v>10</v>
      </c>
      <c r="B14">
        <v>1</v>
      </c>
      <c r="C14">
        <v>0</v>
      </c>
      <c r="D14">
        <v>1</v>
      </c>
      <c r="E14">
        <v>2</v>
      </c>
      <c r="G14">
        <v>59049788</v>
      </c>
      <c r="H14">
        <v>32.439998629999998</v>
      </c>
      <c r="I14">
        <v>2.369999886</v>
      </c>
      <c r="J14" s="9">
        <f t="shared" ref="J14:J18" si="10">ABS(G14-G13)</f>
        <v>1484044</v>
      </c>
      <c r="L14" s="9">
        <f t="shared" si="2"/>
        <v>0.40000152000000355</v>
      </c>
      <c r="M14" s="9">
        <f t="shared" si="2"/>
        <v>0</v>
      </c>
      <c r="N14" s="29">
        <f t="shared" ref="N14:N76" si="11">ABS(G14-G7)</f>
        <v>63402268.5</v>
      </c>
      <c r="O14" s="30">
        <f t="shared" si="3"/>
        <v>4.8556425468189923</v>
      </c>
      <c r="P14" s="30">
        <f t="shared" si="4"/>
        <v>4.8556425468189923</v>
      </c>
      <c r="Q14" s="29">
        <f t="shared" ref="Q14:Q76" si="12">ABS(H14-H7)</f>
        <v>24.349998477</v>
      </c>
      <c r="R14" s="30">
        <f t="shared" si="5"/>
        <v>1.0032961687880946</v>
      </c>
      <c r="S14" s="30">
        <f t="shared" si="6"/>
        <v>1.0032961687880946</v>
      </c>
      <c r="T14" s="37">
        <f t="shared" si="7"/>
        <v>3.9999962E-2</v>
      </c>
      <c r="U14" s="30">
        <f t="shared" si="8"/>
        <v>5.7224554084005482E-3</v>
      </c>
      <c r="V14" s="38">
        <f t="shared" si="9"/>
        <v>1.648123660630871E-3</v>
      </c>
      <c r="Z14" s="7"/>
      <c r="AA14" s="7"/>
      <c r="AB14" s="10"/>
    </row>
    <row r="15" spans="1:28" x14ac:dyDescent="0.25">
      <c r="A15" s="2">
        <v>11</v>
      </c>
      <c r="B15">
        <v>1</v>
      </c>
      <c r="C15">
        <v>0</v>
      </c>
      <c r="D15">
        <v>1</v>
      </c>
      <c r="E15">
        <v>3</v>
      </c>
      <c r="G15">
        <v>62502248</v>
      </c>
      <c r="H15">
        <v>33.47000122</v>
      </c>
      <c r="I15">
        <v>2.369999886</v>
      </c>
      <c r="J15" s="9">
        <f t="shared" si="10"/>
        <v>3452460</v>
      </c>
      <c r="L15" s="9">
        <f t="shared" si="2"/>
        <v>1.0300025900000023</v>
      </c>
      <c r="M15" s="9">
        <f t="shared" si="2"/>
        <v>0</v>
      </c>
      <c r="N15" s="29">
        <f t="shared" si="11"/>
        <v>65985786.75</v>
      </c>
      <c r="O15" s="30">
        <f t="shared" si="3"/>
        <v>6.3140570059684284</v>
      </c>
      <c r="P15" s="30">
        <f t="shared" si="4"/>
        <v>6.3140570059684284</v>
      </c>
      <c r="Q15" s="29">
        <f t="shared" si="12"/>
        <v>24.510001182</v>
      </c>
      <c r="R15" s="30">
        <f t="shared" si="5"/>
        <v>0.91183039724893356</v>
      </c>
      <c r="S15" s="30">
        <f t="shared" si="6"/>
        <v>0.91183039724893356</v>
      </c>
      <c r="T15" s="37">
        <f t="shared" si="7"/>
        <v>3.9999962E-2</v>
      </c>
      <c r="U15" s="30">
        <f t="shared" si="8"/>
        <v>5.7224554084005482E-3</v>
      </c>
      <c r="V15" s="38">
        <f t="shared" si="9"/>
        <v>1.4880938180936497E-3</v>
      </c>
      <c r="Z15" s="7"/>
      <c r="AA15" s="7"/>
      <c r="AB15" s="10"/>
    </row>
    <row r="16" spans="1:28" x14ac:dyDescent="0.25">
      <c r="A16" s="2">
        <v>12</v>
      </c>
      <c r="B16">
        <v>1</v>
      </c>
      <c r="C16">
        <v>0</v>
      </c>
      <c r="D16">
        <v>1</v>
      </c>
      <c r="E16">
        <v>4</v>
      </c>
      <c r="G16">
        <v>59028648</v>
      </c>
      <c r="H16">
        <v>32.52999878</v>
      </c>
      <c r="I16">
        <v>2.369999886</v>
      </c>
      <c r="J16" s="9">
        <f t="shared" si="10"/>
        <v>3473600</v>
      </c>
      <c r="L16" s="9">
        <f t="shared" si="2"/>
        <v>0.94000244000000066</v>
      </c>
      <c r="M16" s="9">
        <f t="shared" si="2"/>
        <v>0</v>
      </c>
      <c r="N16" s="29">
        <f t="shared" si="11"/>
        <v>63231631</v>
      </c>
      <c r="O16" s="30">
        <f t="shared" si="3"/>
        <v>5.0148216952895917</v>
      </c>
      <c r="P16" s="30">
        <f t="shared" si="4"/>
        <v>5.0148216952895917</v>
      </c>
      <c r="Q16" s="29">
        <f t="shared" si="12"/>
        <v>24.229998588999997</v>
      </c>
      <c r="R16" s="30">
        <f t="shared" si="5"/>
        <v>0.97309229041839806</v>
      </c>
      <c r="S16" s="30">
        <f t="shared" si="6"/>
        <v>0.97309229041839806</v>
      </c>
      <c r="T16" s="37">
        <f t="shared" si="7"/>
        <v>3.9999962E-2</v>
      </c>
      <c r="U16" s="30">
        <f t="shared" si="8"/>
        <v>5.7224554084005482E-3</v>
      </c>
      <c r="V16" s="38">
        <f t="shared" si="9"/>
        <v>1.6064241397397176E-3</v>
      </c>
      <c r="Z16" s="7"/>
      <c r="AA16" s="7"/>
      <c r="AB16" s="10"/>
    </row>
    <row r="17" spans="1:28" x14ac:dyDescent="0.25">
      <c r="A17" s="2">
        <v>13</v>
      </c>
      <c r="B17">
        <v>1</v>
      </c>
      <c r="C17">
        <v>0</v>
      </c>
      <c r="D17">
        <v>1</v>
      </c>
      <c r="E17">
        <v>5</v>
      </c>
      <c r="G17">
        <v>54923976</v>
      </c>
      <c r="H17">
        <v>32.020000459999999</v>
      </c>
      <c r="I17">
        <v>2.369999886</v>
      </c>
      <c r="J17" s="9">
        <f t="shared" si="10"/>
        <v>4104672</v>
      </c>
      <c r="L17" s="9">
        <f t="shared" si="2"/>
        <v>0.50999832000000112</v>
      </c>
      <c r="M17" s="9">
        <f t="shared" si="2"/>
        <v>0</v>
      </c>
      <c r="N17" s="29">
        <f>ABS(G17-G10)</f>
        <v>59584368</v>
      </c>
      <c r="O17" s="30">
        <f t="shared" si="3"/>
        <v>4.2617565217689846</v>
      </c>
      <c r="P17" s="30">
        <f t="shared" si="4"/>
        <v>4.2617565217689846</v>
      </c>
      <c r="Q17" s="29">
        <f t="shared" si="12"/>
        <v>24.270000459999999</v>
      </c>
      <c r="R17" s="30">
        <f t="shared" si="5"/>
        <v>1.0438709875268817</v>
      </c>
      <c r="S17" s="30">
        <f t="shared" si="6"/>
        <v>1.0438709875268817</v>
      </c>
      <c r="T17" s="37">
        <f t="shared" si="7"/>
        <v>3.9999962E-2</v>
      </c>
      <c r="U17" s="30">
        <f t="shared" si="8"/>
        <v>5.7224554084005482E-3</v>
      </c>
      <c r="V17" s="38">
        <f t="shared" si="9"/>
        <v>1.7204284731182796E-3</v>
      </c>
      <c r="Z17" s="7"/>
      <c r="AA17" s="7"/>
      <c r="AB17" s="10"/>
    </row>
    <row r="18" spans="1:28" x14ac:dyDescent="0.25">
      <c r="A18" s="2">
        <v>14</v>
      </c>
      <c r="B18">
        <v>1</v>
      </c>
      <c r="C18">
        <v>0</v>
      </c>
      <c r="D18">
        <v>1</v>
      </c>
      <c r="E18">
        <v>6</v>
      </c>
      <c r="G18">
        <v>45105628</v>
      </c>
      <c r="H18">
        <v>29.590000150000002</v>
      </c>
      <c r="I18">
        <v>2.369999886</v>
      </c>
      <c r="J18" s="9">
        <f t="shared" si="10"/>
        <v>9818348</v>
      </c>
      <c r="L18" s="9">
        <f t="shared" si="2"/>
        <v>2.4300003099999969</v>
      </c>
      <c r="M18" s="9">
        <f t="shared" si="2"/>
        <v>0</v>
      </c>
      <c r="N18" s="29">
        <f>ABS(G18-G11)</f>
        <v>51552975.5</v>
      </c>
      <c r="O18" s="30">
        <f t="shared" si="3"/>
        <v>2.6653325521335196</v>
      </c>
      <c r="P18" s="30">
        <f t="shared" si="4"/>
        <v>2.6653325521335196</v>
      </c>
      <c r="Q18" s="29">
        <f t="shared" si="12"/>
        <v>115.77000046000001</v>
      </c>
      <c r="R18" s="30">
        <f t="shared" si="5"/>
        <v>0.44778370868554634</v>
      </c>
      <c r="S18" s="30">
        <f t="shared" si="6"/>
        <v>0.44778370868554634</v>
      </c>
      <c r="T18" s="37">
        <f t="shared" si="7"/>
        <v>3.9999962E-2</v>
      </c>
      <c r="U18" s="30">
        <f t="shared" si="8"/>
        <v>5.7224554084005482E-3</v>
      </c>
      <c r="V18" s="38">
        <f t="shared" si="9"/>
        <v>1.5471479019151871E-4</v>
      </c>
      <c r="Z18" s="7"/>
      <c r="AA18" s="7"/>
      <c r="AB18" s="10"/>
    </row>
    <row r="19" spans="1:28" x14ac:dyDescent="0.25">
      <c r="A19" s="2">
        <v>15</v>
      </c>
      <c r="B19">
        <v>1</v>
      </c>
      <c r="C19">
        <v>0</v>
      </c>
      <c r="D19">
        <v>2</v>
      </c>
      <c r="E19">
        <v>0</v>
      </c>
      <c r="G19">
        <v>260752464</v>
      </c>
      <c r="H19">
        <v>61.189998629999998</v>
      </c>
      <c r="I19">
        <v>2.4700000289999999</v>
      </c>
      <c r="N19" s="29">
        <f>ABS(G19-G12)</f>
        <v>202870216</v>
      </c>
      <c r="O19" s="30">
        <f t="shared" si="3"/>
        <v>1.1682926574194792</v>
      </c>
      <c r="P19" s="30">
        <f t="shared" si="4"/>
        <v>2.3365853148389584</v>
      </c>
      <c r="Q19" s="29">
        <f t="shared" si="12"/>
        <v>29.129997259999996</v>
      </c>
      <c r="R19" s="30">
        <f t="shared" si="5"/>
        <v>0.30286957803291775</v>
      </c>
      <c r="S19" s="30">
        <f t="shared" si="6"/>
        <v>0.6057391560658355</v>
      </c>
      <c r="T19" s="37">
        <f t="shared" si="7"/>
        <v>0.10000014299999993</v>
      </c>
      <c r="U19" s="30">
        <f t="shared" si="8"/>
        <v>1.4064718398049736E-2</v>
      </c>
      <c r="V19" s="38">
        <f t="shared" si="9"/>
        <v>2.0794372785767584E-3</v>
      </c>
      <c r="Z19" s="7"/>
      <c r="AA19" s="7"/>
      <c r="AB19" s="10"/>
    </row>
    <row r="20" spans="1:28" x14ac:dyDescent="0.25">
      <c r="A20" s="2">
        <v>16</v>
      </c>
      <c r="B20">
        <v>1</v>
      </c>
      <c r="C20">
        <v>0</v>
      </c>
      <c r="D20">
        <v>2</v>
      </c>
      <c r="E20">
        <v>1</v>
      </c>
      <c r="G20">
        <v>268792448</v>
      </c>
      <c r="H20">
        <v>63.240001679999999</v>
      </c>
      <c r="I20">
        <v>2.4700000289999999</v>
      </c>
      <c r="J20" s="9">
        <f t="shared" ref="J20:J81" si="13">ABS(G20-G19)</f>
        <v>8039984</v>
      </c>
      <c r="L20" s="9">
        <f t="shared" ref="L20:M25" si="14">ABS(H20-H19)</f>
        <v>2.0500030500000008</v>
      </c>
      <c r="M20" s="9">
        <f t="shared" si="14"/>
        <v>0</v>
      </c>
      <c r="N20" s="29">
        <f t="shared" si="11"/>
        <v>208258616</v>
      </c>
      <c r="O20" s="30">
        <f t="shared" si="3"/>
        <v>1.1467890991382583</v>
      </c>
      <c r="P20" s="30">
        <f t="shared" si="4"/>
        <v>2.2935781982765167</v>
      </c>
      <c r="Q20" s="29">
        <f t="shared" si="12"/>
        <v>30.400001529999997</v>
      </c>
      <c r="R20" s="30">
        <f t="shared" si="5"/>
        <v>0.30856680258977803</v>
      </c>
      <c r="S20" s="30">
        <f t="shared" si="6"/>
        <v>0.61713360517955607</v>
      </c>
      <c r="T20" s="37">
        <f t="shared" si="7"/>
        <v>0.10000014299999993</v>
      </c>
      <c r="U20" s="30">
        <f t="shared" si="8"/>
        <v>1.4064718398049736E-2</v>
      </c>
      <c r="V20" s="38">
        <f t="shared" si="9"/>
        <v>2.0300475546739592E-3</v>
      </c>
      <c r="Z20" s="7"/>
      <c r="AA20" s="7"/>
      <c r="AB20" s="10"/>
    </row>
    <row r="21" spans="1:28" x14ac:dyDescent="0.25">
      <c r="A21" s="2">
        <v>17</v>
      </c>
      <c r="B21">
        <v>1</v>
      </c>
      <c r="C21">
        <v>0</v>
      </c>
      <c r="D21">
        <v>2</v>
      </c>
      <c r="E21">
        <v>2</v>
      </c>
      <c r="G21">
        <v>264480544</v>
      </c>
      <c r="H21">
        <v>62.159999849999998</v>
      </c>
      <c r="I21">
        <v>2.4700000289999999</v>
      </c>
      <c r="J21" s="9">
        <f t="shared" si="13"/>
        <v>4311904</v>
      </c>
      <c r="L21" s="9">
        <f t="shared" si="14"/>
        <v>1.0800018300000005</v>
      </c>
      <c r="M21" s="9">
        <f t="shared" si="14"/>
        <v>0</v>
      </c>
      <c r="N21" s="29">
        <f t="shared" si="11"/>
        <v>205430756</v>
      </c>
      <c r="O21" s="30">
        <f t="shared" si="3"/>
        <v>1.1596471551543364</v>
      </c>
      <c r="P21" s="30">
        <f t="shared" si="4"/>
        <v>2.3192943103086727</v>
      </c>
      <c r="Q21" s="29">
        <f t="shared" si="12"/>
        <v>29.72000122</v>
      </c>
      <c r="R21" s="30">
        <f t="shared" si="5"/>
        <v>0.30538432465196852</v>
      </c>
      <c r="S21" s="30">
        <f t="shared" si="6"/>
        <v>0.61076864930393704</v>
      </c>
      <c r="T21" s="37">
        <f t="shared" si="7"/>
        <v>0.10000014299999993</v>
      </c>
      <c r="U21" s="30">
        <f t="shared" si="8"/>
        <v>1.4064718398049736E-2</v>
      </c>
      <c r="V21" s="38">
        <f t="shared" si="9"/>
        <v>2.0550790633618457E-3</v>
      </c>
      <c r="Z21" s="7"/>
      <c r="AA21" s="7"/>
      <c r="AB21" s="10"/>
    </row>
    <row r="22" spans="1:28" x14ac:dyDescent="0.25">
      <c r="A22" s="2">
        <v>18</v>
      </c>
      <c r="B22">
        <v>1</v>
      </c>
      <c r="C22">
        <v>0</v>
      </c>
      <c r="D22">
        <v>2</v>
      </c>
      <c r="E22">
        <v>3</v>
      </c>
      <c r="G22">
        <v>275226304</v>
      </c>
      <c r="H22">
        <v>65.440002440000001</v>
      </c>
      <c r="I22">
        <v>2.4800000190000002</v>
      </c>
      <c r="J22" s="9">
        <f t="shared" si="13"/>
        <v>10745760</v>
      </c>
      <c r="L22" s="9">
        <f t="shared" si="14"/>
        <v>3.2800025900000023</v>
      </c>
      <c r="M22" s="9">
        <f t="shared" si="14"/>
        <v>9.9999900000002917E-3</v>
      </c>
      <c r="N22" s="29">
        <f t="shared" si="11"/>
        <v>212724056</v>
      </c>
      <c r="O22" s="30">
        <f t="shared" si="3"/>
        <v>1.1344874934205034</v>
      </c>
      <c r="P22" s="30">
        <f t="shared" si="4"/>
        <v>2.2689749868410067</v>
      </c>
      <c r="Q22" s="29">
        <f t="shared" si="12"/>
        <v>31.97000122</v>
      </c>
      <c r="R22" s="30">
        <f t="shared" si="5"/>
        <v>0.31839458275745275</v>
      </c>
      <c r="S22" s="30">
        <f t="shared" si="6"/>
        <v>0.6367891655149055</v>
      </c>
      <c r="T22" s="37">
        <f t="shared" si="7"/>
        <v>0.11000013300000022</v>
      </c>
      <c r="U22" s="30">
        <f t="shared" si="8"/>
        <v>1.5471186820133069E-2</v>
      </c>
      <c r="V22" s="38">
        <f t="shared" si="9"/>
        <v>2.1910194002675971E-3</v>
      </c>
      <c r="Z22" s="7"/>
      <c r="AA22" s="7"/>
      <c r="AB22" s="10"/>
    </row>
    <row r="23" spans="1:28" x14ac:dyDescent="0.25">
      <c r="A23" s="2">
        <v>19</v>
      </c>
      <c r="B23">
        <v>1</v>
      </c>
      <c r="C23">
        <v>0</v>
      </c>
      <c r="D23">
        <v>2</v>
      </c>
      <c r="E23">
        <v>4</v>
      </c>
      <c r="G23">
        <v>263155168</v>
      </c>
      <c r="H23">
        <v>64.199996949999999</v>
      </c>
      <c r="I23">
        <v>2.4800000190000002</v>
      </c>
      <c r="J23" s="9">
        <f t="shared" si="13"/>
        <v>12071136</v>
      </c>
      <c r="L23" s="9">
        <f t="shared" si="14"/>
        <v>1.2400054900000015</v>
      </c>
      <c r="M23" s="9">
        <f t="shared" si="14"/>
        <v>0</v>
      </c>
      <c r="N23" s="29">
        <f t="shared" si="11"/>
        <v>204126520</v>
      </c>
      <c r="O23" s="30">
        <f t="shared" si="3"/>
        <v>1.1526974721381613</v>
      </c>
      <c r="P23" s="30">
        <f t="shared" si="4"/>
        <v>2.3053949442763226</v>
      </c>
      <c r="Q23" s="29">
        <f t="shared" si="12"/>
        <v>31.66999817</v>
      </c>
      <c r="R23" s="30">
        <f t="shared" si="5"/>
        <v>0.32452094843474405</v>
      </c>
      <c r="S23" s="30">
        <f t="shared" si="6"/>
        <v>0.6490418968694881</v>
      </c>
      <c r="T23" s="37">
        <f t="shared" si="7"/>
        <v>0.11000013300000022</v>
      </c>
      <c r="U23" s="30">
        <f t="shared" si="8"/>
        <v>1.5471186820133069E-2</v>
      </c>
      <c r="V23" s="38">
        <f t="shared" si="9"/>
        <v>2.2543321472574657E-3</v>
      </c>
      <c r="Z23" s="7"/>
      <c r="AA23" s="7"/>
      <c r="AB23" s="10"/>
    </row>
    <row r="24" spans="1:28" x14ac:dyDescent="0.25">
      <c r="A24" s="2">
        <v>20</v>
      </c>
      <c r="B24">
        <v>1</v>
      </c>
      <c r="C24">
        <v>0</v>
      </c>
      <c r="D24">
        <v>2</v>
      </c>
      <c r="E24">
        <v>5</v>
      </c>
      <c r="G24">
        <v>248563072</v>
      </c>
      <c r="H24">
        <v>64.16999817</v>
      </c>
      <c r="I24">
        <v>2.4800000190000002</v>
      </c>
      <c r="J24" s="9">
        <f t="shared" si="13"/>
        <v>14592096</v>
      </c>
      <c r="L24" s="9">
        <f t="shared" si="14"/>
        <v>2.999877999999967E-2</v>
      </c>
      <c r="M24" s="9">
        <f t="shared" si="14"/>
        <v>0</v>
      </c>
      <c r="N24" s="29">
        <f t="shared" si="11"/>
        <v>193639096</v>
      </c>
      <c r="O24" s="30">
        <f t="shared" si="3"/>
        <v>1.1751946969996006</v>
      </c>
      <c r="P24" s="30">
        <f t="shared" si="4"/>
        <v>2.3503893939992011</v>
      </c>
      <c r="Q24" s="29">
        <f t="shared" si="12"/>
        <v>32.149997710000001</v>
      </c>
      <c r="R24" s="30">
        <f t="shared" si="5"/>
        <v>0.334686625527092</v>
      </c>
      <c r="S24" s="30">
        <f t="shared" si="6"/>
        <v>0.66937325105418399</v>
      </c>
      <c r="T24" s="37">
        <f t="shared" si="7"/>
        <v>0.11000013300000022</v>
      </c>
      <c r="U24" s="30">
        <f t="shared" si="8"/>
        <v>1.5471186820133069E-2</v>
      </c>
      <c r="V24" s="38">
        <f t="shared" si="9"/>
        <v>2.2902380058241931E-3</v>
      </c>
      <c r="Z24" s="7"/>
      <c r="AA24" s="7"/>
      <c r="AB24" s="10"/>
    </row>
    <row r="25" spans="1:28" x14ac:dyDescent="0.25">
      <c r="A25" s="2">
        <v>21</v>
      </c>
      <c r="B25">
        <v>1</v>
      </c>
      <c r="C25">
        <v>0</v>
      </c>
      <c r="D25">
        <v>2</v>
      </c>
      <c r="E25">
        <v>6</v>
      </c>
      <c r="G25">
        <v>214266848</v>
      </c>
      <c r="H25">
        <v>60.549999239999998</v>
      </c>
      <c r="I25">
        <v>2.4800000190000002</v>
      </c>
      <c r="J25" s="9">
        <f t="shared" si="13"/>
        <v>34296224</v>
      </c>
      <c r="L25" s="9">
        <f t="shared" si="14"/>
        <v>3.6199989300000013</v>
      </c>
      <c r="M25" s="9">
        <f t="shared" si="14"/>
        <v>0</v>
      </c>
      <c r="N25" s="29">
        <f t="shared" si="11"/>
        <v>169161220</v>
      </c>
      <c r="O25" s="30">
        <f t="shared" si="3"/>
        <v>1.250111700768989</v>
      </c>
      <c r="P25" s="30">
        <f t="shared" si="4"/>
        <v>2.5002234015379781</v>
      </c>
      <c r="Q25" s="29">
        <f t="shared" si="12"/>
        <v>30.959999089999997</v>
      </c>
      <c r="R25" s="30">
        <f t="shared" si="5"/>
        <v>0.3487664631413212</v>
      </c>
      <c r="S25" s="30">
        <f t="shared" si="6"/>
        <v>0.69753292628264241</v>
      </c>
      <c r="T25" s="37">
        <f t="shared" si="7"/>
        <v>0.11000013300000022</v>
      </c>
      <c r="U25" s="30">
        <f t="shared" si="8"/>
        <v>1.5471186820133069E-2</v>
      </c>
      <c r="V25" s="38">
        <f t="shared" si="9"/>
        <v>2.4783177299172857E-3</v>
      </c>
      <c r="Z25" s="7"/>
      <c r="AA25" s="7"/>
      <c r="AB25" s="10"/>
    </row>
    <row r="26" spans="1:28" x14ac:dyDescent="0.25">
      <c r="A26" s="2">
        <v>22</v>
      </c>
      <c r="B26">
        <v>1</v>
      </c>
      <c r="C26">
        <v>1</v>
      </c>
      <c r="D26">
        <v>0</v>
      </c>
      <c r="E26">
        <v>0</v>
      </c>
      <c r="G26">
        <v>-4408647.5</v>
      </c>
      <c r="H26">
        <v>8.0600004199999997</v>
      </c>
      <c r="I26">
        <v>2.329999924</v>
      </c>
      <c r="N26" s="29">
        <f t="shared" si="11"/>
        <v>265161111.5</v>
      </c>
      <c r="O26" s="30">
        <f t="shared" si="3"/>
        <v>0.3389691349826196</v>
      </c>
      <c r="P26" s="30">
        <f t="shared" si="4"/>
        <v>1.1298971166087319</v>
      </c>
      <c r="Q26" s="29">
        <f t="shared" si="12"/>
        <v>53.129998209999997</v>
      </c>
      <c r="R26" s="30">
        <f t="shared" si="5"/>
        <v>0.28942637358796314</v>
      </c>
      <c r="S26" s="30">
        <f t="shared" si="6"/>
        <v>0.96475457862654379</v>
      </c>
      <c r="T26" s="37">
        <f t="shared" si="7"/>
        <v>0.14000010499999993</v>
      </c>
      <c r="U26" s="30">
        <f t="shared" si="8"/>
        <v>1.8893401262655065E-2</v>
      </c>
      <c r="V26" s="38">
        <f t="shared" si="9"/>
        <v>2.5421747949828668E-3</v>
      </c>
      <c r="W26" s="12">
        <f>ABS(G26-G5)</f>
        <v>258075.5</v>
      </c>
      <c r="X26" s="12">
        <f t="shared" ref="W26:Y41" si="15">ABS(H26-H5)</f>
        <v>0.29000043899999994</v>
      </c>
      <c r="Y26" s="11">
        <f t="shared" si="15"/>
        <v>0</v>
      </c>
      <c r="Z26" s="7"/>
      <c r="AA26" s="7"/>
      <c r="AB26" s="10"/>
    </row>
    <row r="27" spans="1:28" x14ac:dyDescent="0.25">
      <c r="A27" s="2">
        <v>23</v>
      </c>
      <c r="B27">
        <v>1</v>
      </c>
      <c r="C27">
        <v>1</v>
      </c>
      <c r="D27">
        <v>0</v>
      </c>
      <c r="E27">
        <v>1</v>
      </c>
      <c r="G27">
        <v>-3769528.5</v>
      </c>
      <c r="H27">
        <v>8.7100000380000004</v>
      </c>
      <c r="I27">
        <v>2.329999924</v>
      </c>
      <c r="J27" s="9">
        <f t="shared" ref="J27:J88" si="16">ABS(G27-G26)</f>
        <v>639119</v>
      </c>
      <c r="L27" s="9">
        <f t="shared" ref="L27:M32" si="17">ABS(H27-H26)</f>
        <v>0.64999961800000072</v>
      </c>
      <c r="M27" s="9">
        <f t="shared" si="17"/>
        <v>0</v>
      </c>
      <c r="N27" s="29">
        <f>ABS(G27-G20)</f>
        <v>272561976.5</v>
      </c>
      <c r="O27" s="30">
        <f t="shared" si="3"/>
        <v>0.33800797917754988</v>
      </c>
      <c r="P27" s="30">
        <f t="shared" si="4"/>
        <v>1.1266932639251663</v>
      </c>
      <c r="Q27" s="29">
        <f t="shared" si="12"/>
        <v>54.530001642000002</v>
      </c>
      <c r="R27" s="30">
        <f t="shared" si="5"/>
        <v>0.28742357259848827</v>
      </c>
      <c r="S27" s="30">
        <f t="shared" si="6"/>
        <v>0.95807857532829421</v>
      </c>
      <c r="T27" s="37">
        <f t="shared" si="7"/>
        <v>0.14000010499999993</v>
      </c>
      <c r="U27" s="30">
        <f t="shared" si="8"/>
        <v>1.8893401262655065E-2</v>
      </c>
      <c r="V27" s="38">
        <f t="shared" si="9"/>
        <v>2.4597670475935089E-3</v>
      </c>
      <c r="W27" s="9">
        <f t="shared" si="15"/>
        <v>263308.5</v>
      </c>
      <c r="X27" s="12">
        <f t="shared" si="15"/>
        <v>0.27999973300000036</v>
      </c>
      <c r="Y27" s="11">
        <f t="shared" si="15"/>
        <v>0</v>
      </c>
      <c r="Z27" s="7"/>
      <c r="AA27" s="7"/>
      <c r="AB27" s="10"/>
    </row>
    <row r="28" spans="1:28" x14ac:dyDescent="0.25">
      <c r="A28" s="2">
        <v>24</v>
      </c>
      <c r="B28">
        <v>1</v>
      </c>
      <c r="C28">
        <v>1</v>
      </c>
      <c r="D28">
        <v>0</v>
      </c>
      <c r="E28">
        <v>2</v>
      </c>
      <c r="G28">
        <v>-4094715.75</v>
      </c>
      <c r="H28">
        <v>8.3900003430000005</v>
      </c>
      <c r="I28">
        <v>2.329999924</v>
      </c>
      <c r="J28" s="9">
        <f t="shared" si="16"/>
        <v>325187.25</v>
      </c>
      <c r="L28" s="9">
        <f t="shared" si="17"/>
        <v>0.31999969499999992</v>
      </c>
      <c r="M28" s="9">
        <f t="shared" si="17"/>
        <v>0</v>
      </c>
      <c r="N28" s="29">
        <f t="shared" si="11"/>
        <v>268575259.75</v>
      </c>
      <c r="O28" s="30">
        <f t="shared" si="3"/>
        <v>0.33849403524870753</v>
      </c>
      <c r="P28" s="30">
        <f t="shared" si="4"/>
        <v>1.1283134508290249</v>
      </c>
      <c r="Q28" s="29">
        <f t="shared" si="12"/>
        <v>53.769999506999994</v>
      </c>
      <c r="R28" s="30">
        <f t="shared" si="5"/>
        <v>0.28834191139400395</v>
      </c>
      <c r="S28" s="30">
        <f t="shared" si="6"/>
        <v>0.96113970464667975</v>
      </c>
      <c r="T28" s="37">
        <f t="shared" si="7"/>
        <v>0.14000010499999993</v>
      </c>
      <c r="U28" s="30">
        <f t="shared" si="8"/>
        <v>1.8893401262655065E-2</v>
      </c>
      <c r="V28" s="38">
        <f t="shared" si="9"/>
        <v>2.5025043854182403E-3</v>
      </c>
      <c r="W28" s="9">
        <f t="shared" si="15"/>
        <v>257764.75</v>
      </c>
      <c r="X28" s="12">
        <f t="shared" si="15"/>
        <v>0.30000019000000044</v>
      </c>
      <c r="Y28" s="11">
        <f t="shared" si="15"/>
        <v>0</v>
      </c>
      <c r="Z28" s="7"/>
      <c r="AA28" s="7"/>
      <c r="AB28" s="10"/>
    </row>
    <row r="29" spans="1:28" x14ac:dyDescent="0.25">
      <c r="A29" s="2">
        <v>25</v>
      </c>
      <c r="B29">
        <v>1</v>
      </c>
      <c r="C29">
        <v>1</v>
      </c>
      <c r="D29">
        <v>0</v>
      </c>
      <c r="E29">
        <v>3</v>
      </c>
      <c r="G29">
        <v>-3222646.25</v>
      </c>
      <c r="H29">
        <v>9.2399997710000008</v>
      </c>
      <c r="I29">
        <v>2.329999924</v>
      </c>
      <c r="J29" s="9">
        <f t="shared" si="16"/>
        <v>872069.5</v>
      </c>
      <c r="L29" s="9">
        <f t="shared" si="17"/>
        <v>0.84999942800000028</v>
      </c>
      <c r="M29" s="9">
        <f t="shared" si="17"/>
        <v>0</v>
      </c>
      <c r="N29" s="29">
        <f t="shared" si="11"/>
        <v>278448950.25</v>
      </c>
      <c r="O29" s="30">
        <f t="shared" si="3"/>
        <v>0.33723635931978363</v>
      </c>
      <c r="P29" s="30">
        <f t="shared" si="4"/>
        <v>1.1241211977326122</v>
      </c>
      <c r="Q29" s="29">
        <f t="shared" si="12"/>
        <v>56.200002669</v>
      </c>
      <c r="R29" s="30">
        <f t="shared" si="5"/>
        <v>0.28626732158477591</v>
      </c>
      <c r="S29" s="30">
        <f t="shared" si="6"/>
        <v>0.95422440528258634</v>
      </c>
      <c r="T29" s="37">
        <f t="shared" si="7"/>
        <v>0.15000009500000022</v>
      </c>
      <c r="U29" s="30">
        <f t="shared" si="8"/>
        <v>2.0161302936936281E-2</v>
      </c>
      <c r="V29" s="38">
        <f t="shared" si="9"/>
        <v>2.5468637837389187E-3</v>
      </c>
      <c r="W29" s="9">
        <f t="shared" si="15"/>
        <v>260892.5</v>
      </c>
      <c r="X29" s="12">
        <f t="shared" si="15"/>
        <v>0.27999973300000036</v>
      </c>
      <c r="Y29" s="11">
        <f t="shared" si="15"/>
        <v>0</v>
      </c>
      <c r="Z29" s="7"/>
      <c r="AA29" s="7"/>
      <c r="AB29" s="10"/>
    </row>
    <row r="30" spans="1:28" x14ac:dyDescent="0.25">
      <c r="A30" s="2">
        <v>26</v>
      </c>
      <c r="B30">
        <v>1</v>
      </c>
      <c r="C30">
        <v>1</v>
      </c>
      <c r="D30">
        <v>0</v>
      </c>
      <c r="E30">
        <v>4</v>
      </c>
      <c r="G30">
        <v>-3952253</v>
      </c>
      <c r="H30">
        <v>8.5699996949999999</v>
      </c>
      <c r="I30">
        <v>2.329999924</v>
      </c>
      <c r="J30" s="9">
        <f t="shared" si="16"/>
        <v>729606.75</v>
      </c>
      <c r="L30" s="9">
        <f t="shared" si="17"/>
        <v>0.67000007600000089</v>
      </c>
      <c r="M30" s="9">
        <f t="shared" si="17"/>
        <v>0</v>
      </c>
      <c r="N30" s="29">
        <f t="shared" si="11"/>
        <v>267107421</v>
      </c>
      <c r="O30" s="30">
        <f t="shared" si="3"/>
        <v>0.33833957233931278</v>
      </c>
      <c r="P30" s="30">
        <f t="shared" si="4"/>
        <v>1.1277985744643759</v>
      </c>
      <c r="Q30" s="29">
        <f t="shared" si="12"/>
        <v>55.629997254999999</v>
      </c>
      <c r="R30" s="30">
        <f t="shared" si="5"/>
        <v>0.28883696727859942</v>
      </c>
      <c r="S30" s="30">
        <f t="shared" si="6"/>
        <v>0.96278989092866474</v>
      </c>
      <c r="T30" s="37">
        <f t="shared" si="7"/>
        <v>0.15000009500000022</v>
      </c>
      <c r="U30" s="30">
        <f t="shared" si="8"/>
        <v>2.0161302936936281E-2</v>
      </c>
      <c r="V30" s="38">
        <f t="shared" si="9"/>
        <v>2.5960557654235599E-3</v>
      </c>
      <c r="W30" s="9">
        <f t="shared" si="15"/>
        <v>250730</v>
      </c>
      <c r="X30" s="12">
        <f t="shared" si="15"/>
        <v>0.26999950399999939</v>
      </c>
      <c r="Y30" s="11">
        <f t="shared" si="15"/>
        <v>0</v>
      </c>
      <c r="Z30" s="7"/>
      <c r="AA30" s="7"/>
      <c r="AB30" s="10"/>
    </row>
    <row r="31" spans="1:28" x14ac:dyDescent="0.25">
      <c r="A31" s="2">
        <v>27</v>
      </c>
      <c r="B31">
        <v>1</v>
      </c>
      <c r="C31">
        <v>1</v>
      </c>
      <c r="D31">
        <v>0</v>
      </c>
      <c r="E31">
        <v>5</v>
      </c>
      <c r="G31">
        <v>-4440256.5</v>
      </c>
      <c r="H31">
        <v>7.9899997709999999</v>
      </c>
      <c r="I31">
        <v>2.329999924</v>
      </c>
      <c r="J31" s="9">
        <f t="shared" si="16"/>
        <v>488003.5</v>
      </c>
      <c r="L31" s="9">
        <f t="shared" si="17"/>
        <v>0.579999924</v>
      </c>
      <c r="M31" s="9">
        <f t="shared" si="17"/>
        <v>0</v>
      </c>
      <c r="N31" s="29">
        <f t="shared" si="11"/>
        <v>253003328.5</v>
      </c>
      <c r="O31" s="30">
        <f t="shared" si="3"/>
        <v>0.33928790047032137</v>
      </c>
      <c r="P31" s="30">
        <f t="shared" si="4"/>
        <v>1.1309596682344045</v>
      </c>
      <c r="Q31" s="29">
        <f t="shared" si="12"/>
        <v>56.179998398999999</v>
      </c>
      <c r="R31" s="30">
        <f t="shared" si="5"/>
        <v>0.29182899590224504</v>
      </c>
      <c r="S31" s="30">
        <f t="shared" si="6"/>
        <v>0.97276331967415008</v>
      </c>
      <c r="T31" s="37">
        <f t="shared" si="7"/>
        <v>0.15000009500000022</v>
      </c>
      <c r="U31" s="30">
        <f t="shared" si="8"/>
        <v>2.0161302936936281E-2</v>
      </c>
      <c r="V31" s="38">
        <f t="shared" si="9"/>
        <v>2.597269393411648E-3</v>
      </c>
      <c r="W31" s="9">
        <f t="shared" si="15"/>
        <v>220135.5</v>
      </c>
      <c r="X31" s="12">
        <f t="shared" si="15"/>
        <v>0.23999977099999992</v>
      </c>
      <c r="Y31" s="11">
        <f t="shared" si="15"/>
        <v>0</v>
      </c>
      <c r="Z31" s="7"/>
      <c r="AA31" s="7"/>
      <c r="AB31" s="10"/>
    </row>
    <row r="32" spans="1:28" x14ac:dyDescent="0.25">
      <c r="A32" s="2">
        <v>28</v>
      </c>
      <c r="B32">
        <v>1</v>
      </c>
      <c r="C32">
        <v>1</v>
      </c>
      <c r="D32">
        <v>0</v>
      </c>
      <c r="E32">
        <v>6</v>
      </c>
      <c r="G32">
        <v>-6261197.5</v>
      </c>
      <c r="H32">
        <v>-89.069999690000003</v>
      </c>
      <c r="I32">
        <v>2.329999924</v>
      </c>
      <c r="J32" s="9">
        <f t="shared" si="16"/>
        <v>1820941</v>
      </c>
      <c r="L32" s="9">
        <f t="shared" si="17"/>
        <v>97.059999461000004</v>
      </c>
      <c r="M32" s="9">
        <f t="shared" si="17"/>
        <v>0</v>
      </c>
      <c r="N32" s="29">
        <f t="shared" si="11"/>
        <v>220528045.5</v>
      </c>
      <c r="O32" s="30">
        <f t="shared" si="3"/>
        <v>0.34307383146831932</v>
      </c>
      <c r="P32" s="30">
        <f t="shared" si="4"/>
        <v>1.1435794382277311</v>
      </c>
      <c r="Q32" s="29">
        <f t="shared" si="12"/>
        <v>149.61999893000001</v>
      </c>
      <c r="R32" s="30">
        <f t="shared" si="5"/>
        <v>0.82367190095222653</v>
      </c>
      <c r="S32" s="30">
        <f t="shared" si="6"/>
        <v>2.7455730031740884</v>
      </c>
      <c r="T32" s="37">
        <f t="shared" si="7"/>
        <v>0.15000009500000022</v>
      </c>
      <c r="U32" s="30">
        <f t="shared" si="8"/>
        <v>2.0161302936936281E-2</v>
      </c>
      <c r="V32" s="38">
        <f t="shared" si="9"/>
        <v>2.7525478829753735E-3</v>
      </c>
      <c r="W32" s="9">
        <f t="shared" si="15"/>
        <v>186150</v>
      </c>
      <c r="X32" s="12">
        <f t="shared" si="15"/>
        <v>2.8899993800000061</v>
      </c>
      <c r="Y32" s="11">
        <f t="shared" si="15"/>
        <v>0</v>
      </c>
      <c r="Z32" s="7"/>
      <c r="AA32" s="7"/>
      <c r="AB32" s="10"/>
    </row>
    <row r="33" spans="1:28" x14ac:dyDescent="0.25">
      <c r="A33" s="2">
        <v>29</v>
      </c>
      <c r="B33">
        <v>1</v>
      </c>
      <c r="C33">
        <v>1</v>
      </c>
      <c r="D33">
        <v>1</v>
      </c>
      <c r="E33">
        <v>0</v>
      </c>
      <c r="G33">
        <v>63484476</v>
      </c>
      <c r="H33">
        <v>33.569999690000003</v>
      </c>
      <c r="I33">
        <v>2.369999886</v>
      </c>
      <c r="N33" s="29">
        <f t="shared" si="11"/>
        <v>67893123.5</v>
      </c>
      <c r="O33" s="30">
        <f t="shared" si="3"/>
        <v>5.1333297041023735</v>
      </c>
      <c r="P33" s="30">
        <f t="shared" si="4"/>
        <v>5.1333297041023735</v>
      </c>
      <c r="Q33" s="29">
        <f t="shared" si="12"/>
        <v>25.509999270000002</v>
      </c>
      <c r="R33" s="30">
        <f t="shared" si="5"/>
        <v>1.05500405048366</v>
      </c>
      <c r="S33" s="30">
        <f t="shared" si="6"/>
        <v>1.05500405048366</v>
      </c>
      <c r="T33" s="37">
        <f t="shared" si="7"/>
        <v>3.9999962E-2</v>
      </c>
      <c r="U33" s="30">
        <f t="shared" si="8"/>
        <v>5.7224554084005482E-3</v>
      </c>
      <c r="V33" s="38">
        <f t="shared" si="9"/>
        <v>1.6542580610270821E-3</v>
      </c>
      <c r="W33" s="9">
        <f t="shared" si="15"/>
        <v>5602228</v>
      </c>
      <c r="X33" s="12">
        <f t="shared" si="15"/>
        <v>1.5099983200000011</v>
      </c>
      <c r="Y33" s="11">
        <f t="shared" si="15"/>
        <v>0</v>
      </c>
      <c r="Z33" s="7"/>
      <c r="AA33" s="7"/>
      <c r="AB33" s="10"/>
    </row>
    <row r="34" spans="1:28" x14ac:dyDescent="0.25">
      <c r="A34" s="2">
        <v>30</v>
      </c>
      <c r="B34">
        <v>1</v>
      </c>
      <c r="C34">
        <v>1</v>
      </c>
      <c r="D34">
        <v>1</v>
      </c>
      <c r="E34">
        <v>1</v>
      </c>
      <c r="G34">
        <v>66178748</v>
      </c>
      <c r="H34">
        <v>34.349998470000003</v>
      </c>
      <c r="I34">
        <v>2.369999886</v>
      </c>
      <c r="J34" s="9">
        <f t="shared" ref="J34" si="18">ABS(G34-G33)</f>
        <v>2694272</v>
      </c>
      <c r="L34" s="9">
        <f t="shared" ref="L34:M39" si="19">ABS(H34-H33)</f>
        <v>0.77999877999999967</v>
      </c>
      <c r="M34" s="9">
        <f t="shared" si="19"/>
        <v>0</v>
      </c>
      <c r="N34" s="29">
        <f t="shared" si="11"/>
        <v>69948276.5</v>
      </c>
      <c r="O34" s="30">
        <f t="shared" si="3"/>
        <v>6.1854134188577348</v>
      </c>
      <c r="P34" s="30">
        <f t="shared" si="4"/>
        <v>6.1854134188577348</v>
      </c>
      <c r="Q34" s="29">
        <f t="shared" si="12"/>
        <v>25.639998432000002</v>
      </c>
      <c r="R34" s="30">
        <f t="shared" si="5"/>
        <v>0.98124754382463764</v>
      </c>
      <c r="S34" s="30">
        <f t="shared" si="6"/>
        <v>0.98124754382463764</v>
      </c>
      <c r="T34" s="37">
        <f t="shared" si="7"/>
        <v>3.9999962E-2</v>
      </c>
      <c r="U34" s="30">
        <f t="shared" si="8"/>
        <v>5.7224554084005482E-3</v>
      </c>
      <c r="V34" s="38">
        <f t="shared" si="9"/>
        <v>1.530806040011026E-3</v>
      </c>
      <c r="W34" s="9">
        <f t="shared" si="15"/>
        <v>5644916</v>
      </c>
      <c r="X34" s="12">
        <f t="shared" si="15"/>
        <v>1.5099983200000011</v>
      </c>
      <c r="Y34" s="11">
        <f t="shared" si="15"/>
        <v>0</v>
      </c>
      <c r="Z34" s="7"/>
      <c r="AA34" s="7"/>
      <c r="AB34" s="10"/>
    </row>
    <row r="35" spans="1:28" x14ac:dyDescent="0.25">
      <c r="A35" s="2">
        <v>31</v>
      </c>
      <c r="B35">
        <v>1</v>
      </c>
      <c r="C35">
        <v>1</v>
      </c>
      <c r="D35">
        <v>1</v>
      </c>
      <c r="E35">
        <v>2</v>
      </c>
      <c r="G35">
        <v>64668056</v>
      </c>
      <c r="H35">
        <v>33.930000309999997</v>
      </c>
      <c r="I35">
        <v>2.369999886</v>
      </c>
      <c r="J35" s="9">
        <f t="shared" si="13"/>
        <v>1510692</v>
      </c>
      <c r="L35" s="9">
        <f t="shared" si="19"/>
        <v>0.41999816000000578</v>
      </c>
      <c r="M35" s="9">
        <f t="shared" si="19"/>
        <v>0</v>
      </c>
      <c r="N35" s="29">
        <f t="shared" si="11"/>
        <v>68762771.75</v>
      </c>
      <c r="O35" s="30">
        <f t="shared" si="3"/>
        <v>5.5976837749156738</v>
      </c>
      <c r="P35" s="30">
        <f t="shared" si="4"/>
        <v>5.5976837749156738</v>
      </c>
      <c r="Q35" s="29">
        <f t="shared" si="12"/>
        <v>25.539999966999996</v>
      </c>
      <c r="R35" s="30">
        <f t="shared" si="5"/>
        <v>1.0146999969357846</v>
      </c>
      <c r="S35" s="30">
        <f t="shared" si="6"/>
        <v>1.0146999969357846</v>
      </c>
      <c r="T35" s="37">
        <f t="shared" si="7"/>
        <v>3.9999962E-2</v>
      </c>
      <c r="U35" s="30">
        <f t="shared" si="8"/>
        <v>5.7224554084005482E-3</v>
      </c>
      <c r="V35" s="38">
        <f t="shared" si="9"/>
        <v>1.5891919096035568E-3</v>
      </c>
      <c r="W35" s="9">
        <f t="shared" si="15"/>
        <v>5618268</v>
      </c>
      <c r="X35" s="12">
        <f t="shared" si="15"/>
        <v>1.4900016799999989</v>
      </c>
      <c r="Y35" s="11">
        <f t="shared" si="15"/>
        <v>0</v>
      </c>
      <c r="Z35" s="7"/>
      <c r="AA35" s="7"/>
      <c r="AB35" s="10"/>
    </row>
    <row r="36" spans="1:28" x14ac:dyDescent="0.25">
      <c r="A36" s="2">
        <v>32</v>
      </c>
      <c r="B36">
        <v>1</v>
      </c>
      <c r="C36">
        <v>1</v>
      </c>
      <c r="D36">
        <v>1</v>
      </c>
      <c r="E36">
        <v>3</v>
      </c>
      <c r="G36">
        <v>68072248</v>
      </c>
      <c r="H36">
        <v>34.97000122</v>
      </c>
      <c r="I36">
        <v>2.369999886</v>
      </c>
      <c r="J36" s="9">
        <f t="shared" si="13"/>
        <v>3404192</v>
      </c>
      <c r="L36" s="9">
        <f t="shared" si="19"/>
        <v>1.0400009100000034</v>
      </c>
      <c r="M36" s="9">
        <f t="shared" si="19"/>
        <v>0</v>
      </c>
      <c r="N36" s="29">
        <f t="shared" si="11"/>
        <v>71294894.25</v>
      </c>
      <c r="O36" s="30">
        <f t="shared" si="3"/>
        <v>7.3743634598429786</v>
      </c>
      <c r="P36" s="30">
        <f t="shared" si="4"/>
        <v>7.3743634598429786</v>
      </c>
      <c r="Q36" s="29">
        <f t="shared" si="12"/>
        <v>25.730001449</v>
      </c>
      <c r="R36" s="30">
        <f t="shared" si="5"/>
        <v>0.92821075348776283</v>
      </c>
      <c r="S36" s="30">
        <f t="shared" si="6"/>
        <v>0.92821075348776283</v>
      </c>
      <c r="T36" s="37">
        <f t="shared" si="7"/>
        <v>3.9999962E-2</v>
      </c>
      <c r="U36" s="30">
        <f t="shared" si="8"/>
        <v>5.7224554084005482E-3</v>
      </c>
      <c r="V36" s="38">
        <f t="shared" si="9"/>
        <v>1.443000107912737E-3</v>
      </c>
      <c r="W36" s="9">
        <f t="shared" si="15"/>
        <v>5570000</v>
      </c>
      <c r="X36" s="12">
        <f t="shared" si="15"/>
        <v>1.5</v>
      </c>
      <c r="Y36" s="11">
        <f t="shared" si="15"/>
        <v>0</v>
      </c>
      <c r="Z36" s="7"/>
      <c r="AA36" s="7"/>
      <c r="AB36" s="10"/>
    </row>
    <row r="37" spans="1:28" x14ac:dyDescent="0.25">
      <c r="A37" s="2">
        <v>33</v>
      </c>
      <c r="B37">
        <v>1</v>
      </c>
      <c r="C37">
        <v>1</v>
      </c>
      <c r="D37">
        <v>1</v>
      </c>
      <c r="E37">
        <v>4</v>
      </c>
      <c r="G37">
        <v>64191784</v>
      </c>
      <c r="H37">
        <v>33.950000760000002</v>
      </c>
      <c r="I37">
        <v>2.369999886</v>
      </c>
      <c r="J37" s="9">
        <f t="shared" si="13"/>
        <v>3880464</v>
      </c>
      <c r="L37" s="9">
        <f t="shared" si="19"/>
        <v>1.0200004599999986</v>
      </c>
      <c r="M37" s="9">
        <f t="shared" si="19"/>
        <v>0</v>
      </c>
      <c r="N37" s="29">
        <f t="shared" si="11"/>
        <v>68144037</v>
      </c>
      <c r="O37" s="30">
        <f t="shared" si="3"/>
        <v>5.7472735171559108</v>
      </c>
      <c r="P37" s="30">
        <f t="shared" si="4"/>
        <v>5.7472735171559108</v>
      </c>
      <c r="Q37" s="29">
        <f t="shared" si="12"/>
        <v>25.380001065000002</v>
      </c>
      <c r="R37" s="30">
        <f t="shared" si="5"/>
        <v>0.98716460397727002</v>
      </c>
      <c r="S37" s="30">
        <f t="shared" si="6"/>
        <v>0.98716460397727002</v>
      </c>
      <c r="T37" s="37">
        <f t="shared" si="7"/>
        <v>3.9999962E-2</v>
      </c>
      <c r="U37" s="30">
        <f t="shared" si="8"/>
        <v>5.7224554084005482E-3</v>
      </c>
      <c r="V37" s="38">
        <f t="shared" si="9"/>
        <v>1.5558134353780356E-3</v>
      </c>
      <c r="W37" s="9">
        <f t="shared" si="15"/>
        <v>5163136</v>
      </c>
      <c r="X37" s="12">
        <f t="shared" si="15"/>
        <v>1.4200019800000021</v>
      </c>
      <c r="Y37" s="11">
        <f t="shared" si="15"/>
        <v>0</v>
      </c>
      <c r="Z37" s="7"/>
      <c r="AA37" s="7"/>
      <c r="AB37" s="10"/>
    </row>
    <row r="38" spans="1:28" x14ac:dyDescent="0.25">
      <c r="A38" s="2">
        <v>34</v>
      </c>
      <c r="B38">
        <v>1</v>
      </c>
      <c r="C38">
        <v>1</v>
      </c>
      <c r="D38">
        <v>1</v>
      </c>
      <c r="E38">
        <v>5</v>
      </c>
      <c r="G38">
        <v>59741008</v>
      </c>
      <c r="H38">
        <v>33.459999080000003</v>
      </c>
      <c r="I38">
        <v>2.369999886</v>
      </c>
      <c r="J38" s="9">
        <f t="shared" si="13"/>
        <v>4450776</v>
      </c>
      <c r="L38" s="9">
        <f t="shared" si="19"/>
        <v>0.49000167999999888</v>
      </c>
      <c r="M38" s="9">
        <f t="shared" si="19"/>
        <v>0</v>
      </c>
      <c r="N38" s="29">
        <f t="shared" si="11"/>
        <v>64181264.5</v>
      </c>
      <c r="O38" s="30">
        <f t="shared" si="3"/>
        <v>4.818134905795044</v>
      </c>
      <c r="P38" s="30">
        <f t="shared" si="4"/>
        <v>4.818134905795044</v>
      </c>
      <c r="Q38" s="29">
        <f t="shared" si="12"/>
        <v>25.469999309000002</v>
      </c>
      <c r="R38" s="30">
        <f t="shared" si="5"/>
        <v>1.0625782244051416</v>
      </c>
      <c r="S38" s="30">
        <f t="shared" si="6"/>
        <v>1.0625782244051416</v>
      </c>
      <c r="T38" s="37">
        <f t="shared" si="7"/>
        <v>3.9999962E-2</v>
      </c>
      <c r="U38" s="30">
        <f t="shared" si="8"/>
        <v>5.7224554084005482E-3</v>
      </c>
      <c r="V38" s="38">
        <f t="shared" si="9"/>
        <v>1.668751069938756E-3</v>
      </c>
      <c r="W38" s="9">
        <f t="shared" si="15"/>
        <v>4817032</v>
      </c>
      <c r="X38" s="12">
        <f t="shared" si="15"/>
        <v>1.4399986200000043</v>
      </c>
      <c r="Y38" s="11">
        <f t="shared" si="15"/>
        <v>0</v>
      </c>
      <c r="Z38" s="7"/>
      <c r="AA38" s="7"/>
      <c r="AB38" s="10"/>
    </row>
    <row r="39" spans="1:28" x14ac:dyDescent="0.25">
      <c r="A39" s="2">
        <v>35</v>
      </c>
      <c r="B39">
        <v>1</v>
      </c>
      <c r="C39">
        <v>1</v>
      </c>
      <c r="D39">
        <v>1</v>
      </c>
      <c r="E39">
        <v>6</v>
      </c>
      <c r="G39">
        <v>49082540</v>
      </c>
      <c r="H39">
        <v>30.870000839999999</v>
      </c>
      <c r="I39">
        <v>2.369999886</v>
      </c>
      <c r="J39" s="9">
        <f t="shared" si="13"/>
        <v>10658468</v>
      </c>
      <c r="L39" s="9">
        <f t="shared" si="19"/>
        <v>2.5899982400000034</v>
      </c>
      <c r="M39" s="9">
        <f t="shared" si="19"/>
        <v>0</v>
      </c>
      <c r="N39" s="29">
        <f t="shared" si="11"/>
        <v>55343737.5</v>
      </c>
      <c r="O39" s="30">
        <f t="shared" si="3"/>
        <v>2.9463872525982446</v>
      </c>
      <c r="P39" s="30">
        <f t="shared" si="4"/>
        <v>2.9463872525982446</v>
      </c>
      <c r="Q39" s="29">
        <f t="shared" si="12"/>
        <v>119.94000053000001</v>
      </c>
      <c r="R39" s="30">
        <f t="shared" si="5"/>
        <v>0.44886045038524092</v>
      </c>
      <c r="S39" s="30">
        <f t="shared" si="6"/>
        <v>0.44886045038524092</v>
      </c>
      <c r="T39" s="37">
        <f t="shared" si="7"/>
        <v>3.9999962E-2</v>
      </c>
      <c r="U39" s="30">
        <f t="shared" si="8"/>
        <v>5.7224554084005482E-3</v>
      </c>
      <c r="V39" s="38">
        <f t="shared" si="9"/>
        <v>1.4969485475549646E-4</v>
      </c>
      <c r="W39" s="9">
        <f t="shared" si="15"/>
        <v>3976912</v>
      </c>
      <c r="X39" s="12">
        <f t="shared" si="15"/>
        <v>1.2800006899999978</v>
      </c>
      <c r="Y39" s="11">
        <f t="shared" si="15"/>
        <v>0</v>
      </c>
      <c r="Z39" s="7"/>
      <c r="AA39" s="7"/>
      <c r="AB39" s="10"/>
    </row>
    <row r="40" spans="1:28" x14ac:dyDescent="0.25">
      <c r="A40" s="2">
        <v>36</v>
      </c>
      <c r="B40">
        <v>1</v>
      </c>
      <c r="C40">
        <v>1</v>
      </c>
      <c r="D40">
        <v>2</v>
      </c>
      <c r="E40">
        <v>0</v>
      </c>
      <c r="G40">
        <v>287099072</v>
      </c>
      <c r="H40">
        <v>67.510002139999997</v>
      </c>
      <c r="I40">
        <v>2.4700000289999999</v>
      </c>
      <c r="N40" s="29">
        <f t="shared" si="11"/>
        <v>223614596</v>
      </c>
      <c r="O40" s="30">
        <f t="shared" si="3"/>
        <v>1.1741169394966207</v>
      </c>
      <c r="P40" s="30">
        <f t="shared" si="4"/>
        <v>2.3482338789932413</v>
      </c>
      <c r="Q40" s="29">
        <f t="shared" si="12"/>
        <v>33.940002449999994</v>
      </c>
      <c r="R40" s="30">
        <f t="shared" si="5"/>
        <v>0.33700727597474689</v>
      </c>
      <c r="S40" s="30">
        <f t="shared" si="6"/>
        <v>0.67401455194949378</v>
      </c>
      <c r="T40" s="37">
        <f t="shared" si="7"/>
        <v>0.10000014299999993</v>
      </c>
      <c r="U40" s="30">
        <f t="shared" si="8"/>
        <v>1.4064718398049736E-2</v>
      </c>
      <c r="V40" s="38">
        <f t="shared" si="9"/>
        <v>1.9859029674003533E-3</v>
      </c>
      <c r="W40" s="9">
        <f t="shared" si="15"/>
        <v>26346608</v>
      </c>
      <c r="X40" s="12">
        <f t="shared" si="15"/>
        <v>6.3200035099999994</v>
      </c>
      <c r="Y40" s="11">
        <f t="shared" si="15"/>
        <v>0</v>
      </c>
      <c r="Z40" s="7"/>
      <c r="AA40" s="7"/>
      <c r="AB40" s="10"/>
    </row>
    <row r="41" spans="1:28" x14ac:dyDescent="0.25">
      <c r="A41" s="2">
        <v>37</v>
      </c>
      <c r="B41">
        <v>1</v>
      </c>
      <c r="C41">
        <v>1</v>
      </c>
      <c r="D41">
        <v>2</v>
      </c>
      <c r="E41">
        <v>1</v>
      </c>
      <c r="G41">
        <v>295132928</v>
      </c>
      <c r="H41">
        <v>69.769996640000002</v>
      </c>
      <c r="I41">
        <v>2.4700000289999999</v>
      </c>
      <c r="J41" s="9">
        <f t="shared" ref="J41" si="20">ABS(G41-G40)</f>
        <v>8033856</v>
      </c>
      <c r="L41" s="9">
        <f t="shared" ref="L41:M46" si="21">ABS(H41-H40)</f>
        <v>2.2599945000000048</v>
      </c>
      <c r="M41" s="9">
        <f t="shared" si="21"/>
        <v>0</v>
      </c>
      <c r="N41" s="29">
        <f t="shared" si="11"/>
        <v>228954180</v>
      </c>
      <c r="O41" s="30">
        <f t="shared" si="3"/>
        <v>1.1532109975849043</v>
      </c>
      <c r="P41" s="30">
        <f t="shared" si="4"/>
        <v>2.3064219951698086</v>
      </c>
      <c r="Q41" s="29">
        <f t="shared" si="12"/>
        <v>35.41999817</v>
      </c>
      <c r="R41" s="30">
        <f t="shared" si="5"/>
        <v>0.34371663995787843</v>
      </c>
      <c r="S41" s="30">
        <f t="shared" si="6"/>
        <v>0.68743327991575687</v>
      </c>
      <c r="T41" s="37">
        <f t="shared" si="7"/>
        <v>0.10000014299999993</v>
      </c>
      <c r="U41" s="30">
        <f t="shared" si="8"/>
        <v>1.4064718398049736E-2</v>
      </c>
      <c r="V41" s="38">
        <f t="shared" si="9"/>
        <v>1.9408082960534684E-3</v>
      </c>
      <c r="W41" s="9">
        <f t="shared" si="15"/>
        <v>26340480</v>
      </c>
      <c r="X41" s="12">
        <f t="shared" si="15"/>
        <v>6.5299949600000033</v>
      </c>
      <c r="Y41" s="11">
        <f t="shared" si="15"/>
        <v>0</v>
      </c>
      <c r="Z41" s="7"/>
      <c r="AA41" s="7"/>
      <c r="AB41" s="10"/>
    </row>
    <row r="42" spans="1:28" x14ac:dyDescent="0.25">
      <c r="A42" s="2">
        <v>38</v>
      </c>
      <c r="B42">
        <v>1</v>
      </c>
      <c r="C42">
        <v>1</v>
      </c>
      <c r="D42">
        <v>2</v>
      </c>
      <c r="E42">
        <v>2</v>
      </c>
      <c r="G42">
        <v>290823712</v>
      </c>
      <c r="H42">
        <v>68.61000061</v>
      </c>
      <c r="I42">
        <v>2.4700000289999999</v>
      </c>
      <c r="J42" s="9">
        <f t="shared" si="16"/>
        <v>4309216</v>
      </c>
      <c r="L42" s="9">
        <f t="shared" si="21"/>
        <v>1.1599960300000021</v>
      </c>
      <c r="M42" s="9">
        <f t="shared" si="21"/>
        <v>0</v>
      </c>
      <c r="N42" s="29">
        <f t="shared" si="11"/>
        <v>226155656</v>
      </c>
      <c r="O42" s="30">
        <f t="shared" si="3"/>
        <v>1.1657257590465788</v>
      </c>
      <c r="P42" s="30">
        <f t="shared" si="4"/>
        <v>2.3314515180931576</v>
      </c>
      <c r="Q42" s="29">
        <f t="shared" si="12"/>
        <v>34.680000300000003</v>
      </c>
      <c r="R42" s="30">
        <f t="shared" si="5"/>
        <v>0.34070144398416019</v>
      </c>
      <c r="S42" s="30">
        <f t="shared" si="6"/>
        <v>0.68140288796832038</v>
      </c>
      <c r="T42" s="37">
        <f t="shared" si="7"/>
        <v>0.10000014299999993</v>
      </c>
      <c r="U42" s="30">
        <f t="shared" si="8"/>
        <v>1.4064718398049736E-2</v>
      </c>
      <c r="V42" s="38">
        <f t="shared" si="9"/>
        <v>1.9648323427910973E-3</v>
      </c>
      <c r="W42" s="9">
        <f t="shared" ref="W42:Y57" si="22">ABS(G42-G21)</f>
        <v>26343168</v>
      </c>
      <c r="X42" s="12">
        <f t="shared" si="22"/>
        <v>6.4500007600000018</v>
      </c>
      <c r="Y42" s="11">
        <f t="shared" si="22"/>
        <v>0</v>
      </c>
      <c r="Z42" s="7"/>
      <c r="AA42" s="7"/>
      <c r="AB42" s="10"/>
    </row>
    <row r="43" spans="1:28" x14ac:dyDescent="0.25">
      <c r="A43" s="2">
        <v>39</v>
      </c>
      <c r="B43">
        <v>1</v>
      </c>
      <c r="C43">
        <v>1</v>
      </c>
      <c r="D43">
        <v>2</v>
      </c>
      <c r="E43">
        <v>3</v>
      </c>
      <c r="G43">
        <v>300665280</v>
      </c>
      <c r="H43">
        <v>72.129997250000002</v>
      </c>
      <c r="I43">
        <v>2.4700000289999999</v>
      </c>
      <c r="J43" s="9">
        <f t="shared" si="16"/>
        <v>9841568</v>
      </c>
      <c r="L43" s="9">
        <f t="shared" si="21"/>
        <v>3.5199966400000022</v>
      </c>
      <c r="M43" s="9">
        <f t="shared" si="21"/>
        <v>0</v>
      </c>
      <c r="N43" s="29">
        <f t="shared" si="11"/>
        <v>232593032</v>
      </c>
      <c r="O43" s="30">
        <f t="shared" si="3"/>
        <v>1.138951818759778</v>
      </c>
      <c r="P43" s="30">
        <f t="shared" si="4"/>
        <v>2.277903637519556</v>
      </c>
      <c r="Q43" s="29">
        <f t="shared" si="12"/>
        <v>37.159996030000002</v>
      </c>
      <c r="R43" s="30">
        <f t="shared" si="5"/>
        <v>0.35420831887901588</v>
      </c>
      <c r="S43" s="30">
        <f t="shared" si="6"/>
        <v>0.70841663775803176</v>
      </c>
      <c r="T43" s="37">
        <f t="shared" si="7"/>
        <v>0.10000014299999993</v>
      </c>
      <c r="U43" s="30">
        <f t="shared" si="8"/>
        <v>1.4064718398049736E-2</v>
      </c>
      <c r="V43" s="38">
        <f t="shared" si="9"/>
        <v>1.906398618078171E-3</v>
      </c>
      <c r="W43" s="9">
        <f t="shared" si="22"/>
        <v>25438976</v>
      </c>
      <c r="X43" s="12">
        <f t="shared" si="22"/>
        <v>6.6899948100000017</v>
      </c>
      <c r="Y43" s="11">
        <f t="shared" si="22"/>
        <v>9.9999900000002917E-3</v>
      </c>
      <c r="Z43" s="7"/>
      <c r="AA43" s="7"/>
      <c r="AB43" s="10"/>
    </row>
    <row r="44" spans="1:28" x14ac:dyDescent="0.25">
      <c r="A44" s="2">
        <v>40</v>
      </c>
      <c r="B44">
        <v>1</v>
      </c>
      <c r="C44">
        <v>1</v>
      </c>
      <c r="D44">
        <v>2</v>
      </c>
      <c r="E44">
        <v>4</v>
      </c>
      <c r="G44">
        <v>286152928</v>
      </c>
      <c r="H44">
        <v>70.430000309999997</v>
      </c>
      <c r="I44">
        <v>2.4800000190000002</v>
      </c>
      <c r="J44" s="9">
        <f t="shared" si="16"/>
        <v>14512352</v>
      </c>
      <c r="L44" s="9">
        <f t="shared" si="21"/>
        <v>1.6999969400000055</v>
      </c>
      <c r="M44" s="9">
        <f t="shared" si="21"/>
        <v>9.9999900000002917E-3</v>
      </c>
      <c r="N44" s="29">
        <f t="shared" si="11"/>
        <v>221961144</v>
      </c>
      <c r="O44" s="30">
        <f t="shared" si="3"/>
        <v>1.1525937338024443</v>
      </c>
      <c r="P44" s="30">
        <f t="shared" si="4"/>
        <v>2.3051874676048887</v>
      </c>
      <c r="Q44" s="29">
        <f t="shared" si="12"/>
        <v>36.479999549999995</v>
      </c>
      <c r="R44" s="30">
        <f t="shared" si="5"/>
        <v>0.35817377254161803</v>
      </c>
      <c r="S44" s="30">
        <f t="shared" si="6"/>
        <v>0.71634754508323606</v>
      </c>
      <c r="T44" s="37">
        <f t="shared" si="7"/>
        <v>0.11000013300000022</v>
      </c>
      <c r="U44" s="30">
        <f t="shared" si="8"/>
        <v>1.5471186820133069E-2</v>
      </c>
      <c r="V44" s="38">
        <f t="shared" si="9"/>
        <v>2.1600418367707908E-3</v>
      </c>
      <c r="W44" s="9">
        <f t="shared" si="22"/>
        <v>22997760</v>
      </c>
      <c r="X44" s="12">
        <f t="shared" si="22"/>
        <v>6.2300033599999978</v>
      </c>
      <c r="Y44" s="11">
        <f t="shared" si="22"/>
        <v>0</v>
      </c>
      <c r="Z44" s="7"/>
      <c r="AA44" s="7"/>
      <c r="AB44" s="10"/>
    </row>
    <row r="45" spans="1:28" x14ac:dyDescent="0.25">
      <c r="A45" s="2">
        <v>41</v>
      </c>
      <c r="B45">
        <v>1</v>
      </c>
      <c r="C45">
        <v>1</v>
      </c>
      <c r="D45">
        <v>2</v>
      </c>
      <c r="E45">
        <v>5</v>
      </c>
      <c r="G45">
        <v>269864704</v>
      </c>
      <c r="H45">
        <v>70.370002749999998</v>
      </c>
      <c r="I45">
        <v>2.4800000190000002</v>
      </c>
      <c r="J45" s="9">
        <f t="shared" si="16"/>
        <v>16288224</v>
      </c>
      <c r="L45" s="9">
        <f t="shared" si="21"/>
        <v>5.9997559999999339E-2</v>
      </c>
      <c r="M45" s="9">
        <f t="shared" si="21"/>
        <v>0</v>
      </c>
      <c r="N45" s="29">
        <f t="shared" si="11"/>
        <v>210123696</v>
      </c>
      <c r="O45" s="30">
        <f t="shared" si="3"/>
        <v>1.1724146335127121</v>
      </c>
      <c r="P45" s="30">
        <f t="shared" si="4"/>
        <v>2.3448292670254243</v>
      </c>
      <c r="Q45" s="29">
        <f t="shared" si="12"/>
        <v>36.910003669999995</v>
      </c>
      <c r="R45" s="30">
        <f t="shared" si="5"/>
        <v>0.3677027762986616</v>
      </c>
      <c r="S45" s="30">
        <f t="shared" si="6"/>
        <v>0.73540555259732321</v>
      </c>
      <c r="T45" s="37">
        <f t="shared" si="7"/>
        <v>0.11000013300000022</v>
      </c>
      <c r="U45" s="30">
        <f t="shared" si="8"/>
        <v>1.5471186820133069E-2</v>
      </c>
      <c r="V45" s="38">
        <f t="shared" si="9"/>
        <v>2.1916743579300821E-3</v>
      </c>
      <c r="W45" s="9">
        <f t="shared" si="22"/>
        <v>21301632</v>
      </c>
      <c r="X45" s="12">
        <f t="shared" si="22"/>
        <v>6.2000045799999981</v>
      </c>
      <c r="Y45" s="11">
        <f t="shared" si="22"/>
        <v>0</v>
      </c>
      <c r="Z45" s="7"/>
      <c r="AA45" s="7"/>
      <c r="AB45" s="10"/>
    </row>
    <row r="46" spans="1:28" x14ac:dyDescent="0.25">
      <c r="A46" s="2">
        <v>42</v>
      </c>
      <c r="B46">
        <v>1</v>
      </c>
      <c r="C46">
        <v>1</v>
      </c>
      <c r="D46">
        <v>2</v>
      </c>
      <c r="E46">
        <v>6</v>
      </c>
      <c r="G46">
        <v>231441472</v>
      </c>
      <c r="H46">
        <v>65.839996339999999</v>
      </c>
      <c r="I46">
        <v>2.4800000190000002</v>
      </c>
      <c r="J46" s="9">
        <f t="shared" si="16"/>
        <v>38423232</v>
      </c>
      <c r="L46" s="9">
        <f t="shared" si="21"/>
        <v>4.5300064099999986</v>
      </c>
      <c r="M46" s="9">
        <f t="shared" si="21"/>
        <v>0</v>
      </c>
      <c r="N46" s="29">
        <f t="shared" si="11"/>
        <v>182358932</v>
      </c>
      <c r="O46" s="30">
        <f t="shared" si="3"/>
        <v>1.2384507946546097</v>
      </c>
      <c r="P46" s="30">
        <f t="shared" si="4"/>
        <v>2.4769015893092194</v>
      </c>
      <c r="Q46" s="29">
        <f t="shared" si="12"/>
        <v>34.969995499999996</v>
      </c>
      <c r="R46" s="30">
        <f t="shared" si="5"/>
        <v>0.37760495139224187</v>
      </c>
      <c r="S46" s="30">
        <f t="shared" si="6"/>
        <v>0.75520990278448374</v>
      </c>
      <c r="T46" s="37">
        <f t="shared" si="7"/>
        <v>0.11000013300000022</v>
      </c>
      <c r="U46" s="30">
        <f t="shared" si="8"/>
        <v>1.5471186820133069E-2</v>
      </c>
      <c r="V46" s="38">
        <f t="shared" si="9"/>
        <v>2.3755562035805938E-3</v>
      </c>
      <c r="W46" s="9">
        <f t="shared" si="22"/>
        <v>17174624</v>
      </c>
      <c r="X46" s="12">
        <f t="shared" si="22"/>
        <v>5.2899971000000008</v>
      </c>
      <c r="Y46" s="11">
        <f t="shared" si="22"/>
        <v>0</v>
      </c>
      <c r="Z46" s="7"/>
      <c r="AA46" s="7"/>
      <c r="AB46" s="10"/>
    </row>
    <row r="47" spans="1:28" x14ac:dyDescent="0.25">
      <c r="A47" s="2">
        <v>43</v>
      </c>
      <c r="B47">
        <v>1</v>
      </c>
      <c r="C47">
        <v>2</v>
      </c>
      <c r="D47">
        <v>0</v>
      </c>
      <c r="E47">
        <v>0</v>
      </c>
      <c r="G47">
        <v>33069732</v>
      </c>
      <c r="H47">
        <v>32.02999878</v>
      </c>
      <c r="I47">
        <v>2.880000114</v>
      </c>
      <c r="N47" s="29">
        <f t="shared" si="11"/>
        <v>254029340</v>
      </c>
      <c r="O47" s="30">
        <f t="shared" si="3"/>
        <v>0.29493807164471314</v>
      </c>
      <c r="P47" s="30">
        <f t="shared" si="4"/>
        <v>0.98312690548237713</v>
      </c>
      <c r="Q47" s="29">
        <f t="shared" si="12"/>
        <v>35.480003359999998</v>
      </c>
      <c r="R47" s="30">
        <f t="shared" si="5"/>
        <v>0.1751839344063553</v>
      </c>
      <c r="S47" s="30">
        <f t="shared" si="6"/>
        <v>0.58394644802118434</v>
      </c>
      <c r="T47" s="37">
        <f t="shared" si="7"/>
        <v>0.41000008500000007</v>
      </c>
      <c r="U47" s="30">
        <f t="shared" si="8"/>
        <v>5.5330645099356812E-2</v>
      </c>
      <c r="V47" s="38">
        <f t="shared" si="9"/>
        <v>6.747972679000719E-3</v>
      </c>
      <c r="W47" s="9">
        <f t="shared" si="22"/>
        <v>37478379.5</v>
      </c>
      <c r="X47" s="12">
        <f t="shared" si="22"/>
        <v>23.969998359999998</v>
      </c>
      <c r="Y47" s="11">
        <f t="shared" si="22"/>
        <v>0.55000019</v>
      </c>
      <c r="Z47" s="7"/>
      <c r="AA47" s="7"/>
      <c r="AB47" s="10"/>
    </row>
    <row r="48" spans="1:28" x14ac:dyDescent="0.25">
      <c r="A48" s="2">
        <v>44</v>
      </c>
      <c r="B48">
        <v>1</v>
      </c>
      <c r="C48">
        <v>2</v>
      </c>
      <c r="D48">
        <v>0</v>
      </c>
      <c r="E48">
        <v>1</v>
      </c>
      <c r="G48">
        <v>34301376</v>
      </c>
      <c r="H48">
        <v>33</v>
      </c>
      <c r="I48">
        <v>2.880000114</v>
      </c>
      <c r="J48" s="9">
        <f t="shared" ref="J48" si="23">ABS(G48-G47)</f>
        <v>1231644</v>
      </c>
      <c r="L48" s="9">
        <f t="shared" ref="L48:M53" si="24">ABS(H48-H47)</f>
        <v>0.97000122000000033</v>
      </c>
      <c r="M48" s="9">
        <f t="shared" si="24"/>
        <v>0</v>
      </c>
      <c r="N48" s="29">
        <f t="shared" si="11"/>
        <v>260831552</v>
      </c>
      <c r="O48" s="30">
        <f t="shared" si="3"/>
        <v>0.29459217328222581</v>
      </c>
      <c r="P48" s="30">
        <f t="shared" si="4"/>
        <v>0.98197391094075259</v>
      </c>
      <c r="Q48" s="29">
        <f t="shared" si="12"/>
        <v>36.769996640000002</v>
      </c>
      <c r="R48" s="30">
        <f t="shared" si="5"/>
        <v>0.17567243997314128</v>
      </c>
      <c r="S48" s="30">
        <f t="shared" si="6"/>
        <v>0.5855747999104709</v>
      </c>
      <c r="T48" s="37">
        <f t="shared" si="7"/>
        <v>0.41000008500000007</v>
      </c>
      <c r="U48" s="30">
        <f t="shared" si="8"/>
        <v>5.5330645099356812E-2</v>
      </c>
      <c r="V48" s="38">
        <f t="shared" si="9"/>
        <v>6.5293918867529999E-3</v>
      </c>
      <c r="W48" s="9">
        <f t="shared" si="22"/>
        <v>38070904.5</v>
      </c>
      <c r="X48" s="12">
        <f t="shared" si="22"/>
        <v>24.289999962</v>
      </c>
      <c r="Y48" s="11">
        <f t="shared" si="22"/>
        <v>0.55000019</v>
      </c>
      <c r="Z48" s="7"/>
      <c r="AA48" s="7"/>
      <c r="AB48" s="10"/>
    </row>
    <row r="49" spans="1:28" x14ac:dyDescent="0.25">
      <c r="A49" s="2">
        <v>45</v>
      </c>
      <c r="B49">
        <v>1</v>
      </c>
      <c r="C49">
        <v>2</v>
      </c>
      <c r="D49">
        <v>0</v>
      </c>
      <c r="E49">
        <v>2</v>
      </c>
      <c r="G49">
        <v>33576992</v>
      </c>
      <c r="H49">
        <v>32.52999878</v>
      </c>
      <c r="I49">
        <v>2.880000114</v>
      </c>
      <c r="J49" s="9">
        <f t="shared" si="13"/>
        <v>724384</v>
      </c>
      <c r="L49" s="9">
        <f t="shared" si="24"/>
        <v>0.47000122000000033</v>
      </c>
      <c r="M49" s="9">
        <f t="shared" si="24"/>
        <v>0</v>
      </c>
      <c r="N49" s="29">
        <f t="shared" si="11"/>
        <v>257246720</v>
      </c>
      <c r="O49" s="30">
        <f t="shared" si="3"/>
        <v>0.29484840172408866</v>
      </c>
      <c r="P49" s="30">
        <f t="shared" si="4"/>
        <v>0.98282800574696216</v>
      </c>
      <c r="Q49" s="29">
        <f t="shared" si="12"/>
        <v>36.08000183</v>
      </c>
      <c r="R49" s="30">
        <f t="shared" si="5"/>
        <v>0.17529029543418725</v>
      </c>
      <c r="S49" s="30">
        <f t="shared" si="6"/>
        <v>0.58430098478062409</v>
      </c>
      <c r="T49" s="37">
        <f t="shared" si="7"/>
        <v>0.41000008500000007</v>
      </c>
      <c r="U49" s="30">
        <f t="shared" si="8"/>
        <v>5.5330645099356812E-2</v>
      </c>
      <c r="V49" s="38">
        <f t="shared" si="9"/>
        <v>6.6397849577281912E-3</v>
      </c>
      <c r="W49" s="9">
        <f t="shared" si="22"/>
        <v>37671707.75</v>
      </c>
      <c r="X49" s="12">
        <f t="shared" si="22"/>
        <v>24.139998436999999</v>
      </c>
      <c r="Y49" s="11">
        <f t="shared" si="22"/>
        <v>0.55000019</v>
      </c>
      <c r="Z49" s="7"/>
      <c r="AA49" s="7"/>
      <c r="AB49" s="10"/>
    </row>
    <row r="50" spans="1:28" x14ac:dyDescent="0.25">
      <c r="A50" s="2">
        <v>46</v>
      </c>
      <c r="B50">
        <v>1</v>
      </c>
      <c r="C50">
        <v>2</v>
      </c>
      <c r="D50">
        <v>0</v>
      </c>
      <c r="E50">
        <v>3</v>
      </c>
      <c r="G50">
        <v>34841096</v>
      </c>
      <c r="H50">
        <v>33.869998930000001</v>
      </c>
      <c r="I50">
        <v>2.880000114</v>
      </c>
      <c r="J50" s="9">
        <f t="shared" si="13"/>
        <v>1264104</v>
      </c>
      <c r="L50" s="9">
        <f t="shared" si="24"/>
        <v>1.3400001500000016</v>
      </c>
      <c r="M50" s="9">
        <f t="shared" si="24"/>
        <v>0</v>
      </c>
      <c r="N50" s="29">
        <f t="shared" si="11"/>
        <v>265824184</v>
      </c>
      <c r="O50" s="30">
        <f t="shared" si="3"/>
        <v>0.29470666294868941</v>
      </c>
      <c r="P50" s="30">
        <f t="shared" si="4"/>
        <v>0.98235554316229801</v>
      </c>
      <c r="Q50" s="29">
        <f t="shared" si="12"/>
        <v>38.259998320000001</v>
      </c>
      <c r="R50" s="30">
        <f t="shared" si="5"/>
        <v>0.17681038762736587</v>
      </c>
      <c r="S50" s="30">
        <f t="shared" si="6"/>
        <v>0.58936795875788617</v>
      </c>
      <c r="T50" s="37">
        <f t="shared" si="7"/>
        <v>0.41000008500000007</v>
      </c>
      <c r="U50" s="30">
        <f t="shared" si="8"/>
        <v>5.5330645099356812E-2</v>
      </c>
      <c r="V50" s="38">
        <f t="shared" si="9"/>
        <v>6.3157585937659248E-3</v>
      </c>
      <c r="W50" s="9">
        <f t="shared" si="22"/>
        <v>38063742.25</v>
      </c>
      <c r="X50" s="12">
        <f t="shared" si="22"/>
        <v>24.629999159</v>
      </c>
      <c r="Y50" s="11">
        <f t="shared" si="22"/>
        <v>0.55000019</v>
      </c>
      <c r="Z50" s="7"/>
      <c r="AA50" s="7"/>
      <c r="AB50" s="10"/>
    </row>
    <row r="51" spans="1:28" x14ac:dyDescent="0.25">
      <c r="A51" s="2">
        <v>47</v>
      </c>
      <c r="B51">
        <v>1</v>
      </c>
      <c r="C51">
        <v>2</v>
      </c>
      <c r="D51">
        <v>0</v>
      </c>
      <c r="E51">
        <v>4</v>
      </c>
      <c r="G51">
        <v>32164716</v>
      </c>
      <c r="H51">
        <v>32.759998320000001</v>
      </c>
      <c r="I51">
        <v>2.880000114</v>
      </c>
      <c r="J51" s="9">
        <f t="shared" si="13"/>
        <v>2676380</v>
      </c>
      <c r="L51" s="9">
        <f t="shared" si="24"/>
        <v>1.1100006100000002</v>
      </c>
      <c r="M51" s="9">
        <f t="shared" si="24"/>
        <v>0</v>
      </c>
      <c r="N51" s="29">
        <f t="shared" si="11"/>
        <v>253988212</v>
      </c>
      <c r="O51" s="30">
        <f t="shared" si="3"/>
        <v>0.29586535397370922</v>
      </c>
      <c r="P51" s="30">
        <f t="shared" si="4"/>
        <v>0.98621784657903078</v>
      </c>
      <c r="Q51" s="29">
        <f t="shared" si="12"/>
        <v>37.670001989999996</v>
      </c>
      <c r="R51" s="30">
        <f t="shared" si="5"/>
        <v>0.17828577700882306</v>
      </c>
      <c r="S51" s="30">
        <f t="shared" si="6"/>
        <v>0.59428592336274344</v>
      </c>
      <c r="T51" s="37">
        <f t="shared" si="7"/>
        <v>0.40000009499999978</v>
      </c>
      <c r="U51" s="30">
        <f t="shared" si="8"/>
        <v>5.3763453217134799E-2</v>
      </c>
      <c r="V51" s="38">
        <f t="shared" si="9"/>
        <v>6.3104436751918527E-3</v>
      </c>
      <c r="W51" s="9">
        <f t="shared" si="22"/>
        <v>36116969</v>
      </c>
      <c r="X51" s="12">
        <f t="shared" si="22"/>
        <v>24.189998625000001</v>
      </c>
      <c r="Y51" s="11">
        <f t="shared" si="22"/>
        <v>0.55000019</v>
      </c>
      <c r="Z51" s="7"/>
      <c r="AA51" s="7"/>
      <c r="AB51" s="10"/>
    </row>
    <row r="52" spans="1:28" x14ac:dyDescent="0.25">
      <c r="A52" s="2">
        <v>48</v>
      </c>
      <c r="B52">
        <v>1</v>
      </c>
      <c r="C52">
        <v>2</v>
      </c>
      <c r="D52">
        <v>0</v>
      </c>
      <c r="E52">
        <v>5</v>
      </c>
      <c r="G52">
        <v>28716990</v>
      </c>
      <c r="H52">
        <v>31.340000150000002</v>
      </c>
      <c r="I52">
        <v>2.880000114</v>
      </c>
      <c r="J52" s="9">
        <f t="shared" si="13"/>
        <v>3447726</v>
      </c>
      <c r="L52" s="9">
        <f t="shared" si="24"/>
        <v>1.4199981699999995</v>
      </c>
      <c r="M52" s="9">
        <f t="shared" si="24"/>
        <v>0</v>
      </c>
      <c r="N52" s="29">
        <f t="shared" si="11"/>
        <v>241147714</v>
      </c>
      <c r="O52" s="30">
        <f t="shared" si="3"/>
        <v>0.29786248494850714</v>
      </c>
      <c r="P52" s="30">
        <f t="shared" si="4"/>
        <v>0.99287494982835711</v>
      </c>
      <c r="Q52" s="29">
        <f t="shared" si="12"/>
        <v>39.030002599999996</v>
      </c>
      <c r="R52" s="30">
        <f t="shared" si="5"/>
        <v>0.18487992551153717</v>
      </c>
      <c r="S52" s="30">
        <f t="shared" si="6"/>
        <v>0.61626641837179053</v>
      </c>
      <c r="T52" s="37">
        <f t="shared" si="7"/>
        <v>0.40000009499999978</v>
      </c>
      <c r="U52" s="30">
        <f t="shared" si="8"/>
        <v>5.3763453217134799E-2</v>
      </c>
      <c r="V52" s="38">
        <f t="shared" si="9"/>
        <v>6.3158239680472334E-3</v>
      </c>
      <c r="W52" s="9">
        <f t="shared" si="22"/>
        <v>33157246.5</v>
      </c>
      <c r="X52" s="12">
        <f t="shared" si="22"/>
        <v>23.350000379000001</v>
      </c>
      <c r="Y52" s="11">
        <f t="shared" si="22"/>
        <v>0.55000019</v>
      </c>
      <c r="Z52" s="7"/>
      <c r="AA52" s="7"/>
      <c r="AB52" s="10"/>
    </row>
    <row r="53" spans="1:28" x14ac:dyDescent="0.25">
      <c r="A53" s="2">
        <v>49</v>
      </c>
      <c r="B53">
        <v>1</v>
      </c>
      <c r="C53">
        <v>2</v>
      </c>
      <c r="D53">
        <v>0</v>
      </c>
      <c r="E53">
        <v>6</v>
      </c>
      <c r="G53">
        <v>21872764</v>
      </c>
      <c r="H53">
        <v>27.840000150000002</v>
      </c>
      <c r="I53">
        <v>2.880000114</v>
      </c>
      <c r="J53" s="9">
        <f t="shared" si="13"/>
        <v>6844226</v>
      </c>
      <c r="L53" s="9">
        <f t="shared" si="24"/>
        <v>3.5</v>
      </c>
      <c r="M53" s="9">
        <f t="shared" si="24"/>
        <v>0</v>
      </c>
      <c r="N53" s="29">
        <f t="shared" si="11"/>
        <v>209568708</v>
      </c>
      <c r="O53" s="30">
        <f t="shared" si="3"/>
        <v>0.30183110829851617</v>
      </c>
      <c r="P53" s="30">
        <f t="shared" si="4"/>
        <v>1.0061036943283872</v>
      </c>
      <c r="Q53" s="29">
        <f t="shared" si="12"/>
        <v>37.999996189999997</v>
      </c>
      <c r="R53" s="30">
        <f t="shared" si="5"/>
        <v>0.19238557261236122</v>
      </c>
      <c r="S53" s="30">
        <f t="shared" si="6"/>
        <v>0.64128524204120407</v>
      </c>
      <c r="T53" s="37">
        <f t="shared" si="7"/>
        <v>0.40000009499999978</v>
      </c>
      <c r="U53" s="30">
        <f t="shared" si="8"/>
        <v>5.3763453217134799E-2</v>
      </c>
      <c r="V53" s="38">
        <f t="shared" si="9"/>
        <v>6.7503732488816189E-3</v>
      </c>
      <c r="W53" s="9">
        <f t="shared" si="22"/>
        <v>28133961.5</v>
      </c>
      <c r="X53" s="12">
        <f t="shared" si="22"/>
        <v>116.90999984000001</v>
      </c>
      <c r="Y53" s="11">
        <f t="shared" si="22"/>
        <v>0.55000019</v>
      </c>
      <c r="Z53" s="7"/>
      <c r="AA53" s="7"/>
      <c r="AB53" s="10"/>
    </row>
    <row r="54" spans="1:28" x14ac:dyDescent="0.25">
      <c r="A54" s="2">
        <v>50</v>
      </c>
      <c r="B54">
        <v>1</v>
      </c>
      <c r="C54">
        <v>2</v>
      </c>
      <c r="D54">
        <v>1</v>
      </c>
      <c r="E54">
        <v>0</v>
      </c>
      <c r="G54">
        <v>252687152</v>
      </c>
      <c r="H54">
        <v>110.5299988</v>
      </c>
      <c r="I54">
        <v>2.9500000480000002</v>
      </c>
      <c r="N54" s="29">
        <f t="shared" si="11"/>
        <v>219617420</v>
      </c>
      <c r="O54" s="30">
        <f t="shared" si="3"/>
        <v>2.2136800705450734</v>
      </c>
      <c r="P54" s="30">
        <f t="shared" si="4"/>
        <v>2.2136800705450734</v>
      </c>
      <c r="Q54" s="29">
        <f t="shared" si="12"/>
        <v>78.500000020000002</v>
      </c>
      <c r="R54" s="30">
        <f t="shared" si="5"/>
        <v>0.81694248111155676</v>
      </c>
      <c r="S54" s="30">
        <f t="shared" si="6"/>
        <v>0.81694248111155676</v>
      </c>
      <c r="T54" s="37">
        <f t="shared" si="7"/>
        <v>6.9999934000000152E-2</v>
      </c>
      <c r="U54" s="30">
        <f t="shared" si="8"/>
        <v>8.1018438922649937E-3</v>
      </c>
      <c r="V54" s="38">
        <f t="shared" si="9"/>
        <v>7.2848305407688765E-4</v>
      </c>
      <c r="W54" s="9">
        <f t="shared" si="22"/>
        <v>189202676</v>
      </c>
      <c r="X54" s="12">
        <f t="shared" si="22"/>
        <v>76.959999109999998</v>
      </c>
      <c r="Y54" s="11">
        <f t="shared" si="22"/>
        <v>0.58000016200000015</v>
      </c>
      <c r="Z54" s="7"/>
      <c r="AA54" s="7"/>
      <c r="AB54" s="10"/>
    </row>
    <row r="55" spans="1:28" x14ac:dyDescent="0.25">
      <c r="A55" s="2">
        <v>51</v>
      </c>
      <c r="B55">
        <v>1</v>
      </c>
      <c r="C55">
        <v>2</v>
      </c>
      <c r="D55">
        <v>1</v>
      </c>
      <c r="E55">
        <v>1</v>
      </c>
      <c r="G55">
        <v>256778752</v>
      </c>
      <c r="H55">
        <v>115.4300003</v>
      </c>
      <c r="I55">
        <v>2.9500000480000002</v>
      </c>
      <c r="J55" s="9">
        <f t="shared" ref="J55" si="25">ABS(G55-G54)</f>
        <v>4091600</v>
      </c>
      <c r="L55" s="9">
        <f t="shared" ref="L55:M60" si="26">ABS(H55-H54)</f>
        <v>4.9000015000000019</v>
      </c>
      <c r="M55" s="9">
        <f t="shared" si="26"/>
        <v>0</v>
      </c>
      <c r="N55" s="29">
        <f t="shared" si="11"/>
        <v>222477376</v>
      </c>
      <c r="O55" s="30">
        <f t="shared" si="3"/>
        <v>2.1619868932760404</v>
      </c>
      <c r="P55" s="30">
        <f t="shared" si="4"/>
        <v>2.1619868932760404</v>
      </c>
      <c r="Q55" s="29">
        <f t="shared" si="12"/>
        <v>82.430000300000003</v>
      </c>
      <c r="R55" s="30">
        <f t="shared" si="5"/>
        <v>0.83262626565656561</v>
      </c>
      <c r="S55" s="30">
        <f t="shared" si="6"/>
        <v>0.83262626565656561</v>
      </c>
      <c r="T55" s="37">
        <f t="shared" si="7"/>
        <v>6.9999934000000152E-2</v>
      </c>
      <c r="U55" s="30">
        <f t="shared" si="8"/>
        <v>8.1018438922649937E-3</v>
      </c>
      <c r="V55" s="38">
        <f t="shared" si="9"/>
        <v>7.0707004040404195E-4</v>
      </c>
      <c r="W55" s="9">
        <f t="shared" si="22"/>
        <v>190600004</v>
      </c>
      <c r="X55" s="12">
        <f t="shared" si="22"/>
        <v>81.08000183</v>
      </c>
      <c r="Y55" s="11">
        <f t="shared" si="22"/>
        <v>0.58000016200000015</v>
      </c>
      <c r="Z55" s="7"/>
      <c r="AA55" s="7"/>
      <c r="AB55" s="10"/>
    </row>
    <row r="56" spans="1:28" x14ac:dyDescent="0.25">
      <c r="A56" s="2">
        <v>52</v>
      </c>
      <c r="B56">
        <v>1</v>
      </c>
      <c r="C56">
        <v>2</v>
      </c>
      <c r="D56">
        <v>1</v>
      </c>
      <c r="E56">
        <v>2</v>
      </c>
      <c r="G56">
        <v>254237744</v>
      </c>
      <c r="H56">
        <v>113.2300034</v>
      </c>
      <c r="I56">
        <v>2.9500000480000002</v>
      </c>
      <c r="J56" s="9">
        <f t="shared" si="16"/>
        <v>2541008</v>
      </c>
      <c r="L56" s="9">
        <f t="shared" si="26"/>
        <v>2.1999969000000021</v>
      </c>
      <c r="M56" s="9">
        <f t="shared" si="26"/>
        <v>0</v>
      </c>
      <c r="N56" s="29">
        <f t="shared" si="11"/>
        <v>220660752</v>
      </c>
      <c r="O56" s="30">
        <f t="shared" si="3"/>
        <v>2.1905947977710452</v>
      </c>
      <c r="P56" s="30">
        <f t="shared" si="4"/>
        <v>2.1905947977710452</v>
      </c>
      <c r="Q56" s="29">
        <f t="shared" si="12"/>
        <v>80.700004620000001</v>
      </c>
      <c r="R56" s="30">
        <f t="shared" si="5"/>
        <v>0.8269290669798175</v>
      </c>
      <c r="S56" s="30">
        <f t="shared" si="6"/>
        <v>0.8269290669798175</v>
      </c>
      <c r="T56" s="37">
        <f t="shared" si="7"/>
        <v>6.9999934000000152E-2</v>
      </c>
      <c r="U56" s="30">
        <f t="shared" si="8"/>
        <v>8.1018438922649937E-3</v>
      </c>
      <c r="V56" s="38">
        <f t="shared" si="9"/>
        <v>7.1728595783652788E-4</v>
      </c>
      <c r="W56" s="9">
        <f t="shared" si="22"/>
        <v>189569688</v>
      </c>
      <c r="X56" s="12">
        <f t="shared" si="22"/>
        <v>79.300003090000004</v>
      </c>
      <c r="Y56" s="11">
        <f t="shared" si="22"/>
        <v>0.58000016200000015</v>
      </c>
      <c r="Z56" s="7"/>
      <c r="AA56" s="7"/>
      <c r="AB56" s="10"/>
    </row>
    <row r="57" spans="1:28" x14ac:dyDescent="0.25">
      <c r="A57" s="2">
        <v>53</v>
      </c>
      <c r="B57">
        <v>1</v>
      </c>
      <c r="C57">
        <v>2</v>
      </c>
      <c r="D57">
        <v>1</v>
      </c>
      <c r="E57">
        <v>3</v>
      </c>
      <c r="G57">
        <v>256463840</v>
      </c>
      <c r="H57">
        <v>120.66999819999999</v>
      </c>
      <c r="I57">
        <v>2.9500000480000002</v>
      </c>
      <c r="J57" s="9">
        <f t="shared" si="16"/>
        <v>2226096</v>
      </c>
      <c r="L57" s="9">
        <f t="shared" si="26"/>
        <v>7.4399947999999938</v>
      </c>
      <c r="M57" s="9">
        <f t="shared" si="26"/>
        <v>0</v>
      </c>
      <c r="N57" s="29">
        <f t="shared" si="11"/>
        <v>221622744</v>
      </c>
      <c r="O57" s="30">
        <f t="shared" si="3"/>
        <v>2.1203192919074647</v>
      </c>
      <c r="P57" s="30">
        <f t="shared" si="4"/>
        <v>2.1203192919074647</v>
      </c>
      <c r="Q57" s="29">
        <f t="shared" si="12"/>
        <v>86.799999270000001</v>
      </c>
      <c r="R57" s="30">
        <f t="shared" si="5"/>
        <v>0.8542466490712699</v>
      </c>
      <c r="S57" s="30">
        <f t="shared" si="6"/>
        <v>0.8542466490712699</v>
      </c>
      <c r="T57" s="37">
        <f t="shared" si="7"/>
        <v>6.9999934000000152E-2</v>
      </c>
      <c r="U57" s="30">
        <f t="shared" si="8"/>
        <v>8.1018438922649937E-3</v>
      </c>
      <c r="V57" s="38">
        <f t="shared" si="9"/>
        <v>6.8890794421213122E-4</v>
      </c>
      <c r="W57" s="9">
        <f t="shared" si="22"/>
        <v>188391592</v>
      </c>
      <c r="X57" s="12">
        <f t="shared" si="22"/>
        <v>85.699996979999995</v>
      </c>
      <c r="Y57" s="11">
        <f t="shared" si="22"/>
        <v>0.58000016200000015</v>
      </c>
      <c r="Z57" s="7"/>
      <c r="AA57" s="7"/>
      <c r="AB57" s="10"/>
    </row>
    <row r="58" spans="1:28" x14ac:dyDescent="0.25">
      <c r="A58" s="2">
        <v>54</v>
      </c>
      <c r="B58">
        <v>1</v>
      </c>
      <c r="C58">
        <v>2</v>
      </c>
      <c r="D58">
        <v>1</v>
      </c>
      <c r="E58">
        <v>4</v>
      </c>
      <c r="G58">
        <v>240312144</v>
      </c>
      <c r="H58">
        <v>116.7200012</v>
      </c>
      <c r="I58">
        <v>2.9500000480000002</v>
      </c>
      <c r="J58" s="9">
        <f t="shared" si="16"/>
        <v>16151696</v>
      </c>
      <c r="L58" s="9">
        <f t="shared" si="26"/>
        <v>3.9499969999999962</v>
      </c>
      <c r="M58" s="9">
        <f t="shared" si="26"/>
        <v>0</v>
      </c>
      <c r="N58" s="29">
        <f t="shared" si="11"/>
        <v>208147428</v>
      </c>
      <c r="O58" s="30">
        <f t="shared" si="3"/>
        <v>2.1570989776499192</v>
      </c>
      <c r="P58" s="30">
        <f t="shared" si="4"/>
        <v>2.1570989776499192</v>
      </c>
      <c r="Q58" s="29">
        <f t="shared" si="12"/>
        <v>83.96000287999999</v>
      </c>
      <c r="R58" s="30">
        <f t="shared" si="5"/>
        <v>0.8542939274078285</v>
      </c>
      <c r="S58" s="30">
        <f t="shared" si="6"/>
        <v>0.8542939274078285</v>
      </c>
      <c r="T58" s="37">
        <f t="shared" si="7"/>
        <v>6.9999934000000152E-2</v>
      </c>
      <c r="U58" s="30">
        <f t="shared" si="8"/>
        <v>8.1018438922649937E-3</v>
      </c>
      <c r="V58" s="38">
        <f t="shared" si="9"/>
        <v>7.1225007722568732E-4</v>
      </c>
      <c r="W58" s="9">
        <f t="shared" ref="W58:Y73" si="27">ABS(G58-G37)</f>
        <v>176120360</v>
      </c>
      <c r="X58" s="12">
        <f t="shared" si="27"/>
        <v>82.77000043999999</v>
      </c>
      <c r="Y58" s="11">
        <f t="shared" si="27"/>
        <v>0.58000016200000015</v>
      </c>
      <c r="Z58" s="7"/>
      <c r="AA58" s="7"/>
      <c r="AB58" s="10"/>
    </row>
    <row r="59" spans="1:28" x14ac:dyDescent="0.25">
      <c r="A59" s="2">
        <v>55</v>
      </c>
      <c r="B59">
        <v>1</v>
      </c>
      <c r="C59">
        <v>2</v>
      </c>
      <c r="D59">
        <v>1</v>
      </c>
      <c r="E59">
        <v>5</v>
      </c>
      <c r="G59">
        <v>222113792</v>
      </c>
      <c r="H59">
        <v>112.9499969</v>
      </c>
      <c r="I59">
        <v>2.9500000480000002</v>
      </c>
      <c r="J59" s="9">
        <f t="shared" si="16"/>
        <v>18198352</v>
      </c>
      <c r="L59" s="9">
        <f t="shared" si="26"/>
        <v>3.7700042999999965</v>
      </c>
      <c r="M59" s="9">
        <f t="shared" si="26"/>
        <v>0</v>
      </c>
      <c r="N59" s="29">
        <f t="shared" si="11"/>
        <v>193396802</v>
      </c>
      <c r="O59" s="30">
        <f t="shared" si="3"/>
        <v>2.2448592511494647</v>
      </c>
      <c r="P59" s="30">
        <f t="shared" si="4"/>
        <v>2.2448592511494647</v>
      </c>
      <c r="Q59" s="29">
        <f t="shared" si="12"/>
        <v>81.609996749999993</v>
      </c>
      <c r="R59" s="30">
        <f t="shared" si="5"/>
        <v>0.86800676834074608</v>
      </c>
      <c r="S59" s="30">
        <f t="shared" si="6"/>
        <v>0.86800676834074608</v>
      </c>
      <c r="T59" s="37">
        <f t="shared" si="7"/>
        <v>6.9999934000000152E-2</v>
      </c>
      <c r="U59" s="30">
        <f t="shared" si="8"/>
        <v>8.1018438922649937E-3</v>
      </c>
      <c r="V59" s="38">
        <f t="shared" si="9"/>
        <v>7.4452173649186733E-4</v>
      </c>
      <c r="W59" s="9">
        <f t="shared" si="27"/>
        <v>162372784</v>
      </c>
      <c r="X59" s="12">
        <f t="shared" si="27"/>
        <v>79.489997819999999</v>
      </c>
      <c r="Y59" s="11">
        <f t="shared" si="27"/>
        <v>0.58000016200000015</v>
      </c>
      <c r="Z59" s="7"/>
      <c r="AA59" s="7"/>
      <c r="AB59" s="10"/>
    </row>
    <row r="60" spans="1:28" x14ac:dyDescent="0.25">
      <c r="A60" s="2">
        <v>56</v>
      </c>
      <c r="B60">
        <v>1</v>
      </c>
      <c r="C60">
        <v>2</v>
      </c>
      <c r="D60">
        <v>1</v>
      </c>
      <c r="E60">
        <v>6</v>
      </c>
      <c r="G60">
        <v>184878256</v>
      </c>
      <c r="H60">
        <v>101.11000060000001</v>
      </c>
      <c r="I60">
        <v>2.9500000480000002</v>
      </c>
      <c r="J60" s="9">
        <f t="shared" si="16"/>
        <v>37235536</v>
      </c>
      <c r="L60" s="9">
        <f t="shared" si="26"/>
        <v>11.839996299999996</v>
      </c>
      <c r="M60" s="9">
        <f t="shared" si="26"/>
        <v>0</v>
      </c>
      <c r="N60" s="29">
        <f t="shared" si="11"/>
        <v>163005492</v>
      </c>
      <c r="O60" s="30">
        <f t="shared" si="3"/>
        <v>2.4841471338510304</v>
      </c>
      <c r="P60" s="30">
        <f t="shared" si="4"/>
        <v>2.4841471338510304</v>
      </c>
      <c r="Q60" s="29">
        <f t="shared" si="12"/>
        <v>73.270000449999998</v>
      </c>
      <c r="R60" s="30">
        <f t="shared" si="5"/>
        <v>0.87727490487579363</v>
      </c>
      <c r="S60" s="30">
        <f t="shared" si="6"/>
        <v>0.87727490487579363</v>
      </c>
      <c r="T60" s="37">
        <f t="shared" si="7"/>
        <v>6.9999934000000152E-2</v>
      </c>
      <c r="U60" s="30">
        <f t="shared" si="8"/>
        <v>8.1018438922649937E-3</v>
      </c>
      <c r="V60" s="38">
        <f t="shared" si="9"/>
        <v>8.3812181061835884E-4</v>
      </c>
      <c r="W60" s="9">
        <f t="shared" si="27"/>
        <v>135795716</v>
      </c>
      <c r="X60" s="12">
        <f t="shared" si="27"/>
        <v>70.239999760000003</v>
      </c>
      <c r="Y60" s="11">
        <f t="shared" si="27"/>
        <v>0.58000016200000015</v>
      </c>
      <c r="Z60" s="7"/>
      <c r="AA60" s="7"/>
      <c r="AB60" s="10"/>
    </row>
    <row r="61" spans="1:28" x14ac:dyDescent="0.25">
      <c r="A61" s="2">
        <v>57</v>
      </c>
      <c r="B61">
        <v>1</v>
      </c>
      <c r="C61">
        <v>2</v>
      </c>
      <c r="D61">
        <v>2</v>
      </c>
      <c r="E61">
        <v>0</v>
      </c>
      <c r="G61">
        <v>969801152</v>
      </c>
      <c r="H61">
        <v>299.75</v>
      </c>
      <c r="I61">
        <v>3.079999924</v>
      </c>
      <c r="N61" s="29">
        <f t="shared" si="11"/>
        <v>717114000</v>
      </c>
      <c r="O61" s="30">
        <f t="shared" si="3"/>
        <v>0.9459839889287287</v>
      </c>
      <c r="P61" s="30">
        <f t="shared" si="4"/>
        <v>1.8919679778574574</v>
      </c>
      <c r="Q61" s="29">
        <f t="shared" si="12"/>
        <v>189.22000120000001</v>
      </c>
      <c r="R61" s="30">
        <f t="shared" si="5"/>
        <v>0.57064448039542848</v>
      </c>
      <c r="S61" s="30">
        <f t="shared" si="6"/>
        <v>1.141288960790857</v>
      </c>
      <c r="T61" s="37">
        <f t="shared" si="7"/>
        <v>0.12999987599999985</v>
      </c>
      <c r="U61" s="30">
        <f t="shared" si="8"/>
        <v>1.4689251286412165E-2</v>
      </c>
      <c r="V61" s="38">
        <f t="shared" si="9"/>
        <v>7.8410010803329436E-4</v>
      </c>
      <c r="W61" s="9">
        <f t="shared" si="27"/>
        <v>682702080</v>
      </c>
      <c r="X61" s="12">
        <f t="shared" si="27"/>
        <v>232.23999786000002</v>
      </c>
      <c r="Y61" s="11">
        <f t="shared" si="27"/>
        <v>0.60999989500000007</v>
      </c>
      <c r="Z61" s="7"/>
      <c r="AA61" s="7"/>
      <c r="AB61" s="10"/>
    </row>
    <row r="62" spans="1:28" x14ac:dyDescent="0.25">
      <c r="A62" s="2">
        <v>58</v>
      </c>
      <c r="B62">
        <v>1</v>
      </c>
      <c r="C62">
        <v>2</v>
      </c>
      <c r="D62">
        <v>2</v>
      </c>
      <c r="E62">
        <v>1</v>
      </c>
      <c r="G62">
        <v>974543424</v>
      </c>
      <c r="H62">
        <v>314.07000729999999</v>
      </c>
      <c r="I62">
        <v>3.079999924</v>
      </c>
      <c r="J62" s="9">
        <f t="shared" ref="J62" si="28">ABS(G62-G61)</f>
        <v>4742272</v>
      </c>
      <c r="L62" s="9">
        <f t="shared" ref="L62:M67" si="29">ABS(H62-H61)</f>
        <v>14.320007299999986</v>
      </c>
      <c r="M62" s="9">
        <f t="shared" si="29"/>
        <v>0</v>
      </c>
      <c r="N62" s="29">
        <f t="shared" si="11"/>
        <v>717764672</v>
      </c>
      <c r="O62" s="30">
        <f t="shared" si="3"/>
        <v>0.93175501790220816</v>
      </c>
      <c r="P62" s="30">
        <f t="shared" si="4"/>
        <v>1.8635100358044163</v>
      </c>
      <c r="Q62" s="29">
        <f t="shared" si="12"/>
        <v>198.64000699999997</v>
      </c>
      <c r="R62" s="30">
        <f t="shared" si="5"/>
        <v>0.57362328246192218</v>
      </c>
      <c r="S62" s="30">
        <f t="shared" si="6"/>
        <v>1.1472465649238444</v>
      </c>
      <c r="T62" s="37">
        <f t="shared" si="7"/>
        <v>0.12999987599999985</v>
      </c>
      <c r="U62" s="30">
        <f t="shared" si="8"/>
        <v>1.4689251286412165E-2</v>
      </c>
      <c r="V62" s="38">
        <f t="shared" si="9"/>
        <v>7.5081507211951289E-4</v>
      </c>
      <c r="W62" s="9">
        <f t="shared" si="27"/>
        <v>679410496</v>
      </c>
      <c r="X62" s="12">
        <f t="shared" si="27"/>
        <v>244.30001066</v>
      </c>
      <c r="Y62" s="11">
        <f t="shared" si="27"/>
        <v>0.60999989500000007</v>
      </c>
      <c r="Z62" s="7"/>
      <c r="AA62" s="7"/>
      <c r="AB62" s="10"/>
    </row>
    <row r="63" spans="1:28" x14ac:dyDescent="0.25">
      <c r="A63" s="2">
        <v>59</v>
      </c>
      <c r="B63">
        <v>1</v>
      </c>
      <c r="C63">
        <v>2</v>
      </c>
      <c r="D63">
        <v>2</v>
      </c>
      <c r="E63">
        <v>2</v>
      </c>
      <c r="G63">
        <v>971252864</v>
      </c>
      <c r="H63">
        <v>307.17001340000002</v>
      </c>
      <c r="I63">
        <v>3.079999924</v>
      </c>
      <c r="J63" s="9">
        <f t="shared" si="13"/>
        <v>3290560</v>
      </c>
      <c r="L63" s="9">
        <f t="shared" si="29"/>
        <v>6.8999938999999699</v>
      </c>
      <c r="M63" s="9">
        <f t="shared" si="29"/>
        <v>0</v>
      </c>
      <c r="N63" s="29">
        <f t="shared" si="11"/>
        <v>717015120</v>
      </c>
      <c r="O63" s="30">
        <f t="shared" si="3"/>
        <v>0.94008480503193892</v>
      </c>
      <c r="P63" s="30">
        <f t="shared" si="4"/>
        <v>1.8801696100638778</v>
      </c>
      <c r="Q63" s="29">
        <f t="shared" si="12"/>
        <v>193.94001000000003</v>
      </c>
      <c r="R63" s="30">
        <f t="shared" si="5"/>
        <v>0.57093233294029921</v>
      </c>
      <c r="S63" s="30">
        <f t="shared" si="6"/>
        <v>1.1418646658805984</v>
      </c>
      <c r="T63" s="37">
        <f t="shared" si="7"/>
        <v>0.12999987599999985</v>
      </c>
      <c r="U63" s="30">
        <f t="shared" si="8"/>
        <v>1.4689251286412165E-2</v>
      </c>
      <c r="V63" s="38">
        <f t="shared" si="9"/>
        <v>7.6540299741790791E-4</v>
      </c>
      <c r="W63" s="9">
        <f t="shared" si="27"/>
        <v>680429152</v>
      </c>
      <c r="X63" s="12">
        <f t="shared" si="27"/>
        <v>238.56001279000003</v>
      </c>
      <c r="Y63" s="11">
        <f t="shared" si="27"/>
        <v>0.60999989500000007</v>
      </c>
      <c r="Z63" s="7"/>
      <c r="AA63" s="7"/>
      <c r="AB63" s="10"/>
    </row>
    <row r="64" spans="1:28" x14ac:dyDescent="0.25">
      <c r="A64" s="2">
        <v>60</v>
      </c>
      <c r="B64">
        <v>1</v>
      </c>
      <c r="C64">
        <v>2</v>
      </c>
      <c r="D64">
        <v>2</v>
      </c>
      <c r="E64">
        <v>3</v>
      </c>
      <c r="G64">
        <v>960180096</v>
      </c>
      <c r="H64">
        <v>328.9100037</v>
      </c>
      <c r="I64">
        <v>3.079999924</v>
      </c>
      <c r="J64" s="9">
        <f t="shared" si="13"/>
        <v>11072768</v>
      </c>
      <c r="L64" s="9">
        <f t="shared" si="29"/>
        <v>21.739990299999988</v>
      </c>
      <c r="M64" s="9">
        <f t="shared" si="29"/>
        <v>0</v>
      </c>
      <c r="N64" s="29">
        <f t="shared" si="11"/>
        <v>703716256</v>
      </c>
      <c r="O64" s="30">
        <f t="shared" si="3"/>
        <v>0.91463999499240645</v>
      </c>
      <c r="P64" s="30">
        <f t="shared" si="4"/>
        <v>1.8292799899848129</v>
      </c>
      <c r="Q64" s="29">
        <f t="shared" si="12"/>
        <v>208.2400055</v>
      </c>
      <c r="R64" s="30">
        <f t="shared" si="5"/>
        <v>0.57523275215120262</v>
      </c>
      <c r="S64" s="30">
        <f t="shared" si="6"/>
        <v>1.1504655043024052</v>
      </c>
      <c r="T64" s="37">
        <f t="shared" si="7"/>
        <v>0.12999987599999985</v>
      </c>
      <c r="U64" s="30">
        <f t="shared" si="8"/>
        <v>1.4689251286412165E-2</v>
      </c>
      <c r="V64" s="38">
        <f t="shared" si="9"/>
        <v>7.1821152973216759E-4</v>
      </c>
      <c r="W64" s="9">
        <f t="shared" si="27"/>
        <v>659514816</v>
      </c>
      <c r="X64" s="12">
        <f t="shared" si="27"/>
        <v>256.78000644999997</v>
      </c>
      <c r="Y64" s="11">
        <f t="shared" si="27"/>
        <v>0.60999989500000007</v>
      </c>
      <c r="Z64" s="7"/>
      <c r="AA64" s="7"/>
      <c r="AB64" s="10"/>
    </row>
    <row r="65" spans="1:28" x14ac:dyDescent="0.25">
      <c r="A65" s="2">
        <v>61</v>
      </c>
      <c r="B65">
        <v>1</v>
      </c>
      <c r="C65">
        <v>2</v>
      </c>
      <c r="D65">
        <v>2</v>
      </c>
      <c r="E65">
        <v>4</v>
      </c>
      <c r="G65">
        <v>891360128</v>
      </c>
      <c r="H65">
        <v>318.67001340000002</v>
      </c>
      <c r="I65">
        <v>3.079999924</v>
      </c>
      <c r="J65" s="9">
        <f t="shared" si="13"/>
        <v>68819968</v>
      </c>
      <c r="L65" s="9">
        <f t="shared" si="29"/>
        <v>10.239990299999988</v>
      </c>
      <c r="M65" s="9">
        <f t="shared" si="29"/>
        <v>0</v>
      </c>
      <c r="N65" s="29">
        <f t="shared" si="11"/>
        <v>651047984</v>
      </c>
      <c r="O65" s="30">
        <f t="shared" si="3"/>
        <v>0.90305879284513679</v>
      </c>
      <c r="P65" s="30">
        <f t="shared" si="4"/>
        <v>1.8061175856902736</v>
      </c>
      <c r="Q65" s="29">
        <f t="shared" si="12"/>
        <v>201.9500122</v>
      </c>
      <c r="R65" s="30">
        <f t="shared" si="5"/>
        <v>0.57673637800933586</v>
      </c>
      <c r="S65" s="30">
        <f t="shared" si="6"/>
        <v>1.1534727560186717</v>
      </c>
      <c r="T65" s="37">
        <f t="shared" si="7"/>
        <v>0.12999987599999985</v>
      </c>
      <c r="U65" s="30">
        <f t="shared" si="8"/>
        <v>1.4689251286412165E-2</v>
      </c>
      <c r="V65" s="38">
        <f t="shared" si="9"/>
        <v>7.4251699030996839E-4</v>
      </c>
      <c r="W65" s="9">
        <f t="shared" si="27"/>
        <v>605207200</v>
      </c>
      <c r="X65" s="12">
        <f t="shared" si="27"/>
        <v>248.24001309000002</v>
      </c>
      <c r="Y65" s="11">
        <f t="shared" si="27"/>
        <v>0.59999990499999978</v>
      </c>
      <c r="Z65" s="7"/>
      <c r="AA65" s="7"/>
      <c r="AB65" s="10"/>
    </row>
    <row r="66" spans="1:28" x14ac:dyDescent="0.25">
      <c r="A66" s="2">
        <v>62</v>
      </c>
      <c r="B66">
        <v>1</v>
      </c>
      <c r="C66">
        <v>2</v>
      </c>
      <c r="D66">
        <v>2</v>
      </c>
      <c r="E66">
        <v>5</v>
      </c>
      <c r="G66">
        <v>828092032</v>
      </c>
      <c r="H66">
        <v>306.30999759999997</v>
      </c>
      <c r="I66">
        <v>3.079999924</v>
      </c>
      <c r="J66" s="9">
        <f t="shared" si="13"/>
        <v>63268096</v>
      </c>
      <c r="L66" s="9">
        <f t="shared" si="29"/>
        <v>12.360015800000042</v>
      </c>
      <c r="M66" s="9">
        <f t="shared" si="29"/>
        <v>0</v>
      </c>
      <c r="N66" s="29">
        <f t="shared" si="11"/>
        <v>605978240</v>
      </c>
      <c r="O66" s="30">
        <f t="shared" si="3"/>
        <v>0.90941109441176293</v>
      </c>
      <c r="P66" s="30">
        <f t="shared" si="4"/>
        <v>1.8188221888235259</v>
      </c>
      <c r="Q66" s="29">
        <f t="shared" si="12"/>
        <v>193.36000069999997</v>
      </c>
      <c r="R66" s="30">
        <f t="shared" si="5"/>
        <v>0.5706359923473947</v>
      </c>
      <c r="S66" s="30">
        <f t="shared" si="6"/>
        <v>1.1412719846947894</v>
      </c>
      <c r="T66" s="37">
        <f t="shared" si="7"/>
        <v>0.12999987599999985</v>
      </c>
      <c r="U66" s="30">
        <f t="shared" si="8"/>
        <v>1.4689251286412165E-2</v>
      </c>
      <c r="V66" s="38">
        <f t="shared" si="9"/>
        <v>7.6730045487942726E-4</v>
      </c>
      <c r="W66" s="9">
        <f t="shared" si="27"/>
        <v>558227328</v>
      </c>
      <c r="X66" s="12">
        <f t="shared" si="27"/>
        <v>235.93999484999998</v>
      </c>
      <c r="Y66" s="11">
        <f t="shared" si="27"/>
        <v>0.59999990499999978</v>
      </c>
      <c r="Z66" s="7"/>
      <c r="AA66" s="7"/>
      <c r="AB66" s="10"/>
    </row>
    <row r="67" spans="1:28" x14ac:dyDescent="0.25">
      <c r="A67" s="2">
        <v>63</v>
      </c>
      <c r="B67">
        <v>1</v>
      </c>
      <c r="C67">
        <v>2</v>
      </c>
      <c r="D67">
        <v>2</v>
      </c>
      <c r="E67">
        <v>6</v>
      </c>
      <c r="G67">
        <v>688246336</v>
      </c>
      <c r="H67">
        <v>273.26000979999998</v>
      </c>
      <c r="I67">
        <v>3.079999924</v>
      </c>
      <c r="J67" s="9">
        <f t="shared" si="13"/>
        <v>139845696</v>
      </c>
      <c r="L67" s="9">
        <f t="shared" si="29"/>
        <v>33.049987799999997</v>
      </c>
      <c r="M67" s="9">
        <f t="shared" si="29"/>
        <v>0</v>
      </c>
      <c r="N67" s="29">
        <f t="shared" si="11"/>
        <v>503368080</v>
      </c>
      <c r="O67" s="30">
        <f t="shared" si="3"/>
        <v>0.90756676112306034</v>
      </c>
      <c r="P67" s="30">
        <f t="shared" si="4"/>
        <v>1.8151335222461207</v>
      </c>
      <c r="Q67" s="29">
        <f t="shared" si="12"/>
        <v>172.15000919999997</v>
      </c>
      <c r="R67" s="30">
        <f t="shared" si="5"/>
        <v>0.56753373612382296</v>
      </c>
      <c r="S67" s="30">
        <f t="shared" si="6"/>
        <v>1.1350674722476459</v>
      </c>
      <c r="T67" s="37">
        <f t="shared" si="7"/>
        <v>0.12999987599999985</v>
      </c>
      <c r="U67" s="30">
        <f t="shared" si="8"/>
        <v>1.4689251286412165E-2</v>
      </c>
      <c r="V67" s="38">
        <f t="shared" si="9"/>
        <v>8.5715145372078935E-4</v>
      </c>
      <c r="W67" s="9">
        <f t="shared" si="27"/>
        <v>456804864</v>
      </c>
      <c r="X67" s="12">
        <f t="shared" si="27"/>
        <v>207.42001345999998</v>
      </c>
      <c r="Y67" s="11">
        <f t="shared" si="27"/>
        <v>0.59999990499999978</v>
      </c>
      <c r="Z67" s="7"/>
      <c r="AA67" s="7"/>
      <c r="AB67" s="10"/>
    </row>
    <row r="68" spans="1:28" x14ac:dyDescent="0.25">
      <c r="A68" s="2">
        <v>64</v>
      </c>
      <c r="B68">
        <v>1</v>
      </c>
      <c r="C68">
        <v>3</v>
      </c>
      <c r="D68">
        <v>0</v>
      </c>
      <c r="E68">
        <v>0</v>
      </c>
      <c r="G68">
        <v>84853136</v>
      </c>
      <c r="H68">
        <v>63.319999690000003</v>
      </c>
      <c r="I68">
        <v>3.4300000669999999</v>
      </c>
      <c r="N68" s="29">
        <f t="shared" si="11"/>
        <v>884948016</v>
      </c>
      <c r="O68" s="30">
        <f t="shared" si="3"/>
        <v>0.30416820127679123</v>
      </c>
      <c r="P68" s="30">
        <f t="shared" si="4"/>
        <v>1.0138940042559708</v>
      </c>
      <c r="Q68" s="29">
        <f t="shared" si="12"/>
        <v>236.43000031</v>
      </c>
      <c r="R68" s="30">
        <f t="shared" si="5"/>
        <v>0.2629190995941062</v>
      </c>
      <c r="S68" s="30">
        <f t="shared" si="6"/>
        <v>0.87639699864702059</v>
      </c>
      <c r="T68" s="37">
        <f t="shared" si="7"/>
        <v>0.35000014299999993</v>
      </c>
      <c r="U68" s="30">
        <f t="shared" si="8"/>
        <v>3.7878804289650146E-2</v>
      </c>
      <c r="V68" s="38">
        <f t="shared" si="9"/>
        <v>1.2973779742377906E-3</v>
      </c>
      <c r="W68" s="9">
        <f t="shared" si="27"/>
        <v>51783404</v>
      </c>
      <c r="X68" s="12">
        <f t="shared" si="27"/>
        <v>31.290000910000003</v>
      </c>
      <c r="Y68" s="11">
        <f t="shared" si="27"/>
        <v>0.54999995299999993</v>
      </c>
      <c r="Z68" s="7"/>
      <c r="AA68" s="7"/>
      <c r="AB68" s="10"/>
    </row>
    <row r="69" spans="1:28" x14ac:dyDescent="0.25">
      <c r="A69" s="2">
        <v>65</v>
      </c>
      <c r="B69">
        <v>1</v>
      </c>
      <c r="C69">
        <v>3</v>
      </c>
      <c r="D69">
        <v>0</v>
      </c>
      <c r="E69">
        <v>1</v>
      </c>
      <c r="G69">
        <v>85315352</v>
      </c>
      <c r="H69">
        <v>64.519996640000002</v>
      </c>
      <c r="I69">
        <v>3.4300000669999999</v>
      </c>
      <c r="J69" s="9">
        <f t="shared" ref="J69" si="30">ABS(G69-G68)</f>
        <v>462216</v>
      </c>
      <c r="L69" s="9">
        <f t="shared" ref="L69:M74" si="31">ABS(H69-H68)</f>
        <v>1.1999969499999992</v>
      </c>
      <c r="M69" s="9">
        <f t="shared" si="31"/>
        <v>0</v>
      </c>
      <c r="N69" s="29">
        <f t="shared" si="11"/>
        <v>889228072</v>
      </c>
      <c r="O69" s="30">
        <f t="shared" si="3"/>
        <v>0.30415202651178458</v>
      </c>
      <c r="P69" s="30">
        <f t="shared" si="4"/>
        <v>1.0138400883726153</v>
      </c>
      <c r="Q69" s="29">
        <f t="shared" si="12"/>
        <v>249.55001066</v>
      </c>
      <c r="R69" s="30">
        <f t="shared" si="5"/>
        <v>0.26485603512980421</v>
      </c>
      <c r="S69" s="30">
        <f t="shared" si="6"/>
        <v>0.88285345043268071</v>
      </c>
      <c r="T69" s="37">
        <f t="shared" si="7"/>
        <v>0.35000014299999993</v>
      </c>
      <c r="U69" s="30">
        <f t="shared" si="8"/>
        <v>3.7878804289650146E-2</v>
      </c>
      <c r="V69" s="38">
        <f t="shared" si="9"/>
        <v>1.2382240861551306E-3</v>
      </c>
      <c r="W69" s="9">
        <f t="shared" si="27"/>
        <v>51013976</v>
      </c>
      <c r="X69" s="12">
        <f t="shared" si="27"/>
        <v>31.519996640000002</v>
      </c>
      <c r="Y69" s="11">
        <f t="shared" si="27"/>
        <v>0.54999995299999993</v>
      </c>
      <c r="Z69" s="7"/>
      <c r="AA69" s="7"/>
      <c r="AB69" s="10"/>
    </row>
    <row r="70" spans="1:28" x14ac:dyDescent="0.25">
      <c r="A70" s="2">
        <v>66</v>
      </c>
      <c r="B70">
        <v>1</v>
      </c>
      <c r="C70">
        <v>3</v>
      </c>
      <c r="D70">
        <v>0</v>
      </c>
      <c r="E70">
        <v>2</v>
      </c>
      <c r="G70">
        <v>84865032</v>
      </c>
      <c r="H70">
        <v>63.599998470000003</v>
      </c>
      <c r="I70">
        <v>3.4300000669999999</v>
      </c>
      <c r="J70" s="9">
        <f t="shared" si="16"/>
        <v>450320</v>
      </c>
      <c r="L70" s="9">
        <f t="shared" si="31"/>
        <v>0.9199981699999995</v>
      </c>
      <c r="M70" s="9">
        <f t="shared" si="31"/>
        <v>0</v>
      </c>
      <c r="N70" s="29">
        <f t="shared" si="11"/>
        <v>886387832</v>
      </c>
      <c r="O70" s="30">
        <f t="shared" si="3"/>
        <v>0.30420771111020034</v>
      </c>
      <c r="P70" s="30">
        <f t="shared" si="4"/>
        <v>1.0140257037006677</v>
      </c>
      <c r="Q70" s="29">
        <f t="shared" si="12"/>
        <v>243.57001493000001</v>
      </c>
      <c r="R70" s="30">
        <f t="shared" si="5"/>
        <v>0.26431618138109136</v>
      </c>
      <c r="S70" s="30">
        <f t="shared" si="6"/>
        <v>0.88105393793697118</v>
      </c>
      <c r="T70" s="37">
        <f t="shared" si="7"/>
        <v>0.35000014299999993</v>
      </c>
      <c r="U70" s="30">
        <f t="shared" si="8"/>
        <v>3.7878804289650146E-2</v>
      </c>
      <c r="V70" s="38">
        <f t="shared" si="9"/>
        <v>1.2660384504113763E-3</v>
      </c>
      <c r="W70" s="9">
        <f t="shared" si="27"/>
        <v>51288040</v>
      </c>
      <c r="X70" s="12">
        <f t="shared" si="27"/>
        <v>31.069999690000003</v>
      </c>
      <c r="Y70" s="11">
        <f t="shared" si="27"/>
        <v>0.54999995299999993</v>
      </c>
      <c r="Z70" s="7"/>
      <c r="AA70" s="7"/>
      <c r="AB70" s="10"/>
    </row>
    <row r="71" spans="1:28" x14ac:dyDescent="0.25">
      <c r="A71" s="2">
        <v>67</v>
      </c>
      <c r="B71">
        <v>1</v>
      </c>
      <c r="C71">
        <v>3</v>
      </c>
      <c r="D71">
        <v>0</v>
      </c>
      <c r="E71">
        <v>3</v>
      </c>
      <c r="G71">
        <v>83684816</v>
      </c>
      <c r="H71">
        <v>64.699996949999999</v>
      </c>
      <c r="I71">
        <v>3.4300000669999999</v>
      </c>
      <c r="J71" s="9">
        <f t="shared" si="16"/>
        <v>1180216</v>
      </c>
      <c r="L71" s="9">
        <f t="shared" si="31"/>
        <v>1.0999984799999964</v>
      </c>
      <c r="M71" s="9">
        <f t="shared" si="31"/>
        <v>0</v>
      </c>
      <c r="N71" s="29">
        <f t="shared" si="11"/>
        <v>876495280</v>
      </c>
      <c r="O71" s="30">
        <f t="shared" si="3"/>
        <v>0.30428155566904541</v>
      </c>
      <c r="P71" s="30">
        <f t="shared" si="4"/>
        <v>1.0142718522301513</v>
      </c>
      <c r="Q71" s="29">
        <f t="shared" si="12"/>
        <v>264.21000674999999</v>
      </c>
      <c r="R71" s="30">
        <f t="shared" si="5"/>
        <v>0.26776322173018779</v>
      </c>
      <c r="S71" s="30">
        <f t="shared" si="6"/>
        <v>0.89254407243395939</v>
      </c>
      <c r="T71" s="37">
        <f t="shared" si="7"/>
        <v>0.35000014299999993</v>
      </c>
      <c r="U71" s="30">
        <f t="shared" si="8"/>
        <v>3.7878804289650146E-2</v>
      </c>
      <c r="V71" s="38">
        <f t="shared" si="9"/>
        <v>1.1823570077013675E-3</v>
      </c>
      <c r="W71" s="9">
        <f t="shared" si="27"/>
        <v>48843720</v>
      </c>
      <c r="X71" s="12">
        <f t="shared" si="27"/>
        <v>30.829998019999998</v>
      </c>
      <c r="Y71" s="11">
        <f t="shared" si="27"/>
        <v>0.54999995299999993</v>
      </c>
      <c r="Z71" s="7"/>
      <c r="AA71" s="7"/>
      <c r="AB71" s="10"/>
    </row>
    <row r="72" spans="1:28" x14ac:dyDescent="0.25">
      <c r="A72" s="2">
        <v>68</v>
      </c>
      <c r="B72">
        <v>1</v>
      </c>
      <c r="C72">
        <v>3</v>
      </c>
      <c r="D72">
        <v>0</v>
      </c>
      <c r="E72">
        <v>4</v>
      </c>
      <c r="G72">
        <v>76819752</v>
      </c>
      <c r="H72">
        <v>62.479999540000001</v>
      </c>
      <c r="I72">
        <v>3.4300000669999999</v>
      </c>
      <c r="J72" s="9">
        <f t="shared" si="16"/>
        <v>6865064</v>
      </c>
      <c r="L72" s="9">
        <f t="shared" si="31"/>
        <v>2.2199974099999977</v>
      </c>
      <c r="M72" s="9">
        <f t="shared" si="31"/>
        <v>0</v>
      </c>
      <c r="N72" s="29">
        <f t="shared" si="11"/>
        <v>814540376</v>
      </c>
      <c r="O72" s="30">
        <f t="shared" si="3"/>
        <v>0.30460579303213647</v>
      </c>
      <c r="P72" s="30">
        <f t="shared" si="4"/>
        <v>1.0153526434404547</v>
      </c>
      <c r="Q72" s="29">
        <f t="shared" si="12"/>
        <v>256.19001386000002</v>
      </c>
      <c r="R72" s="30">
        <f t="shared" si="5"/>
        <v>0.26797837165643607</v>
      </c>
      <c r="S72" s="30">
        <f t="shared" si="6"/>
        <v>0.89326123885478692</v>
      </c>
      <c r="T72" s="37">
        <f t="shared" si="7"/>
        <v>0.35000014299999993</v>
      </c>
      <c r="U72" s="30">
        <f t="shared" si="8"/>
        <v>3.7878804289650146E-2</v>
      </c>
      <c r="V72" s="38">
        <f t="shared" si="9"/>
        <v>1.2203503041550304E-3</v>
      </c>
      <c r="W72" s="9">
        <f t="shared" si="27"/>
        <v>44655036</v>
      </c>
      <c r="X72" s="12">
        <f t="shared" si="27"/>
        <v>29.72000122</v>
      </c>
      <c r="Y72" s="11">
        <f t="shared" si="27"/>
        <v>0.54999995299999993</v>
      </c>
      <c r="Z72" s="7"/>
      <c r="AA72" s="7"/>
      <c r="AB72" s="10"/>
    </row>
    <row r="73" spans="1:28" x14ac:dyDescent="0.25">
      <c r="A73" s="2">
        <v>69</v>
      </c>
      <c r="B73">
        <v>1</v>
      </c>
      <c r="C73">
        <v>3</v>
      </c>
      <c r="D73">
        <v>0</v>
      </c>
      <c r="E73">
        <v>5</v>
      </c>
      <c r="G73">
        <v>69473464</v>
      </c>
      <c r="H73">
        <v>57.740001679999999</v>
      </c>
      <c r="I73">
        <v>3.4300000669999999</v>
      </c>
      <c r="J73" s="9">
        <f t="shared" si="16"/>
        <v>7346288</v>
      </c>
      <c r="L73" s="9">
        <f t="shared" si="31"/>
        <v>4.7399978600000026</v>
      </c>
      <c r="M73" s="9">
        <f t="shared" si="31"/>
        <v>0</v>
      </c>
      <c r="N73" s="29">
        <f t="shared" si="11"/>
        <v>758618568</v>
      </c>
      <c r="O73" s="30">
        <f t="shared" si="3"/>
        <v>0.30536805841406767</v>
      </c>
      <c r="P73" s="30">
        <f t="shared" si="4"/>
        <v>1.0178935280468921</v>
      </c>
      <c r="Q73" s="29">
        <f t="shared" si="12"/>
        <v>248.56999591999997</v>
      </c>
      <c r="R73" s="30">
        <f t="shared" si="5"/>
        <v>0.27049938283394331</v>
      </c>
      <c r="S73" s="30">
        <f t="shared" si="6"/>
        <v>0.90166460944647775</v>
      </c>
      <c r="T73" s="37">
        <f t="shared" si="7"/>
        <v>0.35000014299999993</v>
      </c>
      <c r="U73" s="30">
        <f t="shared" si="8"/>
        <v>3.7878804289650146E-2</v>
      </c>
      <c r="V73" s="38">
        <f t="shared" si="9"/>
        <v>1.269593062011691E-3</v>
      </c>
      <c r="W73" s="9">
        <f t="shared" si="27"/>
        <v>40756474</v>
      </c>
      <c r="X73" s="12">
        <f t="shared" si="27"/>
        <v>26.400001529999997</v>
      </c>
      <c r="Y73" s="11">
        <f t="shared" si="27"/>
        <v>0.54999995299999993</v>
      </c>
      <c r="Z73" s="7"/>
      <c r="AA73" s="7"/>
      <c r="AB73" s="10"/>
    </row>
    <row r="74" spans="1:28" x14ac:dyDescent="0.25">
      <c r="A74" s="2">
        <v>70</v>
      </c>
      <c r="B74">
        <v>1</v>
      </c>
      <c r="C74">
        <v>3</v>
      </c>
      <c r="D74">
        <v>0</v>
      </c>
      <c r="E74">
        <v>6</v>
      </c>
      <c r="G74">
        <v>54824812</v>
      </c>
      <c r="H74">
        <v>50.619998930000001</v>
      </c>
      <c r="I74">
        <v>3.4300000669999999</v>
      </c>
      <c r="J74" s="9">
        <f t="shared" si="16"/>
        <v>14648652</v>
      </c>
      <c r="L74" s="9">
        <f t="shared" si="31"/>
        <v>7.1200027499999976</v>
      </c>
      <c r="M74" s="9">
        <f t="shared" si="31"/>
        <v>0</v>
      </c>
      <c r="N74" s="29">
        <f t="shared" si="11"/>
        <v>633421524</v>
      </c>
      <c r="O74" s="30">
        <f t="shared" si="3"/>
        <v>0.30678043159244656</v>
      </c>
      <c r="P74" s="30">
        <f t="shared" si="4"/>
        <v>1.0226014386414886</v>
      </c>
      <c r="Q74" s="29">
        <f t="shared" si="12"/>
        <v>222.64001086999997</v>
      </c>
      <c r="R74" s="30">
        <f t="shared" si="5"/>
        <v>0.2715850629259059</v>
      </c>
      <c r="S74" s="30">
        <f t="shared" si="6"/>
        <v>0.90528354308635295</v>
      </c>
      <c r="T74" s="37">
        <f t="shared" si="7"/>
        <v>0.35000014299999993</v>
      </c>
      <c r="U74" s="30">
        <f t="shared" si="8"/>
        <v>3.7878804289650146E-2</v>
      </c>
      <c r="V74" s="38">
        <f t="shared" si="9"/>
        <v>1.4231465777316157E-3</v>
      </c>
      <c r="W74" s="9">
        <f t="shared" ref="W74:Y89" si="32">ABS(G74-G53)</f>
        <v>32952048</v>
      </c>
      <c r="X74" s="12">
        <f t="shared" si="32"/>
        <v>22.77999878</v>
      </c>
      <c r="Y74" s="11">
        <f t="shared" si="32"/>
        <v>0.54999995299999993</v>
      </c>
      <c r="Z74" s="7"/>
      <c r="AA74" s="7"/>
      <c r="AB74" s="10"/>
    </row>
    <row r="75" spans="1:28" x14ac:dyDescent="0.25">
      <c r="A75" s="2">
        <v>71</v>
      </c>
      <c r="B75">
        <v>1</v>
      </c>
      <c r="C75">
        <v>3</v>
      </c>
      <c r="D75">
        <v>1</v>
      </c>
      <c r="E75">
        <v>0</v>
      </c>
      <c r="G75">
        <v>478717696</v>
      </c>
      <c r="H75">
        <v>265.36999509999998</v>
      </c>
      <c r="I75">
        <v>3.5599999430000002</v>
      </c>
      <c r="N75" s="29">
        <f t="shared" si="11"/>
        <v>393864560</v>
      </c>
      <c r="O75" s="30">
        <f t="shared" si="3"/>
        <v>1.5472402418534852</v>
      </c>
      <c r="P75" s="30">
        <f t="shared" si="4"/>
        <v>1.5472402418534852</v>
      </c>
      <c r="Q75" s="29">
        <f t="shared" si="12"/>
        <v>202.04999540999998</v>
      </c>
      <c r="R75" s="30">
        <f t="shared" si="5"/>
        <v>1.0636449589344588</v>
      </c>
      <c r="S75" s="30">
        <f t="shared" si="6"/>
        <v>1.0636449589344588</v>
      </c>
      <c r="T75" s="37">
        <f t="shared" si="7"/>
        <v>0.12999987600000029</v>
      </c>
      <c r="U75" s="30">
        <f t="shared" si="8"/>
        <v>1.2633612581209345E-2</v>
      </c>
      <c r="V75" s="38">
        <f t="shared" si="9"/>
        <v>6.8435395155006038E-4</v>
      </c>
      <c r="W75" s="9">
        <f t="shared" si="32"/>
        <v>226030544</v>
      </c>
      <c r="X75" s="12">
        <f t="shared" si="32"/>
        <v>154.8399963</v>
      </c>
      <c r="Y75" s="11">
        <f t="shared" si="32"/>
        <v>0.60999989500000007</v>
      </c>
      <c r="Z75" s="7"/>
      <c r="AA75" s="7"/>
      <c r="AB75" s="10"/>
    </row>
    <row r="76" spans="1:28" x14ac:dyDescent="0.25">
      <c r="A76" s="2">
        <v>72</v>
      </c>
      <c r="B76">
        <v>1</v>
      </c>
      <c r="C76">
        <v>3</v>
      </c>
      <c r="D76">
        <v>1</v>
      </c>
      <c r="E76">
        <v>1</v>
      </c>
      <c r="G76">
        <v>478439200</v>
      </c>
      <c r="H76">
        <v>270.85998540000003</v>
      </c>
      <c r="I76">
        <v>3.5599999430000002</v>
      </c>
      <c r="J76" s="9">
        <f t="shared" ref="J76" si="33">ABS(G76-G75)</f>
        <v>278496</v>
      </c>
      <c r="L76" s="9">
        <f t="shared" ref="L76:M81" si="34">ABS(H76-H75)</f>
        <v>5.489990300000045</v>
      </c>
      <c r="M76" s="9">
        <f t="shared" si="34"/>
        <v>0</v>
      </c>
      <c r="N76" s="29">
        <f t="shared" si="11"/>
        <v>393123848</v>
      </c>
      <c r="O76" s="30">
        <f t="shared" si="3"/>
        <v>1.535963687598296</v>
      </c>
      <c r="P76" s="30">
        <f t="shared" si="4"/>
        <v>1.535963687598296</v>
      </c>
      <c r="Q76" s="29">
        <f t="shared" si="12"/>
        <v>206.33998876000004</v>
      </c>
      <c r="R76" s="30">
        <f t="shared" si="5"/>
        <v>1.0660260358831499</v>
      </c>
      <c r="S76" s="30">
        <f t="shared" si="6"/>
        <v>1.0660260358831499</v>
      </c>
      <c r="T76" s="37">
        <f t="shared" si="7"/>
        <v>0.12999987600000029</v>
      </c>
      <c r="U76" s="30">
        <f t="shared" si="8"/>
        <v>1.2633612581209345E-2</v>
      </c>
      <c r="V76" s="38">
        <f t="shared" si="9"/>
        <v>6.7162576343246527E-4</v>
      </c>
      <c r="W76" s="9">
        <f t="shared" si="32"/>
        <v>221660448</v>
      </c>
      <c r="X76" s="12">
        <f t="shared" si="32"/>
        <v>155.42998510000001</v>
      </c>
      <c r="Y76" s="11">
        <f t="shared" si="32"/>
        <v>0.60999989500000007</v>
      </c>
      <c r="Z76" s="7"/>
      <c r="AA76" s="7"/>
      <c r="AB76" s="10"/>
    </row>
    <row r="77" spans="1:28" x14ac:dyDescent="0.25">
      <c r="A77" s="2">
        <v>73</v>
      </c>
      <c r="B77">
        <v>1</v>
      </c>
      <c r="C77">
        <v>3</v>
      </c>
      <c r="D77">
        <v>1</v>
      </c>
      <c r="E77">
        <v>2</v>
      </c>
      <c r="G77">
        <v>478129600</v>
      </c>
      <c r="H77">
        <v>266.38000490000002</v>
      </c>
      <c r="I77">
        <v>3.5599999430000002</v>
      </c>
      <c r="J77" s="9">
        <f t="shared" si="13"/>
        <v>309600</v>
      </c>
      <c r="L77" s="9">
        <f t="shared" si="34"/>
        <v>4.4799805000000106</v>
      </c>
      <c r="M77" s="9">
        <f t="shared" si="34"/>
        <v>0</v>
      </c>
      <c r="N77" s="29">
        <f t="shared" ref="N77:N140" si="35">ABS(G77-G70)</f>
        <v>393264568</v>
      </c>
      <c r="O77" s="30">
        <f t="shared" ref="O77:O140" si="36">(N77/ABS(G70))/3</f>
        <v>1.544666704813513</v>
      </c>
      <c r="P77" s="30">
        <f t="shared" ref="P77:P140" si="37">(N77/ABS(G70))/(IF(AND(D77=1,D70=0),(2400-600)/600,IF(AND(D77=2,D70=1),(6000-2400)/2400,IF(AND(D77=0,D70=2),ABS(600-6000)/6000,"Not Valid"))))</f>
        <v>1.544666704813513</v>
      </c>
      <c r="Q77" s="29">
        <f t="shared" ref="Q77:Q140" si="38">ABS(H77-H70)</f>
        <v>202.78000643000001</v>
      </c>
      <c r="R77" s="30">
        <f t="shared" ref="R77:R140" si="39">(Q77/ABS(H70))/3</f>
        <v>1.0627883192253584</v>
      </c>
      <c r="S77" s="30">
        <f t="shared" ref="S77:S140" si="40">(Q77/ABS(H70))/(IF(AND(D77=1,D70=0),(2400-600)/600,IF(AND(D77=2,D70=1),(6000-2400)/2400,IF(AND(D77=0,D70=2),ABS(600-6000)/6000,"Not Valid"))))</f>
        <v>1.0627883192253584</v>
      </c>
      <c r="T77" s="37">
        <f t="shared" ref="T77:T140" si="41">ABS(I77-I70)</f>
        <v>0.12999987600000029</v>
      </c>
      <c r="U77" s="30">
        <f t="shared" ref="U77:U140" si="42">(T77/ABS(I70))/3</f>
        <v>1.2633612581209345E-2</v>
      </c>
      <c r="V77" s="38">
        <f t="shared" ref="V77:V140" si="43">(T77/ABS(H70))/(IF(AND(D77=1,D70=0),(2400-600)/600,IF(AND(D77=2,D70=1),(6000-2400)/2400,IF(AND(D77=0,D70=2),ABS(600-6000)/6000,"Not Valid"))))</f>
        <v>6.8134108557314397E-4</v>
      </c>
      <c r="W77" s="9">
        <f t="shared" si="32"/>
        <v>223891856</v>
      </c>
      <c r="X77" s="12">
        <f t="shared" si="32"/>
        <v>153.15000150000003</v>
      </c>
      <c r="Y77" s="11">
        <f t="shared" si="32"/>
        <v>0.60999989500000007</v>
      </c>
      <c r="Z77" s="7"/>
      <c r="AA77" s="7"/>
      <c r="AB77" s="10"/>
    </row>
    <row r="78" spans="1:28" x14ac:dyDescent="0.25">
      <c r="A78" s="2">
        <v>74</v>
      </c>
      <c r="B78">
        <v>1</v>
      </c>
      <c r="C78">
        <v>3</v>
      </c>
      <c r="D78">
        <v>1</v>
      </c>
      <c r="E78">
        <v>3</v>
      </c>
      <c r="G78">
        <v>467870848</v>
      </c>
      <c r="H78">
        <v>270.98999020000002</v>
      </c>
      <c r="I78">
        <v>3.5599999430000002</v>
      </c>
      <c r="J78" s="9">
        <f t="shared" si="13"/>
        <v>10258752</v>
      </c>
      <c r="L78" s="9">
        <f t="shared" si="34"/>
        <v>4.6099853000000053</v>
      </c>
      <c r="M78" s="9">
        <f t="shared" si="34"/>
        <v>0</v>
      </c>
      <c r="N78" s="29">
        <f t="shared" si="35"/>
        <v>384186032</v>
      </c>
      <c r="O78" s="30">
        <f t="shared" si="36"/>
        <v>1.5302896844114071</v>
      </c>
      <c r="P78" s="30">
        <f t="shared" si="37"/>
        <v>1.5302896844114071</v>
      </c>
      <c r="Q78" s="29">
        <f t="shared" si="38"/>
        <v>206.28999325000001</v>
      </c>
      <c r="R78" s="30">
        <f t="shared" si="39"/>
        <v>1.0628026943567475</v>
      </c>
      <c r="S78" s="30">
        <f t="shared" si="40"/>
        <v>1.0628026943567475</v>
      </c>
      <c r="T78" s="37">
        <f t="shared" si="41"/>
        <v>0.12999987600000029</v>
      </c>
      <c r="U78" s="30">
        <f t="shared" si="42"/>
        <v>1.2633612581209345E-2</v>
      </c>
      <c r="V78" s="38">
        <f t="shared" si="43"/>
        <v>6.6975724950169566E-4</v>
      </c>
      <c r="W78" s="9">
        <f t="shared" si="32"/>
        <v>211407008</v>
      </c>
      <c r="X78" s="12">
        <f t="shared" si="32"/>
        <v>150.31999200000001</v>
      </c>
      <c r="Y78" s="11">
        <f t="shared" si="32"/>
        <v>0.60999989500000007</v>
      </c>
      <c r="Z78" s="7"/>
      <c r="AA78" s="7"/>
      <c r="AB78" s="10"/>
    </row>
    <row r="79" spans="1:28" x14ac:dyDescent="0.25">
      <c r="A79" s="2">
        <v>75</v>
      </c>
      <c r="B79">
        <v>1</v>
      </c>
      <c r="C79">
        <v>3</v>
      </c>
      <c r="D79">
        <v>1</v>
      </c>
      <c r="E79">
        <v>4</v>
      </c>
      <c r="G79">
        <v>431582720</v>
      </c>
      <c r="H79">
        <v>261.5499878</v>
      </c>
      <c r="I79">
        <v>3.5599999430000002</v>
      </c>
      <c r="J79" s="9">
        <f t="shared" si="13"/>
        <v>36288128</v>
      </c>
      <c r="L79" s="9">
        <f t="shared" si="34"/>
        <v>9.4400024000000258</v>
      </c>
      <c r="M79" s="9">
        <f t="shared" si="34"/>
        <v>0</v>
      </c>
      <c r="N79" s="29">
        <f t="shared" si="35"/>
        <v>354762968</v>
      </c>
      <c r="O79" s="30">
        <f t="shared" si="36"/>
        <v>1.5393739186591837</v>
      </c>
      <c r="P79" s="30">
        <f t="shared" si="37"/>
        <v>1.5393739186591837</v>
      </c>
      <c r="Q79" s="29">
        <f t="shared" si="38"/>
        <v>199.06998826</v>
      </c>
      <c r="R79" s="30">
        <f t="shared" si="39"/>
        <v>1.0620464667393519</v>
      </c>
      <c r="S79" s="30">
        <f t="shared" si="40"/>
        <v>1.0620464667393519</v>
      </c>
      <c r="T79" s="37">
        <f t="shared" si="41"/>
        <v>0.12999987600000029</v>
      </c>
      <c r="U79" s="30">
        <f t="shared" si="42"/>
        <v>1.2633612581209345E-2</v>
      </c>
      <c r="V79" s="38">
        <f t="shared" si="43"/>
        <v>6.9355461458122953E-4</v>
      </c>
      <c r="W79" s="9">
        <f t="shared" si="32"/>
        <v>191270576</v>
      </c>
      <c r="X79" s="12">
        <f t="shared" si="32"/>
        <v>144.82998659999998</v>
      </c>
      <c r="Y79" s="11">
        <f t="shared" si="32"/>
        <v>0.60999989500000007</v>
      </c>
      <c r="Z79" s="7"/>
      <c r="AA79" s="7"/>
      <c r="AB79" s="10"/>
    </row>
    <row r="80" spans="1:28" x14ac:dyDescent="0.25">
      <c r="A80" s="2">
        <v>76</v>
      </c>
      <c r="B80">
        <v>1</v>
      </c>
      <c r="C80">
        <v>3</v>
      </c>
      <c r="D80">
        <v>1</v>
      </c>
      <c r="E80">
        <v>5</v>
      </c>
      <c r="G80">
        <v>398640896</v>
      </c>
      <c r="H80">
        <v>237.2599945</v>
      </c>
      <c r="I80">
        <v>3.5599999430000002</v>
      </c>
      <c r="J80" s="9">
        <f t="shared" si="13"/>
        <v>32941824</v>
      </c>
      <c r="L80" s="9">
        <f t="shared" si="34"/>
        <v>24.289993299999992</v>
      </c>
      <c r="M80" s="9">
        <f t="shared" si="34"/>
        <v>0</v>
      </c>
      <c r="N80" s="29">
        <f t="shared" si="35"/>
        <v>329167432</v>
      </c>
      <c r="O80" s="30">
        <f t="shared" si="36"/>
        <v>1.5793436949298127</v>
      </c>
      <c r="P80" s="30">
        <f t="shared" si="37"/>
        <v>1.5793436949298127</v>
      </c>
      <c r="Q80" s="29">
        <f t="shared" si="38"/>
        <v>179.51999282</v>
      </c>
      <c r="R80" s="30">
        <f t="shared" si="39"/>
        <v>1.0363698625833961</v>
      </c>
      <c r="S80" s="30">
        <f t="shared" si="40"/>
        <v>1.0363698625833961</v>
      </c>
      <c r="T80" s="37">
        <f t="shared" si="41"/>
        <v>0.12999987600000029</v>
      </c>
      <c r="U80" s="30">
        <f t="shared" si="42"/>
        <v>1.2633612581209345E-2</v>
      </c>
      <c r="V80" s="38">
        <f t="shared" si="43"/>
        <v>7.5048996777237528E-4</v>
      </c>
      <c r="W80" s="9">
        <f t="shared" si="32"/>
        <v>176527104</v>
      </c>
      <c r="X80" s="12">
        <f t="shared" si="32"/>
        <v>124.3099976</v>
      </c>
      <c r="Y80" s="11">
        <f t="shared" si="32"/>
        <v>0.60999989500000007</v>
      </c>
      <c r="Z80" s="7"/>
      <c r="AA80" s="7"/>
      <c r="AB80" s="10"/>
    </row>
    <row r="81" spans="1:28" x14ac:dyDescent="0.25">
      <c r="A81" s="2">
        <v>77</v>
      </c>
      <c r="B81">
        <v>1</v>
      </c>
      <c r="C81">
        <v>3</v>
      </c>
      <c r="D81">
        <v>1</v>
      </c>
      <c r="E81">
        <v>6</v>
      </c>
      <c r="G81">
        <v>326270080</v>
      </c>
      <c r="H81">
        <v>205.3099976</v>
      </c>
      <c r="I81">
        <v>3.5599999430000002</v>
      </c>
      <c r="J81" s="9">
        <f t="shared" si="13"/>
        <v>72370816</v>
      </c>
      <c r="L81" s="9">
        <f t="shared" si="34"/>
        <v>31.949996900000002</v>
      </c>
      <c r="M81" s="9">
        <f t="shared" si="34"/>
        <v>0</v>
      </c>
      <c r="N81" s="29">
        <f t="shared" si="35"/>
        <v>271445268</v>
      </c>
      <c r="O81" s="30">
        <f t="shared" si="36"/>
        <v>1.6503796857525019</v>
      </c>
      <c r="P81" s="30">
        <f t="shared" si="37"/>
        <v>1.6503796857525019</v>
      </c>
      <c r="Q81" s="29">
        <f t="shared" si="38"/>
        <v>154.68999866999999</v>
      </c>
      <c r="R81" s="30">
        <f t="shared" si="39"/>
        <v>1.0186355981813529</v>
      </c>
      <c r="S81" s="30">
        <f t="shared" si="40"/>
        <v>1.0186355981813529</v>
      </c>
      <c r="T81" s="37">
        <f t="shared" si="41"/>
        <v>0.12999987600000029</v>
      </c>
      <c r="U81" s="30">
        <f t="shared" si="42"/>
        <v>1.2633612581209345E-2</v>
      </c>
      <c r="V81" s="38">
        <f t="shared" si="43"/>
        <v>8.5605082805164919E-4</v>
      </c>
      <c r="W81" s="9">
        <f t="shared" si="32"/>
        <v>141391824</v>
      </c>
      <c r="X81" s="12">
        <f t="shared" si="32"/>
        <v>104.199997</v>
      </c>
      <c r="Y81" s="11">
        <f t="shared" si="32"/>
        <v>0.60999989500000007</v>
      </c>
      <c r="Z81" s="7"/>
      <c r="AA81" s="7"/>
      <c r="AB81" s="10"/>
    </row>
    <row r="82" spans="1:28" x14ac:dyDescent="0.25">
      <c r="A82" s="2">
        <v>78</v>
      </c>
      <c r="B82">
        <v>1</v>
      </c>
      <c r="C82">
        <v>3</v>
      </c>
      <c r="D82">
        <v>2</v>
      </c>
      <c r="E82">
        <v>0</v>
      </c>
      <c r="G82">
        <v>1459862912</v>
      </c>
      <c r="H82">
        <v>-9999.9902340000008</v>
      </c>
      <c r="I82">
        <v>3.8099999430000002</v>
      </c>
      <c r="N82" s="29">
        <f t="shared" si="35"/>
        <v>981145216</v>
      </c>
      <c r="O82" s="30">
        <f t="shared" si="36"/>
        <v>0.68317592615864642</v>
      </c>
      <c r="P82" s="30">
        <f t="shared" si="37"/>
        <v>1.3663518523172928</v>
      </c>
      <c r="Q82" s="29">
        <f t="shared" si="38"/>
        <v>10265.360229100001</v>
      </c>
      <c r="R82" s="30">
        <f t="shared" si="39"/>
        <v>12.894399541078085</v>
      </c>
      <c r="S82" s="30">
        <f t="shared" si="40"/>
        <v>25.788799082156171</v>
      </c>
      <c r="T82" s="37">
        <f t="shared" si="41"/>
        <v>0.25</v>
      </c>
      <c r="U82" s="30">
        <f t="shared" si="42"/>
        <v>2.3408240075169385E-2</v>
      </c>
      <c r="V82" s="38">
        <f t="shared" si="43"/>
        <v>6.2805392374469949E-4</v>
      </c>
      <c r="W82" s="9">
        <f t="shared" si="32"/>
        <v>490061760</v>
      </c>
      <c r="X82" s="12">
        <f t="shared" si="32"/>
        <v>10299.740234000001</v>
      </c>
      <c r="Y82" s="11">
        <f t="shared" si="32"/>
        <v>0.73000001900000022</v>
      </c>
      <c r="Z82" s="7"/>
      <c r="AA82" s="7"/>
      <c r="AB82" s="10"/>
    </row>
    <row r="83" spans="1:28" x14ac:dyDescent="0.25">
      <c r="A83" s="2">
        <v>79</v>
      </c>
      <c r="B83">
        <v>1</v>
      </c>
      <c r="C83">
        <v>3</v>
      </c>
      <c r="D83">
        <v>2</v>
      </c>
      <c r="E83">
        <v>1</v>
      </c>
      <c r="G83">
        <v>1453180160</v>
      </c>
      <c r="H83">
        <v>-9999.9902340000008</v>
      </c>
      <c r="I83">
        <v>3.8099999430000002</v>
      </c>
      <c r="J83" s="9">
        <f t="shared" ref="J83" si="44">ABS(G83-G82)</f>
        <v>6682752</v>
      </c>
      <c r="L83" s="9">
        <f t="shared" ref="L83:M88" si="45">ABS(H83-H82)</f>
        <v>0</v>
      </c>
      <c r="M83" s="9">
        <f t="shared" si="45"/>
        <v>0</v>
      </c>
      <c r="N83" s="29">
        <f t="shared" si="35"/>
        <v>974740960</v>
      </c>
      <c r="O83" s="30">
        <f t="shared" si="36"/>
        <v>0.67911168928744414</v>
      </c>
      <c r="P83" s="30">
        <f t="shared" si="37"/>
        <v>1.3582233785748883</v>
      </c>
      <c r="Q83" s="29">
        <f t="shared" si="38"/>
        <v>10270.850219400001</v>
      </c>
      <c r="R83" s="30">
        <f t="shared" si="39"/>
        <v>12.639802570852536</v>
      </c>
      <c r="S83" s="30">
        <f t="shared" si="40"/>
        <v>25.279605141705073</v>
      </c>
      <c r="T83" s="37">
        <f t="shared" si="41"/>
        <v>0.25</v>
      </c>
      <c r="U83" s="30">
        <f t="shared" si="42"/>
        <v>2.3408240075169385E-2</v>
      </c>
      <c r="V83" s="38">
        <f t="shared" si="43"/>
        <v>6.1532406280143971E-4</v>
      </c>
      <c r="W83" s="9">
        <f t="shared" si="32"/>
        <v>478636736</v>
      </c>
      <c r="X83" s="12">
        <f t="shared" si="32"/>
        <v>10314.060241300002</v>
      </c>
      <c r="Y83" s="11">
        <f t="shared" si="32"/>
        <v>0.73000001900000022</v>
      </c>
      <c r="Z83" s="7"/>
      <c r="AA83" s="7"/>
      <c r="AB83" s="10"/>
    </row>
    <row r="84" spans="1:28" x14ac:dyDescent="0.25">
      <c r="A84" s="2">
        <v>80</v>
      </c>
      <c r="B84">
        <v>1</v>
      </c>
      <c r="C84">
        <v>3</v>
      </c>
      <c r="D84">
        <v>2</v>
      </c>
      <c r="E84">
        <v>2</v>
      </c>
      <c r="G84">
        <v>1456826496</v>
      </c>
      <c r="H84">
        <v>-9999.9902340000008</v>
      </c>
      <c r="I84">
        <v>3.8099999430000002</v>
      </c>
      <c r="J84" s="9">
        <f t="shared" si="16"/>
        <v>3646336</v>
      </c>
      <c r="L84" s="9">
        <f t="shared" si="45"/>
        <v>0</v>
      </c>
      <c r="M84" s="9">
        <f t="shared" si="45"/>
        <v>0</v>
      </c>
      <c r="N84" s="29">
        <f t="shared" si="35"/>
        <v>978696896</v>
      </c>
      <c r="O84" s="30">
        <f t="shared" si="36"/>
        <v>0.68230935433963236</v>
      </c>
      <c r="P84" s="30">
        <f t="shared" si="37"/>
        <v>1.3646187086792647</v>
      </c>
      <c r="Q84" s="29">
        <f t="shared" si="38"/>
        <v>10266.370238900001</v>
      </c>
      <c r="R84" s="30">
        <f t="shared" si="39"/>
        <v>12.846772843372174</v>
      </c>
      <c r="S84" s="30">
        <f t="shared" si="40"/>
        <v>25.693545686744347</v>
      </c>
      <c r="T84" s="37">
        <f t="shared" si="41"/>
        <v>0.25</v>
      </c>
      <c r="U84" s="30">
        <f t="shared" si="42"/>
        <v>2.3408240075169385E-2</v>
      </c>
      <c r="V84" s="38">
        <f t="shared" si="43"/>
        <v>6.2567258653379004E-4</v>
      </c>
      <c r="W84" s="9">
        <f t="shared" si="32"/>
        <v>485573632</v>
      </c>
      <c r="X84" s="12">
        <f t="shared" si="32"/>
        <v>10307.160247400001</v>
      </c>
      <c r="Y84" s="11">
        <f t="shared" si="32"/>
        <v>0.73000001900000022</v>
      </c>
      <c r="Z84" s="7"/>
      <c r="AA84" s="7"/>
      <c r="AB84" s="10"/>
    </row>
    <row r="85" spans="1:28" x14ac:dyDescent="0.25">
      <c r="A85" s="2">
        <v>81</v>
      </c>
      <c r="B85">
        <v>1</v>
      </c>
      <c r="C85">
        <v>3</v>
      </c>
      <c r="D85">
        <v>2</v>
      </c>
      <c r="E85">
        <v>3</v>
      </c>
      <c r="G85">
        <v>1415423872</v>
      </c>
      <c r="H85">
        <v>-9999.9902340000008</v>
      </c>
      <c r="I85">
        <v>3.8099999430000002</v>
      </c>
      <c r="J85" s="9">
        <f t="shared" si="16"/>
        <v>41402624</v>
      </c>
      <c r="L85" s="9">
        <f t="shared" si="45"/>
        <v>0</v>
      </c>
      <c r="M85" s="9">
        <f t="shared" si="45"/>
        <v>0</v>
      </c>
      <c r="N85" s="29">
        <f t="shared" si="35"/>
        <v>947553024</v>
      </c>
      <c r="O85" s="30">
        <f t="shared" si="36"/>
        <v>0.67508161568553204</v>
      </c>
      <c r="P85" s="30">
        <f t="shared" si="37"/>
        <v>1.3501632313710641</v>
      </c>
      <c r="Q85" s="29">
        <f t="shared" si="38"/>
        <v>10270.980224200001</v>
      </c>
      <c r="R85" s="30">
        <f t="shared" si="39"/>
        <v>12.633898662480313</v>
      </c>
      <c r="S85" s="30">
        <f t="shared" si="40"/>
        <v>25.267797324960625</v>
      </c>
      <c r="T85" s="37">
        <f t="shared" si="41"/>
        <v>0.25</v>
      </c>
      <c r="U85" s="30">
        <f t="shared" si="42"/>
        <v>2.3408240075169385E-2</v>
      </c>
      <c r="V85" s="38">
        <f t="shared" si="43"/>
        <v>6.1502886709454059E-4</v>
      </c>
      <c r="W85" s="9">
        <f t="shared" si="32"/>
        <v>455243776</v>
      </c>
      <c r="X85" s="12">
        <f t="shared" si="32"/>
        <v>10328.900237700002</v>
      </c>
      <c r="Y85" s="11">
        <f t="shared" si="32"/>
        <v>0.73000001900000022</v>
      </c>
      <c r="Z85" s="7"/>
      <c r="AA85" s="7"/>
      <c r="AB85" s="10"/>
    </row>
    <row r="86" spans="1:28" x14ac:dyDescent="0.25">
      <c r="A86" s="2">
        <v>82</v>
      </c>
      <c r="B86">
        <v>1</v>
      </c>
      <c r="C86">
        <v>3</v>
      </c>
      <c r="D86">
        <v>2</v>
      </c>
      <c r="E86">
        <v>4</v>
      </c>
      <c r="G86">
        <v>1297793408</v>
      </c>
      <c r="H86">
        <v>866.73999019999997</v>
      </c>
      <c r="I86">
        <v>3.8099999430000002</v>
      </c>
      <c r="J86" s="9">
        <f t="shared" si="16"/>
        <v>117630464</v>
      </c>
      <c r="L86" s="9">
        <f t="shared" si="45"/>
        <v>10866.730224200001</v>
      </c>
      <c r="M86" s="9">
        <f t="shared" si="45"/>
        <v>0</v>
      </c>
      <c r="N86" s="29">
        <f t="shared" si="35"/>
        <v>866210688</v>
      </c>
      <c r="O86" s="30">
        <f t="shared" si="36"/>
        <v>0.66901866691975054</v>
      </c>
      <c r="P86" s="30">
        <f t="shared" si="37"/>
        <v>1.3380373338395011</v>
      </c>
      <c r="Q86" s="29">
        <f t="shared" si="38"/>
        <v>605.19000239999991</v>
      </c>
      <c r="R86" s="30">
        <f t="shared" si="39"/>
        <v>0.77128659992237247</v>
      </c>
      <c r="S86" s="30">
        <f t="shared" si="40"/>
        <v>1.5425731998447449</v>
      </c>
      <c r="T86" s="37">
        <f t="shared" si="41"/>
        <v>0.25</v>
      </c>
      <c r="U86" s="30">
        <f t="shared" si="42"/>
        <v>2.3408240075169385E-2</v>
      </c>
      <c r="V86" s="38">
        <f t="shared" si="43"/>
        <v>6.3722681873765576E-4</v>
      </c>
      <c r="W86" s="9">
        <f t="shared" si="32"/>
        <v>406433280</v>
      </c>
      <c r="X86" s="12">
        <f t="shared" si="32"/>
        <v>548.06997679999995</v>
      </c>
      <c r="Y86" s="11">
        <f t="shared" si="32"/>
        <v>0.73000001900000022</v>
      </c>
      <c r="Z86" s="7"/>
      <c r="AA86" s="7"/>
      <c r="AB86" s="10"/>
    </row>
    <row r="87" spans="1:28" x14ac:dyDescent="0.25">
      <c r="A87" s="2">
        <v>83</v>
      </c>
      <c r="B87">
        <v>1</v>
      </c>
      <c r="C87">
        <v>3</v>
      </c>
      <c r="D87">
        <v>2</v>
      </c>
      <c r="E87">
        <v>5</v>
      </c>
      <c r="G87">
        <v>1208952960</v>
      </c>
      <c r="H87">
        <v>785.13000490000002</v>
      </c>
      <c r="I87">
        <v>3.8099999430000002</v>
      </c>
      <c r="J87" s="9">
        <f t="shared" si="16"/>
        <v>88840448</v>
      </c>
      <c r="L87" s="9">
        <f t="shared" si="45"/>
        <v>81.609985299999948</v>
      </c>
      <c r="M87" s="9">
        <f t="shared" si="45"/>
        <v>0</v>
      </c>
      <c r="N87" s="29">
        <f t="shared" si="35"/>
        <v>810312064</v>
      </c>
      <c r="O87" s="30">
        <f t="shared" si="36"/>
        <v>0.67756224723449687</v>
      </c>
      <c r="P87" s="30">
        <f t="shared" si="37"/>
        <v>1.3551244944689937</v>
      </c>
      <c r="Q87" s="29">
        <f t="shared" si="38"/>
        <v>547.87001039999996</v>
      </c>
      <c r="R87" s="30">
        <f t="shared" si="39"/>
        <v>0.7697182037994188</v>
      </c>
      <c r="S87" s="30">
        <f t="shared" si="40"/>
        <v>1.5394364075988376</v>
      </c>
      <c r="T87" s="37">
        <f t="shared" si="41"/>
        <v>0.25</v>
      </c>
      <c r="U87" s="30">
        <f t="shared" si="42"/>
        <v>2.3408240075169385E-2</v>
      </c>
      <c r="V87" s="38">
        <f t="shared" si="43"/>
        <v>7.0246426085400027E-4</v>
      </c>
      <c r="W87" s="9">
        <f t="shared" si="32"/>
        <v>380860928</v>
      </c>
      <c r="X87" s="12">
        <f t="shared" si="32"/>
        <v>478.82000730000004</v>
      </c>
      <c r="Y87" s="11">
        <f t="shared" si="32"/>
        <v>0.73000001900000022</v>
      </c>
      <c r="Z87" s="7"/>
      <c r="AA87" s="7"/>
      <c r="AB87" s="10"/>
    </row>
    <row r="88" spans="1:28" x14ac:dyDescent="0.25">
      <c r="A88" s="2">
        <v>84</v>
      </c>
      <c r="B88">
        <v>1</v>
      </c>
      <c r="C88">
        <v>3</v>
      </c>
      <c r="D88">
        <v>2</v>
      </c>
      <c r="E88">
        <v>6</v>
      </c>
      <c r="G88">
        <v>989670016</v>
      </c>
      <c r="H88">
        <v>658.92999269999996</v>
      </c>
      <c r="I88">
        <v>3.8099999430000002</v>
      </c>
      <c r="J88" s="9">
        <f t="shared" si="16"/>
        <v>219282944</v>
      </c>
      <c r="L88" s="9">
        <f t="shared" si="45"/>
        <v>126.20001220000006</v>
      </c>
      <c r="M88" s="9">
        <f t="shared" si="45"/>
        <v>0</v>
      </c>
      <c r="N88" s="29">
        <f t="shared" si="35"/>
        <v>663399936</v>
      </c>
      <c r="O88" s="30">
        <f t="shared" si="36"/>
        <v>0.67776154037783665</v>
      </c>
      <c r="P88" s="30">
        <f t="shared" si="37"/>
        <v>1.3555230807556733</v>
      </c>
      <c r="Q88" s="29">
        <f t="shared" si="38"/>
        <v>453.61999509999998</v>
      </c>
      <c r="R88" s="30">
        <f t="shared" si="39"/>
        <v>0.73647979543560871</v>
      </c>
      <c r="S88" s="30">
        <f t="shared" si="40"/>
        <v>1.4729595908712174</v>
      </c>
      <c r="T88" s="37">
        <f t="shared" si="41"/>
        <v>0.25</v>
      </c>
      <c r="U88" s="30">
        <f t="shared" si="42"/>
        <v>2.3408240075169385E-2</v>
      </c>
      <c r="V88" s="38">
        <f t="shared" si="43"/>
        <v>8.1178056896858428E-4</v>
      </c>
      <c r="W88" s="9">
        <f t="shared" si="32"/>
        <v>301423680</v>
      </c>
      <c r="X88" s="12">
        <f t="shared" si="32"/>
        <v>385.66998289999998</v>
      </c>
      <c r="Y88" s="11">
        <f t="shared" si="32"/>
        <v>0.73000001900000022</v>
      </c>
      <c r="Z88" s="7"/>
      <c r="AA88" s="7"/>
      <c r="AB88" s="10"/>
    </row>
    <row r="89" spans="1:28" x14ac:dyDescent="0.25">
      <c r="A89" s="2">
        <v>85</v>
      </c>
      <c r="B89">
        <v>1</v>
      </c>
      <c r="C89">
        <v>4</v>
      </c>
      <c r="D89">
        <v>0</v>
      </c>
      <c r="E89">
        <v>0</v>
      </c>
      <c r="G89">
        <v>121515576</v>
      </c>
      <c r="H89">
        <v>102.1299973</v>
      </c>
      <c r="I89">
        <v>3.960000038</v>
      </c>
      <c r="N89" s="29">
        <f t="shared" si="35"/>
        <v>1338347336</v>
      </c>
      <c r="O89" s="30">
        <f t="shared" si="36"/>
        <v>0.3055874459167483</v>
      </c>
      <c r="P89" s="30">
        <f t="shared" si="37"/>
        <v>1.0186248197224943</v>
      </c>
      <c r="Q89" s="29">
        <f t="shared" si="38"/>
        <v>10102.120231300001</v>
      </c>
      <c r="R89" s="30">
        <f t="shared" si="39"/>
        <v>0.3367376699013418</v>
      </c>
      <c r="S89" s="30">
        <f t="shared" si="40"/>
        <v>1.1224588996711393</v>
      </c>
      <c r="T89" s="37">
        <f t="shared" si="41"/>
        <v>0.15000009499999978</v>
      </c>
      <c r="U89" s="30">
        <f t="shared" si="42"/>
        <v>1.3123368087847394E-2</v>
      </c>
      <c r="V89" s="38">
        <f t="shared" si="43"/>
        <v>1.6666693498915066E-5</v>
      </c>
      <c r="W89" s="9">
        <f t="shared" si="32"/>
        <v>36662440</v>
      </c>
      <c r="X89" s="12">
        <f t="shared" si="32"/>
        <v>38.809997609999996</v>
      </c>
      <c r="Y89" s="11">
        <f t="shared" si="32"/>
        <v>0.52999997100000007</v>
      </c>
      <c r="Z89" s="7"/>
      <c r="AA89" s="7"/>
      <c r="AB89" s="10"/>
    </row>
    <row r="90" spans="1:28" x14ac:dyDescent="0.25">
      <c r="A90" s="2">
        <v>86</v>
      </c>
      <c r="B90">
        <v>1</v>
      </c>
      <c r="C90">
        <v>4</v>
      </c>
      <c r="D90">
        <v>0</v>
      </c>
      <c r="E90">
        <v>1</v>
      </c>
      <c r="G90">
        <v>121055160</v>
      </c>
      <c r="H90">
        <v>102.63999939999999</v>
      </c>
      <c r="I90">
        <v>3.960000038</v>
      </c>
      <c r="J90" s="9">
        <f t="shared" ref="J90:J151" si="46">ABS(G90-G89)</f>
        <v>460416</v>
      </c>
      <c r="L90" s="9">
        <f t="shared" ref="L90:M95" si="47">ABS(H90-H89)</f>
        <v>0.51000209999999413</v>
      </c>
      <c r="M90" s="9">
        <f t="shared" si="47"/>
        <v>0</v>
      </c>
      <c r="N90" s="29">
        <f t="shared" si="35"/>
        <v>1332125000</v>
      </c>
      <c r="O90" s="30">
        <f t="shared" si="36"/>
        <v>0.30556546179839578</v>
      </c>
      <c r="P90" s="30">
        <f t="shared" si="37"/>
        <v>1.018551539327986</v>
      </c>
      <c r="Q90" s="29">
        <f t="shared" si="38"/>
        <v>10102.630233400001</v>
      </c>
      <c r="R90" s="30">
        <f t="shared" si="39"/>
        <v>0.33675466998794407</v>
      </c>
      <c r="S90" s="30">
        <f t="shared" si="40"/>
        <v>1.1225155666264803</v>
      </c>
      <c r="T90" s="37">
        <f t="shared" si="41"/>
        <v>0.15000009499999978</v>
      </c>
      <c r="U90" s="30">
        <f t="shared" si="42"/>
        <v>1.3123368087847394E-2</v>
      </c>
      <c r="V90" s="38">
        <f t="shared" si="43"/>
        <v>1.6666693498915066E-5</v>
      </c>
      <c r="W90" s="9">
        <f t="shared" ref="W90:Y105" si="48">ABS(G90-G69)</f>
        <v>35739808</v>
      </c>
      <c r="X90" s="12">
        <f t="shared" si="48"/>
        <v>38.120002759999991</v>
      </c>
      <c r="Y90" s="11">
        <f t="shared" si="48"/>
        <v>0.52999997100000007</v>
      </c>
      <c r="Z90" s="7"/>
      <c r="AA90" s="7"/>
      <c r="AB90" s="10"/>
    </row>
    <row r="91" spans="1:28" x14ac:dyDescent="0.25">
      <c r="A91" s="2">
        <v>87</v>
      </c>
      <c r="B91">
        <v>1</v>
      </c>
      <c r="C91">
        <v>4</v>
      </c>
      <c r="D91">
        <v>0</v>
      </c>
      <c r="E91">
        <v>2</v>
      </c>
      <c r="G91">
        <v>121257616</v>
      </c>
      <c r="H91">
        <v>102.0899963</v>
      </c>
      <c r="I91">
        <v>3.960000038</v>
      </c>
      <c r="J91" s="9">
        <f t="shared" si="46"/>
        <v>202456</v>
      </c>
      <c r="L91" s="9">
        <f t="shared" si="47"/>
        <v>0.55000309999999786</v>
      </c>
      <c r="M91" s="9">
        <f t="shared" si="47"/>
        <v>0</v>
      </c>
      <c r="N91" s="29">
        <f t="shared" si="35"/>
        <v>1335568880</v>
      </c>
      <c r="O91" s="30">
        <f t="shared" si="36"/>
        <v>0.30558863933970259</v>
      </c>
      <c r="P91" s="30">
        <f t="shared" si="37"/>
        <v>1.0186287977990087</v>
      </c>
      <c r="Q91" s="29">
        <f t="shared" si="38"/>
        <v>10102.0802303</v>
      </c>
      <c r="R91" s="30">
        <f t="shared" si="39"/>
        <v>0.33673633653337287</v>
      </c>
      <c r="S91" s="30">
        <f t="shared" si="40"/>
        <v>1.122454455111243</v>
      </c>
      <c r="T91" s="37">
        <f t="shared" si="41"/>
        <v>0.15000009499999978</v>
      </c>
      <c r="U91" s="30">
        <f t="shared" si="42"/>
        <v>1.3123368087847394E-2</v>
      </c>
      <c r="V91" s="38">
        <f t="shared" si="43"/>
        <v>1.6666693498915066E-5</v>
      </c>
      <c r="W91" s="9">
        <f t="shared" si="48"/>
        <v>36392584</v>
      </c>
      <c r="X91" s="12">
        <f t="shared" si="48"/>
        <v>38.489997829999993</v>
      </c>
      <c r="Y91" s="11">
        <f t="shared" si="48"/>
        <v>0.52999997100000007</v>
      </c>
      <c r="Z91" s="7"/>
      <c r="AA91" s="7"/>
      <c r="AB91" s="10"/>
    </row>
    <row r="92" spans="1:28" x14ac:dyDescent="0.25">
      <c r="A92" s="2">
        <v>88</v>
      </c>
      <c r="B92">
        <v>1</v>
      </c>
      <c r="C92">
        <v>4</v>
      </c>
      <c r="D92">
        <v>0</v>
      </c>
      <c r="E92">
        <v>3</v>
      </c>
      <c r="G92">
        <v>117745488</v>
      </c>
      <c r="H92">
        <v>101.26000209999999</v>
      </c>
      <c r="I92">
        <v>3.960000038</v>
      </c>
      <c r="J92" s="9">
        <f t="shared" si="46"/>
        <v>3512128</v>
      </c>
      <c r="L92" s="9">
        <f t="shared" si="47"/>
        <v>0.82999420000000157</v>
      </c>
      <c r="M92" s="9">
        <f t="shared" si="47"/>
        <v>0</v>
      </c>
      <c r="N92" s="29">
        <f t="shared" si="35"/>
        <v>1297678384</v>
      </c>
      <c r="O92" s="30">
        <f t="shared" si="36"/>
        <v>0.30560418676712364</v>
      </c>
      <c r="P92" s="30">
        <f t="shared" si="37"/>
        <v>1.0186806225570788</v>
      </c>
      <c r="Q92" s="29">
        <f t="shared" si="38"/>
        <v>10101.250236100001</v>
      </c>
      <c r="R92" s="30">
        <f t="shared" si="39"/>
        <v>0.33670867003302046</v>
      </c>
      <c r="S92" s="30">
        <f t="shared" si="40"/>
        <v>1.1223622334434016</v>
      </c>
      <c r="T92" s="37">
        <f t="shared" si="41"/>
        <v>0.15000009499999978</v>
      </c>
      <c r="U92" s="30">
        <f t="shared" si="42"/>
        <v>1.3123368087847394E-2</v>
      </c>
      <c r="V92" s="38">
        <f t="shared" si="43"/>
        <v>1.6666693498915066E-5</v>
      </c>
      <c r="W92" s="9">
        <f t="shared" si="48"/>
        <v>34060672</v>
      </c>
      <c r="X92" s="12">
        <f t="shared" si="48"/>
        <v>36.560005149999995</v>
      </c>
      <c r="Y92" s="11">
        <f t="shared" si="48"/>
        <v>0.52999997100000007</v>
      </c>
      <c r="Z92" s="7"/>
      <c r="AA92" s="7"/>
      <c r="AB92" s="10"/>
    </row>
    <row r="93" spans="1:28" x14ac:dyDescent="0.25">
      <c r="A93" s="2">
        <v>89</v>
      </c>
      <c r="B93">
        <v>1</v>
      </c>
      <c r="C93">
        <v>4</v>
      </c>
      <c r="D93">
        <v>0</v>
      </c>
      <c r="E93">
        <v>4</v>
      </c>
      <c r="G93">
        <v>106896328</v>
      </c>
      <c r="H93">
        <v>95.800003050000001</v>
      </c>
      <c r="I93">
        <v>3.960000038</v>
      </c>
      <c r="J93" s="9">
        <f t="shared" si="46"/>
        <v>10849160</v>
      </c>
      <c r="L93" s="9">
        <f t="shared" si="47"/>
        <v>5.4599990499999933</v>
      </c>
      <c r="M93" s="9">
        <f t="shared" si="47"/>
        <v>0</v>
      </c>
      <c r="N93" s="29">
        <f t="shared" si="35"/>
        <v>1190897080</v>
      </c>
      <c r="O93" s="30">
        <f t="shared" si="36"/>
        <v>0.30587741537775887</v>
      </c>
      <c r="P93" s="30">
        <f t="shared" si="37"/>
        <v>1.0195913845925295</v>
      </c>
      <c r="Q93" s="29">
        <f t="shared" si="38"/>
        <v>770.93998714999998</v>
      </c>
      <c r="R93" s="30">
        <f t="shared" si="39"/>
        <v>0.29649029538531918</v>
      </c>
      <c r="S93" s="30">
        <f t="shared" si="40"/>
        <v>0.98830098461773064</v>
      </c>
      <c r="T93" s="37">
        <f t="shared" si="41"/>
        <v>0.15000009499999978</v>
      </c>
      <c r="U93" s="30">
        <f t="shared" si="42"/>
        <v>1.3123368087847394E-2</v>
      </c>
      <c r="V93" s="38">
        <f t="shared" si="43"/>
        <v>1.9229154545386061E-4</v>
      </c>
      <c r="W93" s="9">
        <f t="shared" si="48"/>
        <v>30076576</v>
      </c>
      <c r="X93" s="12">
        <f t="shared" si="48"/>
        <v>33.320003509999999</v>
      </c>
      <c r="Y93" s="11">
        <f t="shared" si="48"/>
        <v>0.52999997100000007</v>
      </c>
      <c r="Z93" s="7"/>
      <c r="AA93" s="7"/>
      <c r="AB93" s="10"/>
    </row>
    <row r="94" spans="1:28" x14ac:dyDescent="0.25">
      <c r="A94" s="2">
        <v>90</v>
      </c>
      <c r="B94">
        <v>1</v>
      </c>
      <c r="C94">
        <v>4</v>
      </c>
      <c r="D94">
        <v>0</v>
      </c>
      <c r="E94">
        <v>5</v>
      </c>
      <c r="G94">
        <v>98191088</v>
      </c>
      <c r="H94">
        <v>88.33000183</v>
      </c>
      <c r="I94">
        <v>3.960000038</v>
      </c>
      <c r="J94" s="9">
        <f t="shared" si="46"/>
        <v>8705240</v>
      </c>
      <c r="L94" s="9">
        <f t="shared" si="47"/>
        <v>7.4700012200000003</v>
      </c>
      <c r="M94" s="9">
        <f t="shared" si="47"/>
        <v>0</v>
      </c>
      <c r="N94" s="29">
        <f t="shared" si="35"/>
        <v>1110761872</v>
      </c>
      <c r="O94" s="30">
        <f t="shared" si="36"/>
        <v>0.30626001968954469</v>
      </c>
      <c r="P94" s="30">
        <f t="shared" si="37"/>
        <v>1.0208667322984821</v>
      </c>
      <c r="Q94" s="29">
        <f t="shared" si="38"/>
        <v>696.80000307</v>
      </c>
      <c r="R94" s="30">
        <f t="shared" si="39"/>
        <v>0.29583211218578154</v>
      </c>
      <c r="S94" s="30">
        <f t="shared" si="40"/>
        <v>0.98610704061927179</v>
      </c>
      <c r="T94" s="37">
        <f t="shared" si="41"/>
        <v>0.15000009499999978</v>
      </c>
      <c r="U94" s="30">
        <f t="shared" si="42"/>
        <v>1.3123368087847394E-2</v>
      </c>
      <c r="V94" s="38">
        <f t="shared" si="43"/>
        <v>2.12279203675893E-4</v>
      </c>
      <c r="W94" s="9">
        <f t="shared" si="48"/>
        <v>28717624</v>
      </c>
      <c r="X94" s="12">
        <f t="shared" si="48"/>
        <v>30.590000150000002</v>
      </c>
      <c r="Y94" s="11">
        <f t="shared" si="48"/>
        <v>0.52999997100000007</v>
      </c>
      <c r="Z94" s="7"/>
      <c r="AA94" s="7"/>
      <c r="AB94" s="10"/>
    </row>
    <row r="95" spans="1:28" x14ac:dyDescent="0.25">
      <c r="A95" s="2">
        <v>91</v>
      </c>
      <c r="B95">
        <v>1</v>
      </c>
      <c r="C95">
        <v>4</v>
      </c>
      <c r="D95">
        <v>0</v>
      </c>
      <c r="E95">
        <v>6</v>
      </c>
      <c r="G95">
        <v>77457040</v>
      </c>
      <c r="H95">
        <v>74.650001529999997</v>
      </c>
      <c r="I95">
        <v>3.960000038</v>
      </c>
      <c r="J95" s="9">
        <f t="shared" si="46"/>
        <v>20734048</v>
      </c>
      <c r="L95" s="9">
        <f t="shared" si="47"/>
        <v>13.680000300000003</v>
      </c>
      <c r="M95" s="9">
        <f t="shared" si="47"/>
        <v>0</v>
      </c>
      <c r="N95" s="29">
        <f t="shared" si="35"/>
        <v>912212976</v>
      </c>
      <c r="O95" s="30">
        <f t="shared" si="36"/>
        <v>0.30724482613808923</v>
      </c>
      <c r="P95" s="30">
        <f t="shared" si="37"/>
        <v>1.0241494204602974</v>
      </c>
      <c r="Q95" s="29">
        <f t="shared" si="38"/>
        <v>584.2799911699999</v>
      </c>
      <c r="R95" s="30">
        <f t="shared" si="39"/>
        <v>0.29557008971260729</v>
      </c>
      <c r="S95" s="30">
        <f t="shared" si="40"/>
        <v>0.98523363237535755</v>
      </c>
      <c r="T95" s="37">
        <f t="shared" si="41"/>
        <v>0.15000009499999978</v>
      </c>
      <c r="U95" s="30">
        <f t="shared" si="42"/>
        <v>1.3123368087847394E-2</v>
      </c>
      <c r="V95" s="38">
        <f t="shared" si="43"/>
        <v>2.5293547731724305E-4</v>
      </c>
      <c r="W95" s="9">
        <f t="shared" si="48"/>
        <v>22632228</v>
      </c>
      <c r="X95" s="12">
        <f t="shared" si="48"/>
        <v>24.030002599999996</v>
      </c>
      <c r="Y95" s="11">
        <f t="shared" si="48"/>
        <v>0.52999997100000007</v>
      </c>
      <c r="Z95" s="7"/>
      <c r="AA95" s="7"/>
      <c r="AB95" s="10"/>
    </row>
    <row r="96" spans="1:28" x14ac:dyDescent="0.25">
      <c r="A96" s="2">
        <v>92</v>
      </c>
      <c r="B96">
        <v>1</v>
      </c>
      <c r="C96">
        <v>4</v>
      </c>
      <c r="D96">
        <v>1</v>
      </c>
      <c r="E96">
        <v>0</v>
      </c>
      <c r="G96">
        <v>586528192</v>
      </c>
      <c r="H96">
        <v>430.92999270000001</v>
      </c>
      <c r="I96">
        <v>4.079999924</v>
      </c>
      <c r="N96" s="29">
        <f t="shared" si="35"/>
        <v>465012616</v>
      </c>
      <c r="O96" s="30">
        <f t="shared" si="36"/>
        <v>1.2755912487575529</v>
      </c>
      <c r="P96" s="30">
        <f t="shared" si="37"/>
        <v>1.2755912487575529</v>
      </c>
      <c r="Q96" s="29">
        <f t="shared" si="38"/>
        <v>328.7999954</v>
      </c>
      <c r="R96" s="30">
        <f t="shared" si="39"/>
        <v>1.0731420871844737</v>
      </c>
      <c r="S96" s="30">
        <f t="shared" si="40"/>
        <v>1.0731420871844737</v>
      </c>
      <c r="T96" s="37">
        <f t="shared" si="41"/>
        <v>0.119999886</v>
      </c>
      <c r="U96" s="30">
        <f t="shared" si="42"/>
        <v>1.0101000408121714E-2</v>
      </c>
      <c r="V96" s="38">
        <f t="shared" si="43"/>
        <v>3.9165732945730725E-4</v>
      </c>
      <c r="W96" s="9">
        <f t="shared" si="48"/>
        <v>107810496</v>
      </c>
      <c r="X96" s="12">
        <f t="shared" si="48"/>
        <v>165.55999760000003</v>
      </c>
      <c r="Y96" s="11">
        <f t="shared" si="48"/>
        <v>0.51999998099999978</v>
      </c>
      <c r="Z96" s="7"/>
      <c r="AA96" s="7"/>
      <c r="AB96" s="10"/>
    </row>
    <row r="97" spans="1:28" x14ac:dyDescent="0.25">
      <c r="A97" s="2">
        <v>93</v>
      </c>
      <c r="B97">
        <v>1</v>
      </c>
      <c r="C97">
        <v>4</v>
      </c>
      <c r="D97">
        <v>1</v>
      </c>
      <c r="E97">
        <v>1</v>
      </c>
      <c r="G97">
        <v>583666624</v>
      </c>
      <c r="H97">
        <v>432.72000120000001</v>
      </c>
      <c r="I97">
        <v>4.079999924</v>
      </c>
      <c r="J97" s="9">
        <f t="shared" ref="J97:J158" si="49">ABS(G97-G96)</f>
        <v>2861568</v>
      </c>
      <c r="L97" s="9">
        <f t="shared" ref="L97:M102" si="50">ABS(H97-H96)</f>
        <v>1.790008499999999</v>
      </c>
      <c r="M97" s="9">
        <f t="shared" si="50"/>
        <v>0</v>
      </c>
      <c r="N97" s="29">
        <f t="shared" si="35"/>
        <v>462611464</v>
      </c>
      <c r="O97" s="30">
        <f t="shared" si="36"/>
        <v>1.2738310480390371</v>
      </c>
      <c r="P97" s="30">
        <f t="shared" si="37"/>
        <v>1.2738310480390371</v>
      </c>
      <c r="Q97" s="29">
        <f t="shared" si="38"/>
        <v>330.08000179999999</v>
      </c>
      <c r="R97" s="30">
        <f t="shared" si="39"/>
        <v>1.071966756721032</v>
      </c>
      <c r="S97" s="30">
        <f t="shared" si="40"/>
        <v>1.071966756721032</v>
      </c>
      <c r="T97" s="37">
        <f t="shared" si="41"/>
        <v>0.119999886</v>
      </c>
      <c r="U97" s="30">
        <f t="shared" si="42"/>
        <v>1.0101000408121714E-2</v>
      </c>
      <c r="V97" s="38">
        <f t="shared" si="43"/>
        <v>3.897112454581718E-4</v>
      </c>
      <c r="W97" s="9">
        <f t="shared" si="48"/>
        <v>105227424</v>
      </c>
      <c r="X97" s="12">
        <f t="shared" si="48"/>
        <v>161.86001579999999</v>
      </c>
      <c r="Y97" s="11">
        <f t="shared" si="48"/>
        <v>0.51999998099999978</v>
      </c>
      <c r="Z97" s="7"/>
      <c r="AA97" s="7"/>
      <c r="AB97" s="10"/>
    </row>
    <row r="98" spans="1:28" x14ac:dyDescent="0.25">
      <c r="A98" s="2">
        <v>94</v>
      </c>
      <c r="B98">
        <v>1</v>
      </c>
      <c r="C98">
        <v>4</v>
      </c>
      <c r="D98">
        <v>1</v>
      </c>
      <c r="E98">
        <v>2</v>
      </c>
      <c r="G98">
        <v>585243520</v>
      </c>
      <c r="H98">
        <v>430.60000609999997</v>
      </c>
      <c r="I98">
        <v>4.079999924</v>
      </c>
      <c r="J98" s="9">
        <f t="shared" si="49"/>
        <v>1576896</v>
      </c>
      <c r="L98" s="9">
        <f t="shared" si="50"/>
        <v>2.1199951000000397</v>
      </c>
      <c r="M98" s="9">
        <f t="shared" si="50"/>
        <v>0</v>
      </c>
      <c r="N98" s="29">
        <f t="shared" si="35"/>
        <v>463985904</v>
      </c>
      <c r="O98" s="30">
        <f t="shared" si="36"/>
        <v>1.2754825065998328</v>
      </c>
      <c r="P98" s="30">
        <f t="shared" si="37"/>
        <v>1.2754825065998328</v>
      </c>
      <c r="Q98" s="29">
        <f t="shared" si="38"/>
        <v>328.51000979999998</v>
      </c>
      <c r="R98" s="30">
        <f t="shared" si="39"/>
        <v>1.0726157367879148</v>
      </c>
      <c r="S98" s="30">
        <f t="shared" si="40"/>
        <v>1.0726157367879148</v>
      </c>
      <c r="T98" s="37">
        <f t="shared" si="41"/>
        <v>0.119999886</v>
      </c>
      <c r="U98" s="30">
        <f t="shared" si="42"/>
        <v>1.0101000408121714E-2</v>
      </c>
      <c r="V98" s="38">
        <f t="shared" si="43"/>
        <v>3.9181078900675796E-4</v>
      </c>
      <c r="W98" s="9">
        <f t="shared" si="48"/>
        <v>107113920</v>
      </c>
      <c r="X98" s="12">
        <f t="shared" si="48"/>
        <v>164.22000119999996</v>
      </c>
      <c r="Y98" s="11">
        <f t="shared" si="48"/>
        <v>0.51999998099999978</v>
      </c>
      <c r="Z98" s="7"/>
      <c r="AA98" s="7"/>
      <c r="AB98" s="10"/>
    </row>
    <row r="99" spans="1:28" x14ac:dyDescent="0.25">
      <c r="A99" s="2">
        <v>95</v>
      </c>
      <c r="B99">
        <v>1</v>
      </c>
      <c r="C99">
        <v>4</v>
      </c>
      <c r="D99">
        <v>1</v>
      </c>
      <c r="E99">
        <v>3</v>
      </c>
      <c r="G99">
        <v>568097472</v>
      </c>
      <c r="H99">
        <v>426.10000609999997</v>
      </c>
      <c r="I99">
        <v>4.079999924</v>
      </c>
      <c r="J99" s="9">
        <f t="shared" si="49"/>
        <v>17146048</v>
      </c>
      <c r="L99" s="9">
        <f t="shared" si="50"/>
        <v>4.5</v>
      </c>
      <c r="M99" s="9">
        <f t="shared" si="50"/>
        <v>0</v>
      </c>
      <c r="N99" s="29">
        <f t="shared" si="35"/>
        <v>450351984</v>
      </c>
      <c r="O99" s="30">
        <f t="shared" si="36"/>
        <v>1.2749306198467665</v>
      </c>
      <c r="P99" s="30">
        <f t="shared" si="37"/>
        <v>1.2749306198467665</v>
      </c>
      <c r="Q99" s="29">
        <f t="shared" si="38"/>
        <v>324.84000399999996</v>
      </c>
      <c r="R99" s="30">
        <f t="shared" si="39"/>
        <v>1.0693264772639515</v>
      </c>
      <c r="S99" s="30">
        <f t="shared" si="40"/>
        <v>1.0693264772639515</v>
      </c>
      <c r="T99" s="37">
        <f t="shared" si="41"/>
        <v>0.119999886</v>
      </c>
      <c r="U99" s="30">
        <f t="shared" si="42"/>
        <v>1.0101000408121714E-2</v>
      </c>
      <c r="V99" s="38">
        <f t="shared" si="43"/>
        <v>3.9502233034221916E-4</v>
      </c>
      <c r="W99" s="9">
        <f t="shared" si="48"/>
        <v>100226624</v>
      </c>
      <c r="X99" s="12">
        <f t="shared" si="48"/>
        <v>155.11001589999995</v>
      </c>
      <c r="Y99" s="11">
        <f t="shared" si="48"/>
        <v>0.51999998099999978</v>
      </c>
      <c r="Z99" s="7"/>
      <c r="AA99" s="7"/>
      <c r="AB99" s="10"/>
    </row>
    <row r="100" spans="1:28" x14ac:dyDescent="0.25">
      <c r="A100" s="2">
        <v>96</v>
      </c>
      <c r="B100">
        <v>1</v>
      </c>
      <c r="C100">
        <v>4</v>
      </c>
      <c r="D100">
        <v>1</v>
      </c>
      <c r="E100">
        <v>4</v>
      </c>
      <c r="G100">
        <v>518978176</v>
      </c>
      <c r="H100">
        <v>400.10998540000003</v>
      </c>
      <c r="I100">
        <v>4.079999924</v>
      </c>
      <c r="J100" s="9">
        <f t="shared" si="49"/>
        <v>49119296</v>
      </c>
      <c r="L100" s="9">
        <f t="shared" si="50"/>
        <v>25.990020699999945</v>
      </c>
      <c r="M100" s="9">
        <f t="shared" si="50"/>
        <v>0</v>
      </c>
      <c r="N100" s="29">
        <f t="shared" si="35"/>
        <v>412081848</v>
      </c>
      <c r="O100" s="30">
        <f t="shared" si="36"/>
        <v>1.2849890970997619</v>
      </c>
      <c r="P100" s="30">
        <f t="shared" si="37"/>
        <v>1.2849890970997619</v>
      </c>
      <c r="Q100" s="29">
        <f t="shared" si="38"/>
        <v>304.30998235000004</v>
      </c>
      <c r="R100" s="30">
        <f t="shared" si="39"/>
        <v>1.0588377615227367</v>
      </c>
      <c r="S100" s="30">
        <f t="shared" si="40"/>
        <v>1.0588377615227367</v>
      </c>
      <c r="T100" s="37">
        <f t="shared" si="41"/>
        <v>0.119999886</v>
      </c>
      <c r="U100" s="30">
        <f t="shared" si="42"/>
        <v>1.0101000408121714E-2</v>
      </c>
      <c r="V100" s="38">
        <f t="shared" si="43"/>
        <v>4.1753612449389163E-4</v>
      </c>
      <c r="W100" s="9">
        <f t="shared" si="48"/>
        <v>87395456</v>
      </c>
      <c r="X100" s="12">
        <f t="shared" si="48"/>
        <v>138.55999760000003</v>
      </c>
      <c r="Y100" s="11">
        <f t="shared" si="48"/>
        <v>0.51999998099999978</v>
      </c>
      <c r="Z100" s="7"/>
      <c r="AA100" s="7"/>
      <c r="AB100" s="10"/>
    </row>
    <row r="101" spans="1:28" x14ac:dyDescent="0.25">
      <c r="A101" s="2">
        <v>97</v>
      </c>
      <c r="B101">
        <v>1</v>
      </c>
      <c r="C101">
        <v>4</v>
      </c>
      <c r="D101">
        <v>1</v>
      </c>
      <c r="E101">
        <v>5</v>
      </c>
      <c r="G101">
        <v>483624800</v>
      </c>
      <c r="H101">
        <v>368.23999020000002</v>
      </c>
      <c r="I101">
        <v>4.079999924</v>
      </c>
      <c r="J101" s="9">
        <f t="shared" si="49"/>
        <v>35353376</v>
      </c>
      <c r="L101" s="9">
        <f t="shared" si="50"/>
        <v>31.869995200000005</v>
      </c>
      <c r="M101" s="9">
        <f t="shared" si="50"/>
        <v>0</v>
      </c>
      <c r="N101" s="29">
        <f t="shared" si="35"/>
        <v>385433712</v>
      </c>
      <c r="O101" s="30">
        <f t="shared" si="36"/>
        <v>1.3084477075964369</v>
      </c>
      <c r="P101" s="30">
        <f t="shared" si="37"/>
        <v>1.3084477075964369</v>
      </c>
      <c r="Q101" s="29">
        <f t="shared" si="38"/>
        <v>279.90998837000001</v>
      </c>
      <c r="R101" s="30">
        <f t="shared" si="39"/>
        <v>1.0563039456994276</v>
      </c>
      <c r="S101" s="30">
        <f t="shared" si="40"/>
        <v>1.0563039456994276</v>
      </c>
      <c r="T101" s="37">
        <f t="shared" si="41"/>
        <v>0.119999886</v>
      </c>
      <c r="U101" s="30">
        <f t="shared" si="42"/>
        <v>1.0101000408121714E-2</v>
      </c>
      <c r="V101" s="38">
        <f t="shared" si="43"/>
        <v>4.5284683766885872E-4</v>
      </c>
      <c r="W101" s="9">
        <f t="shared" si="48"/>
        <v>84983904</v>
      </c>
      <c r="X101" s="12">
        <f t="shared" si="48"/>
        <v>130.97999570000002</v>
      </c>
      <c r="Y101" s="11">
        <f t="shared" si="48"/>
        <v>0.51999998099999978</v>
      </c>
      <c r="Z101" s="7"/>
      <c r="AA101" s="7"/>
      <c r="AB101" s="10"/>
    </row>
    <row r="102" spans="1:28" x14ac:dyDescent="0.25">
      <c r="A102" s="2">
        <v>98</v>
      </c>
      <c r="B102">
        <v>1</v>
      </c>
      <c r="C102">
        <v>4</v>
      </c>
      <c r="D102">
        <v>1</v>
      </c>
      <c r="E102">
        <v>6</v>
      </c>
      <c r="G102">
        <v>393334368</v>
      </c>
      <c r="H102">
        <v>306.27999879999999</v>
      </c>
      <c r="I102">
        <v>4.0900001530000001</v>
      </c>
      <c r="J102" s="9">
        <f t="shared" si="49"/>
        <v>90290432</v>
      </c>
      <c r="L102" s="9">
        <f t="shared" si="50"/>
        <v>61.959991400000035</v>
      </c>
      <c r="M102" s="9">
        <f t="shared" si="50"/>
        <v>1.0000229000000083E-2</v>
      </c>
      <c r="N102" s="29">
        <f t="shared" si="35"/>
        <v>315877328</v>
      </c>
      <c r="O102" s="30">
        <f t="shared" si="36"/>
        <v>1.3593656905384801</v>
      </c>
      <c r="P102" s="30">
        <f t="shared" si="37"/>
        <v>1.3593656905384801</v>
      </c>
      <c r="Q102" s="29">
        <f t="shared" si="38"/>
        <v>231.62999726999999</v>
      </c>
      <c r="R102" s="30">
        <f t="shared" si="39"/>
        <v>1.0342933356668613</v>
      </c>
      <c r="S102" s="30">
        <f t="shared" si="40"/>
        <v>1.0342933356668613</v>
      </c>
      <c r="T102" s="37">
        <f t="shared" si="41"/>
        <v>0.13000011500000008</v>
      </c>
      <c r="U102" s="30">
        <f t="shared" si="42"/>
        <v>1.0942770517889245E-2</v>
      </c>
      <c r="V102" s="38">
        <f t="shared" si="43"/>
        <v>5.8048721739479235E-4</v>
      </c>
      <c r="W102" s="9">
        <f t="shared" si="48"/>
        <v>67064288</v>
      </c>
      <c r="X102" s="12">
        <f t="shared" si="48"/>
        <v>100.97000119999998</v>
      </c>
      <c r="Y102" s="11">
        <f t="shared" si="48"/>
        <v>0.53000020999999986</v>
      </c>
      <c r="Z102" s="7"/>
      <c r="AA102" s="7"/>
      <c r="AB102" s="10"/>
    </row>
    <row r="103" spans="1:28" x14ac:dyDescent="0.25">
      <c r="A103" s="2">
        <v>99</v>
      </c>
      <c r="B103">
        <v>1</v>
      </c>
      <c r="C103">
        <v>4</v>
      </c>
      <c r="D103">
        <v>2</v>
      </c>
      <c r="E103">
        <v>0</v>
      </c>
      <c r="G103">
        <v>1617627520</v>
      </c>
      <c r="H103">
        <v>-9999.9902340000008</v>
      </c>
      <c r="I103">
        <v>4.329999924</v>
      </c>
      <c r="N103" s="29">
        <f t="shared" si="35"/>
        <v>1031099328</v>
      </c>
      <c r="O103" s="30">
        <f t="shared" si="36"/>
        <v>0.58599020590641959</v>
      </c>
      <c r="P103" s="30">
        <f t="shared" si="37"/>
        <v>1.1719804118128392</v>
      </c>
      <c r="Q103" s="29">
        <f t="shared" si="38"/>
        <v>10430.9202267</v>
      </c>
      <c r="R103" s="30">
        <f t="shared" si="39"/>
        <v>8.0685342580008363</v>
      </c>
      <c r="S103" s="30">
        <f t="shared" si="40"/>
        <v>16.137068516001673</v>
      </c>
      <c r="T103" s="37">
        <f t="shared" si="41"/>
        <v>0.25</v>
      </c>
      <c r="U103" s="30">
        <f t="shared" si="42"/>
        <v>2.0424836981769837E-2</v>
      </c>
      <c r="V103" s="38">
        <f t="shared" si="43"/>
        <v>3.8676042394360515E-4</v>
      </c>
      <c r="W103" s="9">
        <f t="shared" si="48"/>
        <v>157764608</v>
      </c>
      <c r="X103" s="12">
        <f t="shared" si="48"/>
        <v>0</v>
      </c>
      <c r="Y103" s="11">
        <f t="shared" si="48"/>
        <v>0.51999998099999978</v>
      </c>
      <c r="Z103" s="7"/>
      <c r="AA103" s="7"/>
      <c r="AB103" s="10"/>
    </row>
    <row r="104" spans="1:28" x14ac:dyDescent="0.25">
      <c r="A104" s="2">
        <v>100</v>
      </c>
      <c r="B104">
        <v>1</v>
      </c>
      <c r="C104">
        <v>4</v>
      </c>
      <c r="D104">
        <v>2</v>
      </c>
      <c r="E104">
        <v>1</v>
      </c>
      <c r="G104">
        <v>1607027072</v>
      </c>
      <c r="H104">
        <v>-9999.9902340000008</v>
      </c>
      <c r="I104">
        <v>4.329999924</v>
      </c>
      <c r="J104" s="9">
        <f t="shared" ref="J104" si="51">ABS(G104-G103)</f>
        <v>10600448</v>
      </c>
      <c r="L104" s="9">
        <f t="shared" ref="L104:M109" si="52">ABS(H104-H103)</f>
        <v>0</v>
      </c>
      <c r="M104" s="9">
        <f t="shared" si="52"/>
        <v>0</v>
      </c>
      <c r="N104" s="29">
        <f t="shared" si="35"/>
        <v>1023360448</v>
      </c>
      <c r="O104" s="30">
        <f t="shared" si="36"/>
        <v>0.58444347390563378</v>
      </c>
      <c r="P104" s="30">
        <f t="shared" si="37"/>
        <v>1.1688869478112676</v>
      </c>
      <c r="Q104" s="29">
        <f t="shared" si="38"/>
        <v>10432.7102352</v>
      </c>
      <c r="R104" s="30">
        <f t="shared" si="39"/>
        <v>8.036536487234601</v>
      </c>
      <c r="S104" s="30">
        <f t="shared" si="40"/>
        <v>16.073072974469202</v>
      </c>
      <c r="T104" s="37">
        <f t="shared" si="41"/>
        <v>0.25</v>
      </c>
      <c r="U104" s="30">
        <f t="shared" si="42"/>
        <v>2.0424836981769837E-2</v>
      </c>
      <c r="V104" s="38">
        <f t="shared" si="43"/>
        <v>3.8516053384284065E-4</v>
      </c>
      <c r="W104" s="9">
        <f t="shared" si="48"/>
        <v>153846912</v>
      </c>
      <c r="X104" s="12">
        <f t="shared" si="48"/>
        <v>0</v>
      </c>
      <c r="Y104" s="11">
        <f t="shared" si="48"/>
        <v>0.51999998099999978</v>
      </c>
      <c r="Z104" s="7"/>
      <c r="AA104" s="7"/>
      <c r="AB104" s="10"/>
    </row>
    <row r="105" spans="1:28" x14ac:dyDescent="0.25">
      <c r="A105" s="2">
        <v>101</v>
      </c>
      <c r="B105">
        <v>1</v>
      </c>
      <c r="C105">
        <v>4</v>
      </c>
      <c r="D105">
        <v>2</v>
      </c>
      <c r="E105">
        <v>2</v>
      </c>
      <c r="G105">
        <v>1613725952</v>
      </c>
      <c r="H105">
        <v>-9999.9902340000008</v>
      </c>
      <c r="I105">
        <v>4.329999924</v>
      </c>
      <c r="J105" s="9">
        <f t="shared" si="46"/>
        <v>6698880</v>
      </c>
      <c r="L105" s="9">
        <f t="shared" si="52"/>
        <v>0</v>
      </c>
      <c r="M105" s="9">
        <f t="shared" si="52"/>
        <v>0</v>
      </c>
      <c r="N105" s="29">
        <f t="shared" si="35"/>
        <v>1028482432</v>
      </c>
      <c r="O105" s="30">
        <f t="shared" si="36"/>
        <v>0.58578602858060413</v>
      </c>
      <c r="P105" s="30">
        <f t="shared" si="37"/>
        <v>1.1715720571612083</v>
      </c>
      <c r="Q105" s="29">
        <f t="shared" si="38"/>
        <v>10430.5902401</v>
      </c>
      <c r="R105" s="30">
        <f t="shared" si="39"/>
        <v>8.0744620624998813</v>
      </c>
      <c r="S105" s="30">
        <f t="shared" si="40"/>
        <v>16.148924124999763</v>
      </c>
      <c r="T105" s="37">
        <f t="shared" si="41"/>
        <v>0.25</v>
      </c>
      <c r="U105" s="30">
        <f t="shared" si="42"/>
        <v>2.0424836981769837E-2</v>
      </c>
      <c r="V105" s="38">
        <f t="shared" si="43"/>
        <v>3.8705681445801231E-4</v>
      </c>
      <c r="W105" s="9">
        <f t="shared" si="48"/>
        <v>156899456</v>
      </c>
      <c r="X105" s="12">
        <f t="shared" si="48"/>
        <v>0</v>
      </c>
      <c r="Y105" s="11">
        <f t="shared" si="48"/>
        <v>0.51999998099999978</v>
      </c>
      <c r="Z105" s="7"/>
      <c r="AA105" s="7"/>
      <c r="AB105" s="10"/>
    </row>
    <row r="106" spans="1:28" x14ac:dyDescent="0.25">
      <c r="A106" s="2">
        <v>102</v>
      </c>
      <c r="B106">
        <v>1</v>
      </c>
      <c r="C106">
        <v>4</v>
      </c>
      <c r="D106">
        <v>2</v>
      </c>
      <c r="E106">
        <v>3</v>
      </c>
      <c r="G106">
        <v>1561634816</v>
      </c>
      <c r="H106">
        <v>-9999.9902340000008</v>
      </c>
      <c r="I106">
        <v>4.329999924</v>
      </c>
      <c r="J106" s="9">
        <f t="shared" si="46"/>
        <v>52091136</v>
      </c>
      <c r="L106" s="9">
        <f t="shared" si="52"/>
        <v>0</v>
      </c>
      <c r="M106" s="9">
        <f t="shared" si="52"/>
        <v>0</v>
      </c>
      <c r="N106" s="29">
        <f t="shared" si="35"/>
        <v>993537344</v>
      </c>
      <c r="O106" s="30">
        <f t="shared" si="36"/>
        <v>0.58296178207014915</v>
      </c>
      <c r="P106" s="30">
        <f t="shared" si="37"/>
        <v>1.1659235641402983</v>
      </c>
      <c r="Q106" s="29">
        <f t="shared" si="38"/>
        <v>10426.0902401</v>
      </c>
      <c r="R106" s="30">
        <f t="shared" si="39"/>
        <v>8.156215356990737</v>
      </c>
      <c r="S106" s="30">
        <f t="shared" si="40"/>
        <v>16.312430713981474</v>
      </c>
      <c r="T106" s="37">
        <f t="shared" si="41"/>
        <v>0.25</v>
      </c>
      <c r="U106" s="30">
        <f t="shared" si="42"/>
        <v>2.0424836981769837E-2</v>
      </c>
      <c r="V106" s="38">
        <f t="shared" si="43"/>
        <v>3.9114448317457252E-4</v>
      </c>
      <c r="W106" s="9">
        <f t="shared" ref="W106:Y121" si="53">ABS(G106-G85)</f>
        <v>146210944</v>
      </c>
      <c r="X106" s="12">
        <f t="shared" si="53"/>
        <v>0</v>
      </c>
      <c r="Y106" s="11">
        <f t="shared" si="53"/>
        <v>0.51999998099999978</v>
      </c>
      <c r="Z106" s="7"/>
      <c r="AA106" s="7"/>
      <c r="AB106" s="10"/>
    </row>
    <row r="107" spans="1:28" x14ac:dyDescent="0.25">
      <c r="A107" s="2">
        <v>103</v>
      </c>
      <c r="B107">
        <v>1</v>
      </c>
      <c r="C107">
        <v>4</v>
      </c>
      <c r="D107">
        <v>2</v>
      </c>
      <c r="E107">
        <v>4</v>
      </c>
      <c r="G107">
        <v>1423934848</v>
      </c>
      <c r="H107">
        <v>-9999.9902340000008</v>
      </c>
      <c r="I107">
        <v>4.329999924</v>
      </c>
      <c r="J107" s="9">
        <f t="shared" si="46"/>
        <v>137699968</v>
      </c>
      <c r="L107" s="9">
        <f t="shared" si="52"/>
        <v>0</v>
      </c>
      <c r="M107" s="9">
        <f t="shared" si="52"/>
        <v>0</v>
      </c>
      <c r="N107" s="29">
        <f t="shared" si="35"/>
        <v>904956672</v>
      </c>
      <c r="O107" s="30">
        <f t="shared" si="36"/>
        <v>0.58124259930344357</v>
      </c>
      <c r="P107" s="30">
        <f t="shared" si="37"/>
        <v>1.1624851986068871</v>
      </c>
      <c r="Q107" s="29">
        <f t="shared" si="38"/>
        <v>10400.100219400001</v>
      </c>
      <c r="R107" s="30">
        <f t="shared" si="39"/>
        <v>8.6643677979383256</v>
      </c>
      <c r="S107" s="30">
        <f t="shared" si="40"/>
        <v>17.328735595876651</v>
      </c>
      <c r="T107" s="37">
        <f t="shared" si="41"/>
        <v>0.25</v>
      </c>
      <c r="U107" s="30">
        <f t="shared" si="42"/>
        <v>2.0424836981769837E-2</v>
      </c>
      <c r="V107" s="38">
        <f t="shared" si="43"/>
        <v>4.1655213003505975E-4</v>
      </c>
      <c r="W107" s="9">
        <f t="shared" si="53"/>
        <v>126141440</v>
      </c>
      <c r="X107" s="12">
        <f t="shared" si="53"/>
        <v>10866.730224200001</v>
      </c>
      <c r="Y107" s="11">
        <f t="shared" si="53"/>
        <v>0.51999998099999978</v>
      </c>
      <c r="Z107" s="7"/>
      <c r="AA107" s="7"/>
      <c r="AB107" s="10"/>
    </row>
    <row r="108" spans="1:28" x14ac:dyDescent="0.25">
      <c r="A108" s="2">
        <v>104</v>
      </c>
      <c r="B108">
        <v>1</v>
      </c>
      <c r="C108">
        <v>4</v>
      </c>
      <c r="D108">
        <v>2</v>
      </c>
      <c r="E108">
        <v>5</v>
      </c>
      <c r="G108">
        <v>1332877568</v>
      </c>
      <c r="H108">
        <v>-9999.9902340000008</v>
      </c>
      <c r="I108">
        <v>4.329999924</v>
      </c>
      <c r="J108" s="9">
        <f t="shared" si="46"/>
        <v>91057280</v>
      </c>
      <c r="L108" s="9">
        <f t="shared" si="52"/>
        <v>0</v>
      </c>
      <c r="M108" s="9">
        <f t="shared" si="52"/>
        <v>0</v>
      </c>
      <c r="N108" s="29">
        <f t="shared" si="35"/>
        <v>849252768</v>
      </c>
      <c r="O108" s="30">
        <f t="shared" si="36"/>
        <v>0.58533858478721523</v>
      </c>
      <c r="P108" s="30">
        <f t="shared" si="37"/>
        <v>1.1706771695744305</v>
      </c>
      <c r="Q108" s="29">
        <f t="shared" si="38"/>
        <v>10368.230224200001</v>
      </c>
      <c r="R108" s="30">
        <f t="shared" si="39"/>
        <v>9.3853922262025957</v>
      </c>
      <c r="S108" s="30">
        <f t="shared" si="40"/>
        <v>18.770784452405191</v>
      </c>
      <c r="T108" s="37">
        <f t="shared" si="41"/>
        <v>0.25</v>
      </c>
      <c r="U108" s="30">
        <f t="shared" si="42"/>
        <v>2.0424836981769837E-2</v>
      </c>
      <c r="V108" s="38">
        <f t="shared" si="43"/>
        <v>4.5260338665593052E-4</v>
      </c>
      <c r="W108" s="9">
        <f t="shared" si="53"/>
        <v>123924608</v>
      </c>
      <c r="X108" s="12">
        <f t="shared" si="53"/>
        <v>10785.120238900001</v>
      </c>
      <c r="Y108" s="11">
        <f t="shared" si="53"/>
        <v>0.51999998099999978</v>
      </c>
      <c r="Z108" s="7"/>
      <c r="AA108" s="7"/>
      <c r="AB108" s="10"/>
    </row>
    <row r="109" spans="1:28" x14ac:dyDescent="0.25">
      <c r="A109" s="2">
        <v>105</v>
      </c>
      <c r="B109">
        <v>1</v>
      </c>
      <c r="C109">
        <v>4</v>
      </c>
      <c r="D109">
        <v>2</v>
      </c>
      <c r="E109">
        <v>6</v>
      </c>
      <c r="G109">
        <v>1088928384</v>
      </c>
      <c r="H109">
        <v>-9999.9902340000008</v>
      </c>
      <c r="I109">
        <v>4.329999924</v>
      </c>
      <c r="J109" s="9">
        <f t="shared" si="46"/>
        <v>243949184</v>
      </c>
      <c r="L109" s="9">
        <f t="shared" si="52"/>
        <v>0</v>
      </c>
      <c r="M109" s="9">
        <f t="shared" si="52"/>
        <v>0</v>
      </c>
      <c r="N109" s="29">
        <f t="shared" si="35"/>
        <v>695594016</v>
      </c>
      <c r="O109" s="30">
        <f t="shared" si="36"/>
        <v>0.58948490359225358</v>
      </c>
      <c r="P109" s="30">
        <f t="shared" si="37"/>
        <v>1.1789698071845072</v>
      </c>
      <c r="Q109" s="29">
        <f t="shared" si="38"/>
        <v>10306.270232800001</v>
      </c>
      <c r="R109" s="30">
        <f t="shared" si="39"/>
        <v>11.216610370880458</v>
      </c>
      <c r="S109" s="30">
        <f t="shared" si="40"/>
        <v>22.433220741760916</v>
      </c>
      <c r="T109" s="37">
        <f t="shared" si="41"/>
        <v>0.23999977099999992</v>
      </c>
      <c r="U109" s="30">
        <f t="shared" si="42"/>
        <v>1.955988280538009E-2</v>
      </c>
      <c r="V109" s="38">
        <f t="shared" si="43"/>
        <v>5.2239730952138581E-4</v>
      </c>
      <c r="W109" s="9">
        <f t="shared" si="53"/>
        <v>99258368</v>
      </c>
      <c r="X109" s="12">
        <f t="shared" si="53"/>
        <v>10658.9202267</v>
      </c>
      <c r="Y109" s="11">
        <f t="shared" si="53"/>
        <v>0.51999998099999978</v>
      </c>
      <c r="Z109" s="7"/>
      <c r="AA109" s="7"/>
      <c r="AB109" s="10"/>
    </row>
    <row r="110" spans="1:28" x14ac:dyDescent="0.25">
      <c r="A110" s="2">
        <v>106</v>
      </c>
      <c r="B110">
        <v>2</v>
      </c>
      <c r="C110">
        <v>0</v>
      </c>
      <c r="D110">
        <v>0</v>
      </c>
      <c r="E110">
        <v>0</v>
      </c>
      <c r="G110">
        <v>-2209707.5</v>
      </c>
      <c r="H110">
        <v>10.210000040000001</v>
      </c>
      <c r="I110">
        <v>2.329999924</v>
      </c>
      <c r="N110" s="29">
        <f t="shared" si="35"/>
        <v>1619837227.5</v>
      </c>
      <c r="O110" s="30">
        <f t="shared" si="36"/>
        <v>0.33378867249983485</v>
      </c>
      <c r="P110" s="30">
        <f t="shared" si="37"/>
        <v>1.1126289083327827</v>
      </c>
      <c r="Q110" s="29">
        <f t="shared" si="38"/>
        <v>10010.200234040001</v>
      </c>
      <c r="R110" s="30">
        <f t="shared" si="39"/>
        <v>0.33367366700036988</v>
      </c>
      <c r="S110" s="30">
        <f t="shared" si="40"/>
        <v>1.1122455566678995</v>
      </c>
      <c r="T110" s="37">
        <f t="shared" si="41"/>
        <v>2</v>
      </c>
      <c r="U110" s="30">
        <f t="shared" si="42"/>
        <v>0.15396459084710754</v>
      </c>
      <c r="V110" s="38">
        <f t="shared" si="43"/>
        <v>2.2222243924465635E-4</v>
      </c>
      <c r="W110" s="9">
        <f t="shared" si="53"/>
        <v>123725283.5</v>
      </c>
      <c r="X110" s="12">
        <f t="shared" si="53"/>
        <v>91.919997260000002</v>
      </c>
      <c r="Y110" s="11">
        <f t="shared" si="53"/>
        <v>1.630000114</v>
      </c>
      <c r="Z110" s="7">
        <f t="shared" ref="Z110:AB125" si="54">ABS(G110-G5)</f>
        <v>2457015.5</v>
      </c>
      <c r="AA110" s="7">
        <f t="shared" si="54"/>
        <v>2.4400000590000008</v>
      </c>
      <c r="AB110" s="7">
        <f t="shared" si="54"/>
        <v>0</v>
      </c>
    </row>
    <row r="111" spans="1:28" x14ac:dyDescent="0.25">
      <c r="A111" s="2">
        <v>107</v>
      </c>
      <c r="B111">
        <v>2</v>
      </c>
      <c r="C111">
        <v>0</v>
      </c>
      <c r="D111">
        <v>0</v>
      </c>
      <c r="E111">
        <v>1</v>
      </c>
      <c r="G111">
        <v>-1470764.63</v>
      </c>
      <c r="H111">
        <v>10.84000015</v>
      </c>
      <c r="I111">
        <v>2.329999924</v>
      </c>
      <c r="J111" s="9">
        <f t="shared" ref="J111" si="55">ABS(G111-G110)</f>
        <v>738942.87000000011</v>
      </c>
      <c r="L111" s="9">
        <f t="shared" ref="L111:M116" si="56">ABS(H111-H110)</f>
        <v>0.63000010999999922</v>
      </c>
      <c r="M111" s="9">
        <f t="shared" si="56"/>
        <v>0</v>
      </c>
      <c r="N111" s="29">
        <f t="shared" si="35"/>
        <v>1608497836.6300001</v>
      </c>
      <c r="O111" s="30">
        <f t="shared" si="36"/>
        <v>0.33363840279059925</v>
      </c>
      <c r="P111" s="30">
        <f t="shared" si="37"/>
        <v>1.1121280093019976</v>
      </c>
      <c r="Q111" s="29">
        <f t="shared" si="38"/>
        <v>10010.83023415</v>
      </c>
      <c r="R111" s="30">
        <f t="shared" si="39"/>
        <v>0.33369466702454514</v>
      </c>
      <c r="S111" s="30">
        <f t="shared" si="40"/>
        <v>1.1123155567484839</v>
      </c>
      <c r="T111" s="37">
        <f t="shared" si="41"/>
        <v>2</v>
      </c>
      <c r="U111" s="30">
        <f t="shared" si="42"/>
        <v>0.15396459084710754</v>
      </c>
      <c r="V111" s="38">
        <f t="shared" si="43"/>
        <v>2.2222243924465635E-4</v>
      </c>
      <c r="W111" s="9">
        <f t="shared" si="53"/>
        <v>122525924.63</v>
      </c>
      <c r="X111" s="12">
        <f t="shared" si="53"/>
        <v>91.799999249999999</v>
      </c>
      <c r="Y111" s="11">
        <f t="shared" si="53"/>
        <v>1.630000114</v>
      </c>
      <c r="Z111" s="7">
        <f t="shared" si="54"/>
        <v>2562072.37</v>
      </c>
      <c r="AA111" s="7">
        <f t="shared" si="54"/>
        <v>2.4099998449999998</v>
      </c>
      <c r="AB111" s="7">
        <f t="shared" si="54"/>
        <v>0</v>
      </c>
    </row>
    <row r="112" spans="1:28" x14ac:dyDescent="0.25">
      <c r="A112" s="2">
        <v>108</v>
      </c>
      <c r="B112">
        <v>2</v>
      </c>
      <c r="C112">
        <v>0</v>
      </c>
      <c r="D112">
        <v>0</v>
      </c>
      <c r="E112">
        <v>2</v>
      </c>
      <c r="G112">
        <v>-1848279.38</v>
      </c>
      <c r="H112">
        <v>10.52999973</v>
      </c>
      <c r="I112">
        <v>2.329999924</v>
      </c>
      <c r="J112" s="9">
        <f t="shared" si="49"/>
        <v>377514.75</v>
      </c>
      <c r="L112" s="9">
        <f t="shared" si="56"/>
        <v>0.31000041999999972</v>
      </c>
      <c r="M112" s="9">
        <f t="shared" si="56"/>
        <v>0</v>
      </c>
      <c r="N112" s="29">
        <f t="shared" si="35"/>
        <v>1615574231.3800001</v>
      </c>
      <c r="O112" s="30">
        <f t="shared" si="36"/>
        <v>0.33371511632808731</v>
      </c>
      <c r="P112" s="30">
        <f t="shared" si="37"/>
        <v>1.1123837210936243</v>
      </c>
      <c r="Q112" s="29">
        <f t="shared" si="38"/>
        <v>10010.520233730002</v>
      </c>
      <c r="R112" s="30">
        <f t="shared" si="39"/>
        <v>0.3336843336671203</v>
      </c>
      <c r="S112" s="30">
        <f t="shared" si="40"/>
        <v>1.1122811122237344</v>
      </c>
      <c r="T112" s="37">
        <f t="shared" si="41"/>
        <v>2</v>
      </c>
      <c r="U112" s="30">
        <f t="shared" si="42"/>
        <v>0.15396459084710754</v>
      </c>
      <c r="V112" s="38">
        <f t="shared" si="43"/>
        <v>2.2222243924465635E-4</v>
      </c>
      <c r="W112" s="9">
        <f t="shared" si="53"/>
        <v>123105895.38</v>
      </c>
      <c r="X112" s="12">
        <f t="shared" si="53"/>
        <v>91.559996569999996</v>
      </c>
      <c r="Y112" s="11">
        <f t="shared" si="53"/>
        <v>1.630000114</v>
      </c>
      <c r="Z112" s="7">
        <f t="shared" si="54"/>
        <v>2504201.12</v>
      </c>
      <c r="AA112" s="7">
        <f t="shared" si="54"/>
        <v>2.439999577</v>
      </c>
      <c r="AB112" s="7">
        <f t="shared" si="54"/>
        <v>0</v>
      </c>
    </row>
    <row r="113" spans="1:28" x14ac:dyDescent="0.25">
      <c r="A113" s="2">
        <v>109</v>
      </c>
      <c r="B113">
        <v>2</v>
      </c>
      <c r="C113">
        <v>0</v>
      </c>
      <c r="D113">
        <v>0</v>
      </c>
      <c r="E113">
        <v>3</v>
      </c>
      <c r="G113">
        <v>-837300.31</v>
      </c>
      <c r="H113">
        <v>11.35999966</v>
      </c>
      <c r="I113">
        <v>2.329999924</v>
      </c>
      <c r="J113" s="9">
        <f t="shared" si="49"/>
        <v>1010979.0699999998</v>
      </c>
      <c r="L113" s="9">
        <f t="shared" si="56"/>
        <v>0.82999992999999961</v>
      </c>
      <c r="M113" s="9">
        <f t="shared" si="56"/>
        <v>0</v>
      </c>
      <c r="N113" s="29">
        <f t="shared" si="35"/>
        <v>1562472116.3099999</v>
      </c>
      <c r="O113" s="30">
        <f t="shared" si="36"/>
        <v>0.33351205636158149</v>
      </c>
      <c r="P113" s="30">
        <f t="shared" si="37"/>
        <v>1.1117068545386051</v>
      </c>
      <c r="Q113" s="29">
        <f t="shared" si="38"/>
        <v>10011.350233660001</v>
      </c>
      <c r="R113" s="30">
        <f t="shared" si="39"/>
        <v>0.33371200035847287</v>
      </c>
      <c r="S113" s="30">
        <f t="shared" si="40"/>
        <v>1.1123733345282429</v>
      </c>
      <c r="T113" s="37">
        <f t="shared" si="41"/>
        <v>2</v>
      </c>
      <c r="U113" s="30">
        <f t="shared" si="42"/>
        <v>0.15396459084710754</v>
      </c>
      <c r="V113" s="38">
        <f t="shared" si="43"/>
        <v>2.2222243924465635E-4</v>
      </c>
      <c r="W113" s="9">
        <f t="shared" si="53"/>
        <v>118582788.31</v>
      </c>
      <c r="X113" s="12">
        <f t="shared" si="53"/>
        <v>89.900002439999994</v>
      </c>
      <c r="Y113" s="11">
        <f t="shared" si="53"/>
        <v>1.630000114</v>
      </c>
      <c r="Z113" s="7">
        <f t="shared" si="54"/>
        <v>2646238.44</v>
      </c>
      <c r="AA113" s="7">
        <f t="shared" si="54"/>
        <v>2.3999996219999993</v>
      </c>
      <c r="AB113" s="7">
        <f t="shared" si="54"/>
        <v>0</v>
      </c>
    </row>
    <row r="114" spans="1:28" x14ac:dyDescent="0.25">
      <c r="A114" s="2">
        <v>110</v>
      </c>
      <c r="B114">
        <v>2</v>
      </c>
      <c r="C114">
        <v>0</v>
      </c>
      <c r="D114">
        <v>0</v>
      </c>
      <c r="E114">
        <v>4</v>
      </c>
      <c r="G114">
        <v>-1662859.25</v>
      </c>
      <c r="H114">
        <v>10.69999981</v>
      </c>
      <c r="I114">
        <v>2.329999924</v>
      </c>
      <c r="J114" s="9">
        <f t="shared" si="49"/>
        <v>825558.94</v>
      </c>
      <c r="L114" s="9">
        <f t="shared" si="56"/>
        <v>0.65999985000000017</v>
      </c>
      <c r="M114" s="9">
        <f t="shared" si="56"/>
        <v>0</v>
      </c>
      <c r="N114" s="29">
        <f t="shared" si="35"/>
        <v>1425597707.25</v>
      </c>
      <c r="O114" s="30">
        <f t="shared" si="36"/>
        <v>0.33372259722236958</v>
      </c>
      <c r="P114" s="30">
        <f t="shared" si="37"/>
        <v>1.1124086574078984</v>
      </c>
      <c r="Q114" s="29">
        <f t="shared" si="38"/>
        <v>10010.690233810001</v>
      </c>
      <c r="R114" s="30">
        <f t="shared" si="39"/>
        <v>0.33369000034198765</v>
      </c>
      <c r="S114" s="30">
        <f t="shared" si="40"/>
        <v>1.1123000011399589</v>
      </c>
      <c r="T114" s="37">
        <f t="shared" si="41"/>
        <v>2</v>
      </c>
      <c r="U114" s="30">
        <f t="shared" si="42"/>
        <v>0.15396459084710754</v>
      </c>
      <c r="V114" s="38">
        <f t="shared" si="43"/>
        <v>2.2222243924465635E-4</v>
      </c>
      <c r="W114" s="9">
        <f t="shared" si="53"/>
        <v>108559187.25</v>
      </c>
      <c r="X114" s="12">
        <f t="shared" si="53"/>
        <v>85.100003240000007</v>
      </c>
      <c r="Y114" s="11">
        <f t="shared" si="53"/>
        <v>1.630000114</v>
      </c>
      <c r="Z114" s="7">
        <f t="shared" si="54"/>
        <v>2540123.75</v>
      </c>
      <c r="AA114" s="7">
        <f t="shared" si="54"/>
        <v>2.399999618999999</v>
      </c>
      <c r="AB114" s="7">
        <f t="shared" si="54"/>
        <v>0</v>
      </c>
    </row>
    <row r="115" spans="1:28" x14ac:dyDescent="0.25">
      <c r="A115" s="2">
        <v>111</v>
      </c>
      <c r="B115">
        <v>2</v>
      </c>
      <c r="C115">
        <v>0</v>
      </c>
      <c r="D115">
        <v>0</v>
      </c>
      <c r="E115">
        <v>5</v>
      </c>
      <c r="G115">
        <v>-2255694.25</v>
      </c>
      <c r="H115">
        <v>10.149999619999999</v>
      </c>
      <c r="I115">
        <v>2.329999924</v>
      </c>
      <c r="J115" s="9">
        <f t="shared" si="49"/>
        <v>592835</v>
      </c>
      <c r="L115" s="9">
        <f t="shared" si="56"/>
        <v>0.55000019000000044</v>
      </c>
      <c r="M115" s="9">
        <f t="shared" si="56"/>
        <v>0</v>
      </c>
      <c r="N115" s="29">
        <f t="shared" si="35"/>
        <v>1335133262.25</v>
      </c>
      <c r="O115" s="30">
        <f t="shared" si="36"/>
        <v>0.33389744972435459</v>
      </c>
      <c r="P115" s="30">
        <f t="shared" si="37"/>
        <v>1.112991499081182</v>
      </c>
      <c r="Q115" s="29">
        <f t="shared" si="38"/>
        <v>10010.140233620001</v>
      </c>
      <c r="R115" s="30">
        <f t="shared" si="39"/>
        <v>0.33367166698441664</v>
      </c>
      <c r="S115" s="30">
        <f t="shared" si="40"/>
        <v>1.1122388899480555</v>
      </c>
      <c r="T115" s="37">
        <f t="shared" si="41"/>
        <v>2</v>
      </c>
      <c r="U115" s="30">
        <f t="shared" si="42"/>
        <v>0.15396459084710754</v>
      </c>
      <c r="V115" s="38">
        <f t="shared" si="43"/>
        <v>2.2222243924465635E-4</v>
      </c>
      <c r="W115" s="9">
        <f t="shared" si="53"/>
        <v>100446782.25</v>
      </c>
      <c r="X115" s="12">
        <f t="shared" si="53"/>
        <v>78.180002209999998</v>
      </c>
      <c r="Y115" s="11">
        <f t="shared" si="53"/>
        <v>1.630000114</v>
      </c>
      <c r="Z115" s="7">
        <f t="shared" si="54"/>
        <v>2404697.75</v>
      </c>
      <c r="AA115" s="7">
        <f t="shared" si="54"/>
        <v>2.3999996199999991</v>
      </c>
      <c r="AB115" s="7">
        <f t="shared" si="54"/>
        <v>0</v>
      </c>
    </row>
    <row r="116" spans="1:28" x14ac:dyDescent="0.25">
      <c r="A116" s="2">
        <v>112</v>
      </c>
      <c r="B116">
        <v>2</v>
      </c>
      <c r="C116">
        <v>0</v>
      </c>
      <c r="D116">
        <v>0</v>
      </c>
      <c r="E116">
        <v>6</v>
      </c>
      <c r="G116">
        <v>-4350953</v>
      </c>
      <c r="H116">
        <v>8.1999998089999995</v>
      </c>
      <c r="I116">
        <v>2.329999924</v>
      </c>
      <c r="J116" s="9">
        <f t="shared" si="49"/>
        <v>2095258.75</v>
      </c>
      <c r="L116" s="9">
        <f t="shared" si="56"/>
        <v>1.9499998109999996</v>
      </c>
      <c r="M116" s="9">
        <f t="shared" si="56"/>
        <v>0</v>
      </c>
      <c r="N116" s="29">
        <f t="shared" si="35"/>
        <v>1093279337</v>
      </c>
      <c r="O116" s="30">
        <f t="shared" si="36"/>
        <v>0.33466520941258399</v>
      </c>
      <c r="P116" s="30">
        <f t="shared" si="37"/>
        <v>1.1155506980419467</v>
      </c>
      <c r="Q116" s="29">
        <f t="shared" si="38"/>
        <v>10008.190233809</v>
      </c>
      <c r="R116" s="30">
        <f t="shared" si="39"/>
        <v>0.33360666692723756</v>
      </c>
      <c r="S116" s="30">
        <f t="shared" si="40"/>
        <v>1.1120222230907919</v>
      </c>
      <c r="T116" s="37">
        <f t="shared" si="41"/>
        <v>2</v>
      </c>
      <c r="U116" s="30">
        <f t="shared" si="42"/>
        <v>0.15396459084710754</v>
      </c>
      <c r="V116" s="38">
        <f t="shared" si="43"/>
        <v>2.2222243924465635E-4</v>
      </c>
      <c r="W116" s="9">
        <f t="shared" si="53"/>
        <v>81807993</v>
      </c>
      <c r="X116" s="12">
        <f t="shared" si="53"/>
        <v>66.450001720999992</v>
      </c>
      <c r="Y116" s="11">
        <f t="shared" si="53"/>
        <v>1.630000114</v>
      </c>
      <c r="Z116" s="7">
        <f t="shared" si="54"/>
        <v>2096394.5</v>
      </c>
      <c r="AA116" s="7">
        <f t="shared" si="54"/>
        <v>94.380000119000002</v>
      </c>
      <c r="AB116" s="7">
        <f t="shared" si="54"/>
        <v>0</v>
      </c>
    </row>
    <row r="117" spans="1:28" x14ac:dyDescent="0.25">
      <c r="A117" s="2">
        <v>113</v>
      </c>
      <c r="B117">
        <v>2</v>
      </c>
      <c r="C117">
        <v>0</v>
      </c>
      <c r="D117">
        <v>1</v>
      </c>
      <c r="E117">
        <v>0</v>
      </c>
      <c r="G117">
        <v>78712416</v>
      </c>
      <c r="H117">
        <v>35.08000183</v>
      </c>
      <c r="I117">
        <v>2.369999886</v>
      </c>
      <c r="N117" s="29">
        <f t="shared" si="35"/>
        <v>80922123.5</v>
      </c>
      <c r="O117" s="30">
        <f t="shared" si="36"/>
        <v>12.207064132545447</v>
      </c>
      <c r="P117" s="30">
        <f t="shared" si="37"/>
        <v>12.207064132545447</v>
      </c>
      <c r="Q117" s="29">
        <f t="shared" si="38"/>
        <v>24.87000179</v>
      </c>
      <c r="R117" s="30">
        <f t="shared" si="39"/>
        <v>0.81194912479810988</v>
      </c>
      <c r="S117" s="30">
        <f t="shared" si="40"/>
        <v>0.81194912479810988</v>
      </c>
      <c r="T117" s="37">
        <f t="shared" si="41"/>
        <v>3.9999962E-2</v>
      </c>
      <c r="U117" s="30">
        <f t="shared" si="42"/>
        <v>5.7224554084005482E-3</v>
      </c>
      <c r="V117" s="38">
        <f t="shared" si="43"/>
        <v>1.3059079935778988E-3</v>
      </c>
      <c r="W117" s="9">
        <f t="shared" si="53"/>
        <v>507815776</v>
      </c>
      <c r="X117" s="12">
        <f t="shared" si="53"/>
        <v>395.84999087</v>
      </c>
      <c r="Y117" s="11">
        <f t="shared" si="53"/>
        <v>1.710000038</v>
      </c>
      <c r="Z117" s="7">
        <f t="shared" si="54"/>
        <v>20830168</v>
      </c>
      <c r="AA117" s="7">
        <f t="shared" si="54"/>
        <v>3.0200004599999986</v>
      </c>
      <c r="AB117" s="7">
        <f t="shared" si="54"/>
        <v>0</v>
      </c>
    </row>
    <row r="118" spans="1:28" x14ac:dyDescent="0.25">
      <c r="A118" s="2">
        <v>114</v>
      </c>
      <c r="B118">
        <v>2</v>
      </c>
      <c r="C118">
        <v>0</v>
      </c>
      <c r="D118">
        <v>1</v>
      </c>
      <c r="E118">
        <v>1</v>
      </c>
      <c r="G118">
        <v>81701304</v>
      </c>
      <c r="H118">
        <v>35.849998470000003</v>
      </c>
      <c r="I118">
        <v>2.369999886</v>
      </c>
      <c r="J118" s="9">
        <f t="shared" ref="J118" si="57">ABS(G118-G117)</f>
        <v>2988888</v>
      </c>
      <c r="L118" s="9">
        <f t="shared" ref="L118:M123" si="58">ABS(H118-H117)</f>
        <v>0.76999664000000223</v>
      </c>
      <c r="M118" s="9">
        <f t="shared" si="58"/>
        <v>0</v>
      </c>
      <c r="N118" s="29">
        <f t="shared" si="35"/>
        <v>83172068.629999995</v>
      </c>
      <c r="O118" s="30">
        <f t="shared" si="36"/>
        <v>18.850074519854797</v>
      </c>
      <c r="P118" s="30">
        <f t="shared" si="37"/>
        <v>18.850074519854797</v>
      </c>
      <c r="Q118" s="29">
        <f t="shared" si="38"/>
        <v>25.009998320000001</v>
      </c>
      <c r="R118" s="30">
        <f t="shared" si="39"/>
        <v>0.76906512834934482</v>
      </c>
      <c r="S118" s="30">
        <f t="shared" si="40"/>
        <v>0.76906512834934482</v>
      </c>
      <c r="T118" s="37">
        <f t="shared" si="41"/>
        <v>3.9999962E-2</v>
      </c>
      <c r="U118" s="30">
        <f t="shared" si="42"/>
        <v>5.7224554084005482E-3</v>
      </c>
      <c r="V118" s="38">
        <f t="shared" si="43"/>
        <v>1.230011114590867E-3</v>
      </c>
      <c r="W118" s="9">
        <f t="shared" si="53"/>
        <v>501965320</v>
      </c>
      <c r="X118" s="12">
        <f t="shared" si="53"/>
        <v>396.87000273000001</v>
      </c>
      <c r="Y118" s="11">
        <f t="shared" si="53"/>
        <v>1.710000038</v>
      </c>
      <c r="Z118" s="7">
        <f t="shared" si="54"/>
        <v>21167472</v>
      </c>
      <c r="AA118" s="7">
        <f t="shared" si="54"/>
        <v>3.0099983200000011</v>
      </c>
      <c r="AB118" s="7">
        <f t="shared" si="54"/>
        <v>0</v>
      </c>
    </row>
    <row r="119" spans="1:28" x14ac:dyDescent="0.25">
      <c r="A119" s="2">
        <v>115</v>
      </c>
      <c r="B119">
        <v>2</v>
      </c>
      <c r="C119">
        <v>0</v>
      </c>
      <c r="D119">
        <v>1</v>
      </c>
      <c r="E119">
        <v>2</v>
      </c>
      <c r="G119">
        <v>80006928</v>
      </c>
      <c r="H119">
        <v>35.450000760000002</v>
      </c>
      <c r="I119">
        <v>2.369999886</v>
      </c>
      <c r="J119" s="9">
        <f t="shared" si="46"/>
        <v>1694376</v>
      </c>
      <c r="L119" s="9">
        <f t="shared" si="58"/>
        <v>0.39999771000000095</v>
      </c>
      <c r="M119" s="9">
        <f t="shared" si="58"/>
        <v>0</v>
      </c>
      <c r="N119" s="29">
        <f t="shared" si="35"/>
        <v>81855207.379999995</v>
      </c>
      <c r="O119" s="30">
        <f t="shared" si="36"/>
        <v>14.762416018874086</v>
      </c>
      <c r="P119" s="30">
        <f t="shared" si="37"/>
        <v>14.762416018874086</v>
      </c>
      <c r="Q119" s="29">
        <f t="shared" si="38"/>
        <v>24.920001030000002</v>
      </c>
      <c r="R119" s="30">
        <f t="shared" si="39"/>
        <v>0.78885728613404249</v>
      </c>
      <c r="S119" s="30">
        <f t="shared" si="40"/>
        <v>0.78885728613404249</v>
      </c>
      <c r="T119" s="37">
        <f t="shared" si="41"/>
        <v>3.9999962E-2</v>
      </c>
      <c r="U119" s="30">
        <f t="shared" si="42"/>
        <v>5.7224554084005482E-3</v>
      </c>
      <c r="V119" s="38">
        <f t="shared" si="43"/>
        <v>1.2662223180006356E-3</v>
      </c>
      <c r="W119" s="9">
        <f t="shared" si="53"/>
        <v>505236592</v>
      </c>
      <c r="X119" s="12">
        <f t="shared" si="53"/>
        <v>395.15000533999995</v>
      </c>
      <c r="Y119" s="11">
        <f t="shared" si="53"/>
        <v>1.710000038</v>
      </c>
      <c r="Z119" s="7">
        <f t="shared" si="54"/>
        <v>20957140</v>
      </c>
      <c r="AA119" s="7">
        <f t="shared" si="54"/>
        <v>3.0100021300000037</v>
      </c>
      <c r="AB119" s="7">
        <f t="shared" si="54"/>
        <v>0</v>
      </c>
    </row>
    <row r="120" spans="1:28" x14ac:dyDescent="0.25">
      <c r="A120" s="2">
        <v>116</v>
      </c>
      <c r="B120">
        <v>2</v>
      </c>
      <c r="C120">
        <v>0</v>
      </c>
      <c r="D120">
        <v>1</v>
      </c>
      <c r="E120">
        <v>3</v>
      </c>
      <c r="G120">
        <v>83735664</v>
      </c>
      <c r="H120">
        <v>36.479999540000001</v>
      </c>
      <c r="I120">
        <v>2.369999886</v>
      </c>
      <c r="J120" s="9">
        <f t="shared" si="46"/>
        <v>3728736</v>
      </c>
      <c r="L120" s="9">
        <f t="shared" si="58"/>
        <v>1.0299987799999997</v>
      </c>
      <c r="M120" s="9">
        <f t="shared" si="58"/>
        <v>0</v>
      </c>
      <c r="N120" s="29">
        <f t="shared" si="35"/>
        <v>84572964.310000002</v>
      </c>
      <c r="O120" s="30">
        <f t="shared" si="36"/>
        <v>33.668909191414649</v>
      </c>
      <c r="P120" s="30">
        <f t="shared" si="37"/>
        <v>33.668909191414649</v>
      </c>
      <c r="Q120" s="29">
        <f t="shared" si="38"/>
        <v>25.119999880000002</v>
      </c>
      <c r="R120" s="30">
        <f t="shared" si="39"/>
        <v>0.73708922041757641</v>
      </c>
      <c r="S120" s="30">
        <f t="shared" si="40"/>
        <v>0.73708922041757641</v>
      </c>
      <c r="T120" s="37">
        <f t="shared" si="41"/>
        <v>3.9999962E-2</v>
      </c>
      <c r="U120" s="30">
        <f t="shared" si="42"/>
        <v>5.7224554084005482E-3</v>
      </c>
      <c r="V120" s="38">
        <f t="shared" si="43"/>
        <v>1.173707840292899E-3</v>
      </c>
      <c r="W120" s="9">
        <f t="shared" si="53"/>
        <v>484361808</v>
      </c>
      <c r="X120" s="12">
        <f t="shared" si="53"/>
        <v>389.62000655999998</v>
      </c>
      <c r="Y120" s="11">
        <f t="shared" si="53"/>
        <v>1.710000038</v>
      </c>
      <c r="Z120" s="7">
        <f t="shared" si="54"/>
        <v>21233416</v>
      </c>
      <c r="AA120" s="7">
        <f t="shared" si="54"/>
        <v>3.0099983200000011</v>
      </c>
      <c r="AB120" s="7">
        <f t="shared" si="54"/>
        <v>0</v>
      </c>
    </row>
    <row r="121" spans="1:28" x14ac:dyDescent="0.25">
      <c r="A121" s="2">
        <v>117</v>
      </c>
      <c r="B121">
        <v>2</v>
      </c>
      <c r="C121">
        <v>0</v>
      </c>
      <c r="D121">
        <v>1</v>
      </c>
      <c r="E121">
        <v>4</v>
      </c>
      <c r="G121">
        <v>79023872</v>
      </c>
      <c r="H121">
        <v>35.490001679999999</v>
      </c>
      <c r="I121">
        <v>2.380000114</v>
      </c>
      <c r="J121" s="9">
        <f t="shared" si="46"/>
        <v>4711792</v>
      </c>
      <c r="L121" s="9">
        <f t="shared" si="58"/>
        <v>0.98999786000000256</v>
      </c>
      <c r="M121" s="9">
        <f t="shared" si="58"/>
        <v>1.0000228E-2</v>
      </c>
      <c r="N121" s="29">
        <f t="shared" si="35"/>
        <v>80686731.25</v>
      </c>
      <c r="O121" s="30">
        <f t="shared" si="36"/>
        <v>16.174295619628261</v>
      </c>
      <c r="P121" s="30">
        <f t="shared" si="37"/>
        <v>16.174295619628261</v>
      </c>
      <c r="Q121" s="29">
        <f t="shared" si="38"/>
        <v>24.790001869999998</v>
      </c>
      <c r="R121" s="30">
        <f t="shared" si="39"/>
        <v>0.77227421527091289</v>
      </c>
      <c r="S121" s="30">
        <f t="shared" si="40"/>
        <v>0.77227421527091289</v>
      </c>
      <c r="T121" s="37">
        <f t="shared" si="41"/>
        <v>5.000019E-2</v>
      </c>
      <c r="U121" s="30">
        <f t="shared" si="42"/>
        <v>7.153103237611951E-3</v>
      </c>
      <c r="V121" s="38">
        <f t="shared" si="43"/>
        <v>1.5576383454160082E-3</v>
      </c>
      <c r="W121" s="9">
        <f t="shared" si="53"/>
        <v>439954304</v>
      </c>
      <c r="X121" s="12">
        <f t="shared" si="53"/>
        <v>364.61998372000005</v>
      </c>
      <c r="Y121" s="11">
        <f t="shared" si="53"/>
        <v>1.69999981</v>
      </c>
      <c r="Z121" s="7">
        <f t="shared" si="54"/>
        <v>19995224</v>
      </c>
      <c r="AA121" s="7">
        <f t="shared" si="54"/>
        <v>2.9600028999999992</v>
      </c>
      <c r="AB121" s="7">
        <f t="shared" si="54"/>
        <v>1.0000228E-2</v>
      </c>
    </row>
    <row r="122" spans="1:28" x14ac:dyDescent="0.25">
      <c r="A122" s="2">
        <v>118</v>
      </c>
      <c r="B122">
        <v>2</v>
      </c>
      <c r="C122">
        <v>0</v>
      </c>
      <c r="D122">
        <v>1</v>
      </c>
      <c r="E122">
        <v>5</v>
      </c>
      <c r="G122">
        <v>73634256</v>
      </c>
      <c r="H122">
        <v>34.97000122</v>
      </c>
      <c r="I122">
        <v>2.380000114</v>
      </c>
      <c r="J122" s="9">
        <f t="shared" si="46"/>
        <v>5389616</v>
      </c>
      <c r="L122" s="9">
        <f t="shared" si="58"/>
        <v>0.52000045999999855</v>
      </c>
      <c r="M122" s="9">
        <f t="shared" si="58"/>
        <v>0</v>
      </c>
      <c r="N122" s="29">
        <f t="shared" si="35"/>
        <v>75889950.25</v>
      </c>
      <c r="O122" s="30">
        <f t="shared" si="36"/>
        <v>11.214573997931383</v>
      </c>
      <c r="P122" s="30">
        <f t="shared" si="37"/>
        <v>11.214573997931383</v>
      </c>
      <c r="Q122" s="29">
        <f t="shared" si="38"/>
        <v>24.820001600000001</v>
      </c>
      <c r="R122" s="30">
        <f t="shared" si="39"/>
        <v>0.81510681540958208</v>
      </c>
      <c r="S122" s="30">
        <f t="shared" si="40"/>
        <v>0.81510681540958208</v>
      </c>
      <c r="T122" s="37">
        <f t="shared" si="41"/>
        <v>5.000019E-2</v>
      </c>
      <c r="U122" s="30">
        <f t="shared" si="42"/>
        <v>7.153103237611951E-3</v>
      </c>
      <c r="V122" s="38">
        <f t="shared" si="43"/>
        <v>1.6420424260074999E-3</v>
      </c>
      <c r="W122" s="9">
        <f t="shared" ref="W122:Y137" si="59">ABS(G122-G101)</f>
        <v>409990544</v>
      </c>
      <c r="X122" s="12">
        <f t="shared" si="59"/>
        <v>333.26998897999999</v>
      </c>
      <c r="Y122" s="11">
        <f t="shared" si="59"/>
        <v>1.69999981</v>
      </c>
      <c r="Z122" s="7">
        <f t="shared" si="54"/>
        <v>18710280</v>
      </c>
      <c r="AA122" s="7">
        <f t="shared" si="54"/>
        <v>2.9500007600000018</v>
      </c>
      <c r="AB122" s="7">
        <f t="shared" si="54"/>
        <v>1.0000228E-2</v>
      </c>
    </row>
    <row r="123" spans="1:28" x14ac:dyDescent="0.25">
      <c r="A123" s="2">
        <v>119</v>
      </c>
      <c r="B123">
        <v>2</v>
      </c>
      <c r="C123">
        <v>0</v>
      </c>
      <c r="D123">
        <v>1</v>
      </c>
      <c r="E123">
        <v>6</v>
      </c>
      <c r="G123">
        <v>61052064</v>
      </c>
      <c r="H123">
        <v>32.47000122</v>
      </c>
      <c r="I123">
        <v>2.380000114</v>
      </c>
      <c r="J123" s="9">
        <f t="shared" si="46"/>
        <v>12582192</v>
      </c>
      <c r="L123" s="9">
        <f t="shared" si="58"/>
        <v>2.5</v>
      </c>
      <c r="M123" s="9">
        <f t="shared" si="58"/>
        <v>0</v>
      </c>
      <c r="N123" s="29">
        <f t="shared" si="35"/>
        <v>65403017</v>
      </c>
      <c r="O123" s="30">
        <f t="shared" si="36"/>
        <v>5.0106277099905849</v>
      </c>
      <c r="P123" s="30">
        <f t="shared" si="37"/>
        <v>5.0106277099905849</v>
      </c>
      <c r="Q123" s="29">
        <f t="shared" si="38"/>
        <v>24.270001411000003</v>
      </c>
      <c r="R123" s="30">
        <f t="shared" si="39"/>
        <v>0.98658544619160427</v>
      </c>
      <c r="S123" s="30">
        <f t="shared" si="40"/>
        <v>0.98658544619160427</v>
      </c>
      <c r="T123" s="37">
        <f t="shared" si="41"/>
        <v>5.000019E-2</v>
      </c>
      <c r="U123" s="30">
        <f t="shared" si="42"/>
        <v>7.153103237611951E-3</v>
      </c>
      <c r="V123" s="38">
        <f t="shared" si="43"/>
        <v>2.0325280961235206E-3</v>
      </c>
      <c r="W123" s="9">
        <f t="shared" si="59"/>
        <v>332282304</v>
      </c>
      <c r="X123" s="12">
        <f t="shared" si="59"/>
        <v>273.80999757999996</v>
      </c>
      <c r="Y123" s="11">
        <f t="shared" si="59"/>
        <v>1.7100000390000001</v>
      </c>
      <c r="Z123" s="7">
        <f t="shared" si="54"/>
        <v>15946436</v>
      </c>
      <c r="AA123" s="7">
        <f t="shared" si="54"/>
        <v>2.8800010699999987</v>
      </c>
      <c r="AB123" s="7">
        <f t="shared" si="54"/>
        <v>1.0000228E-2</v>
      </c>
    </row>
    <row r="124" spans="1:28" x14ac:dyDescent="0.25">
      <c r="A124" s="2">
        <v>120</v>
      </c>
      <c r="B124">
        <v>2</v>
      </c>
      <c r="C124">
        <v>0</v>
      </c>
      <c r="D124">
        <v>2</v>
      </c>
      <c r="E124">
        <v>0</v>
      </c>
      <c r="G124">
        <v>334719808</v>
      </c>
      <c r="H124">
        <v>65.410003660000001</v>
      </c>
      <c r="I124">
        <v>2.4900000100000002</v>
      </c>
      <c r="N124" s="29">
        <f t="shared" si="35"/>
        <v>256007392</v>
      </c>
      <c r="O124" s="30">
        <f t="shared" si="36"/>
        <v>1.0841465891903679</v>
      </c>
      <c r="P124" s="30">
        <f t="shared" si="37"/>
        <v>2.1682931783807358</v>
      </c>
      <c r="Q124" s="29">
        <f t="shared" si="38"/>
        <v>30.33000183</v>
      </c>
      <c r="R124" s="30">
        <f t="shared" si="39"/>
        <v>0.28819840600333285</v>
      </c>
      <c r="S124" s="30">
        <f t="shared" si="40"/>
        <v>0.5763968120066657</v>
      </c>
      <c r="T124" s="37">
        <f t="shared" si="41"/>
        <v>0.12000012400000015</v>
      </c>
      <c r="U124" s="30">
        <f t="shared" si="42"/>
        <v>1.6877655382863333E-2</v>
      </c>
      <c r="V124" s="38">
        <f t="shared" si="43"/>
        <v>2.280503947928864E-3</v>
      </c>
      <c r="W124" s="9">
        <f t="shared" si="59"/>
        <v>1282907712</v>
      </c>
      <c r="X124" s="12">
        <f t="shared" si="59"/>
        <v>10065.40023766</v>
      </c>
      <c r="Y124" s="11">
        <f t="shared" si="59"/>
        <v>1.8399999139999998</v>
      </c>
      <c r="Z124" s="7">
        <f t="shared" si="54"/>
        <v>73967344</v>
      </c>
      <c r="AA124" s="7">
        <f t="shared" si="54"/>
        <v>4.2200050300000029</v>
      </c>
      <c r="AB124" s="7">
        <f t="shared" si="54"/>
        <v>1.9999981000000222E-2</v>
      </c>
    </row>
    <row r="125" spans="1:28" x14ac:dyDescent="0.25">
      <c r="A125" s="2">
        <v>121</v>
      </c>
      <c r="B125">
        <v>2</v>
      </c>
      <c r="C125">
        <v>0</v>
      </c>
      <c r="D125">
        <v>2</v>
      </c>
      <c r="E125">
        <v>1</v>
      </c>
      <c r="G125">
        <v>343250240</v>
      </c>
      <c r="H125">
        <v>67.559997559999999</v>
      </c>
      <c r="I125">
        <v>2.4900000100000002</v>
      </c>
      <c r="J125" s="9">
        <f t="shared" ref="J125" si="60">ABS(G125-G124)</f>
        <v>8530432</v>
      </c>
      <c r="L125" s="9">
        <f t="shared" ref="L125:M130" si="61">ABS(H125-H124)</f>
        <v>2.1499938999999983</v>
      </c>
      <c r="M125" s="9">
        <f t="shared" si="61"/>
        <v>0</v>
      </c>
      <c r="N125" s="29">
        <f t="shared" si="35"/>
        <v>261548936</v>
      </c>
      <c r="O125" s="30">
        <f t="shared" si="36"/>
        <v>1.0670940902811865</v>
      </c>
      <c r="P125" s="30">
        <f t="shared" si="37"/>
        <v>2.134188180562373</v>
      </c>
      <c r="Q125" s="29">
        <f t="shared" si="38"/>
        <v>31.709999089999997</v>
      </c>
      <c r="R125" s="30">
        <f t="shared" si="39"/>
        <v>0.29483961360589328</v>
      </c>
      <c r="S125" s="30">
        <f t="shared" si="40"/>
        <v>0.58967922721178656</v>
      </c>
      <c r="T125" s="37">
        <f t="shared" si="41"/>
        <v>0.12000012400000015</v>
      </c>
      <c r="U125" s="30">
        <f t="shared" si="42"/>
        <v>1.6877655382863333E-2</v>
      </c>
      <c r="V125" s="38">
        <f t="shared" si="43"/>
        <v>2.231522624292786E-3</v>
      </c>
      <c r="W125" s="9">
        <f t="shared" si="59"/>
        <v>1263776832</v>
      </c>
      <c r="X125" s="12">
        <f t="shared" si="59"/>
        <v>10067.550231560001</v>
      </c>
      <c r="Y125" s="11">
        <f t="shared" si="59"/>
        <v>1.8399999139999998</v>
      </c>
      <c r="Z125" s="7">
        <f t="shared" si="54"/>
        <v>74457792</v>
      </c>
      <c r="AA125" s="7">
        <f t="shared" si="54"/>
        <v>4.3199958800000005</v>
      </c>
      <c r="AB125" s="7">
        <f t="shared" si="54"/>
        <v>1.9999981000000222E-2</v>
      </c>
    </row>
    <row r="126" spans="1:28" x14ac:dyDescent="0.25">
      <c r="A126" s="2">
        <v>122</v>
      </c>
      <c r="B126">
        <v>2</v>
      </c>
      <c r="C126">
        <v>0</v>
      </c>
      <c r="D126">
        <v>2</v>
      </c>
      <c r="E126">
        <v>2</v>
      </c>
      <c r="G126">
        <v>338756512</v>
      </c>
      <c r="H126">
        <v>66.430000309999997</v>
      </c>
      <c r="I126">
        <v>2.4900000100000002</v>
      </c>
      <c r="J126" s="9">
        <f t="shared" si="49"/>
        <v>4493728</v>
      </c>
      <c r="L126" s="9">
        <f t="shared" si="61"/>
        <v>1.1299972500000024</v>
      </c>
      <c r="M126" s="9">
        <f t="shared" si="61"/>
        <v>0</v>
      </c>
      <c r="N126" s="29">
        <f t="shared" si="35"/>
        <v>258749584</v>
      </c>
      <c r="O126" s="30">
        <f t="shared" si="36"/>
        <v>1.0780299092765233</v>
      </c>
      <c r="P126" s="30">
        <f t="shared" si="37"/>
        <v>2.1560598185530466</v>
      </c>
      <c r="Q126" s="29">
        <f t="shared" si="38"/>
        <v>30.979999549999995</v>
      </c>
      <c r="R126" s="30">
        <f t="shared" si="39"/>
        <v>0.29130229323771289</v>
      </c>
      <c r="S126" s="30">
        <f t="shared" si="40"/>
        <v>0.58260458647542579</v>
      </c>
      <c r="T126" s="37">
        <f t="shared" si="41"/>
        <v>0.12000012400000015</v>
      </c>
      <c r="U126" s="30">
        <f t="shared" si="42"/>
        <v>1.6877655382863333E-2</v>
      </c>
      <c r="V126" s="38">
        <f t="shared" si="43"/>
        <v>2.2567018604110959E-3</v>
      </c>
      <c r="W126" s="9">
        <f t="shared" si="59"/>
        <v>1274969440</v>
      </c>
      <c r="X126" s="12">
        <f t="shared" si="59"/>
        <v>10066.420234310001</v>
      </c>
      <c r="Y126" s="11">
        <f t="shared" si="59"/>
        <v>1.8399999139999998</v>
      </c>
      <c r="Z126" s="7">
        <f t="shared" ref="Z126:AB141" si="62">ABS(G126-G21)</f>
        <v>74275968</v>
      </c>
      <c r="AA126" s="7">
        <f t="shared" si="62"/>
        <v>4.2700004599999986</v>
      </c>
      <c r="AB126" s="7">
        <f t="shared" si="62"/>
        <v>1.9999981000000222E-2</v>
      </c>
    </row>
    <row r="127" spans="1:28" x14ac:dyDescent="0.25">
      <c r="A127" s="2">
        <v>123</v>
      </c>
      <c r="B127">
        <v>2</v>
      </c>
      <c r="C127">
        <v>0</v>
      </c>
      <c r="D127">
        <v>2</v>
      </c>
      <c r="E127">
        <v>3</v>
      </c>
      <c r="G127">
        <v>349171808</v>
      </c>
      <c r="H127">
        <v>69.879997250000002</v>
      </c>
      <c r="I127">
        <v>2.4900000100000002</v>
      </c>
      <c r="J127" s="9">
        <f t="shared" si="49"/>
        <v>10415296</v>
      </c>
      <c r="L127" s="9">
        <f t="shared" si="61"/>
        <v>3.4499969400000055</v>
      </c>
      <c r="M127" s="9">
        <f t="shared" si="61"/>
        <v>0</v>
      </c>
      <c r="N127" s="29">
        <f t="shared" si="35"/>
        <v>265436144</v>
      </c>
      <c r="O127" s="30">
        <f t="shared" si="36"/>
        <v>1.0566431367483593</v>
      </c>
      <c r="P127" s="30">
        <f t="shared" si="37"/>
        <v>2.1132862734967186</v>
      </c>
      <c r="Q127" s="29">
        <f t="shared" si="38"/>
        <v>33.399997710000001</v>
      </c>
      <c r="R127" s="30">
        <f t="shared" si="39"/>
        <v>0.30519004140316391</v>
      </c>
      <c r="S127" s="30">
        <f t="shared" si="40"/>
        <v>0.61038008280632783</v>
      </c>
      <c r="T127" s="37">
        <f t="shared" si="41"/>
        <v>0.12000012400000015</v>
      </c>
      <c r="U127" s="30">
        <f t="shared" si="42"/>
        <v>1.6877655382863333E-2</v>
      </c>
      <c r="V127" s="38">
        <f t="shared" si="43"/>
        <v>2.1929847498749931E-3</v>
      </c>
      <c r="W127" s="9">
        <f t="shared" si="59"/>
        <v>1212463008</v>
      </c>
      <c r="X127" s="12">
        <f t="shared" si="59"/>
        <v>10069.870231250001</v>
      </c>
      <c r="Y127" s="11">
        <f t="shared" si="59"/>
        <v>1.8399999139999998</v>
      </c>
      <c r="Z127" s="7">
        <f t="shared" si="62"/>
        <v>73945504</v>
      </c>
      <c r="AA127" s="7">
        <f t="shared" si="62"/>
        <v>4.4399948100000017</v>
      </c>
      <c r="AB127" s="7">
        <f t="shared" si="62"/>
        <v>9.9999909999999304E-3</v>
      </c>
    </row>
    <row r="128" spans="1:28" x14ac:dyDescent="0.25">
      <c r="A128" s="2">
        <v>124</v>
      </c>
      <c r="B128">
        <v>2</v>
      </c>
      <c r="C128">
        <v>0</v>
      </c>
      <c r="D128">
        <v>2</v>
      </c>
      <c r="E128">
        <v>4</v>
      </c>
      <c r="G128">
        <v>332415168</v>
      </c>
      <c r="H128">
        <v>68.61000061</v>
      </c>
      <c r="I128">
        <v>2.4900000100000002</v>
      </c>
      <c r="J128" s="9">
        <f t="shared" si="49"/>
        <v>16756640</v>
      </c>
      <c r="L128" s="9">
        <f t="shared" si="61"/>
        <v>1.2699966400000022</v>
      </c>
      <c r="M128" s="9">
        <f t="shared" si="61"/>
        <v>0</v>
      </c>
      <c r="N128" s="29">
        <f t="shared" si="35"/>
        <v>253391296</v>
      </c>
      <c r="O128" s="30">
        <f t="shared" si="36"/>
        <v>1.0688386078238905</v>
      </c>
      <c r="P128" s="30">
        <f t="shared" si="37"/>
        <v>2.137677215647781</v>
      </c>
      <c r="Q128" s="29">
        <f t="shared" si="38"/>
        <v>33.119998930000001</v>
      </c>
      <c r="R128" s="30">
        <f t="shared" si="39"/>
        <v>0.31107351706761976</v>
      </c>
      <c r="S128" s="30">
        <f t="shared" si="40"/>
        <v>0.62214703413523953</v>
      </c>
      <c r="T128" s="37">
        <f t="shared" si="41"/>
        <v>0.10999989600000015</v>
      </c>
      <c r="U128" s="30">
        <f t="shared" si="42"/>
        <v>1.5406147161218181E-2</v>
      </c>
      <c r="V128" s="38">
        <f t="shared" si="43"/>
        <v>2.0663077072021175E-3</v>
      </c>
      <c r="W128" s="9">
        <f t="shared" si="59"/>
        <v>1091519680</v>
      </c>
      <c r="X128" s="12">
        <f t="shared" si="59"/>
        <v>10068.600234610001</v>
      </c>
      <c r="Y128" s="11">
        <f t="shared" si="59"/>
        <v>1.8399999139999998</v>
      </c>
      <c r="Z128" s="7">
        <f t="shared" si="62"/>
        <v>69260000</v>
      </c>
      <c r="AA128" s="7">
        <f t="shared" si="62"/>
        <v>4.410003660000001</v>
      </c>
      <c r="AB128" s="7">
        <f t="shared" si="62"/>
        <v>9.9999909999999304E-3</v>
      </c>
    </row>
    <row r="129" spans="1:28" x14ac:dyDescent="0.25">
      <c r="A129" s="2">
        <v>125</v>
      </c>
      <c r="B129">
        <v>2</v>
      </c>
      <c r="C129">
        <v>0</v>
      </c>
      <c r="D129">
        <v>2</v>
      </c>
      <c r="E129">
        <v>5</v>
      </c>
      <c r="G129">
        <v>313335904</v>
      </c>
      <c r="H129">
        <v>68.589996339999999</v>
      </c>
      <c r="I129">
        <v>2.4900000100000002</v>
      </c>
      <c r="J129" s="9">
        <f t="shared" si="49"/>
        <v>19079264</v>
      </c>
      <c r="L129" s="9">
        <f t="shared" si="61"/>
        <v>2.0004270000001156E-2</v>
      </c>
      <c r="M129" s="9">
        <f t="shared" si="61"/>
        <v>0</v>
      </c>
      <c r="N129" s="29">
        <f t="shared" si="35"/>
        <v>239701648</v>
      </c>
      <c r="O129" s="30">
        <f t="shared" si="36"/>
        <v>1.0851002464577537</v>
      </c>
      <c r="P129" s="30">
        <f t="shared" si="37"/>
        <v>2.1702004929155074</v>
      </c>
      <c r="Q129" s="29">
        <f t="shared" si="38"/>
        <v>33.619995119999999</v>
      </c>
      <c r="R129" s="30">
        <f t="shared" si="39"/>
        <v>0.32046510291771729</v>
      </c>
      <c r="S129" s="30">
        <f t="shared" si="40"/>
        <v>0.64093020583543459</v>
      </c>
      <c r="T129" s="37">
        <f t="shared" si="41"/>
        <v>0.10999989600000015</v>
      </c>
      <c r="U129" s="30">
        <f t="shared" si="42"/>
        <v>1.5406147161218181E-2</v>
      </c>
      <c r="V129" s="38">
        <f t="shared" si="43"/>
        <v>2.0970334984735267E-3</v>
      </c>
      <c r="W129" s="9">
        <f t="shared" si="59"/>
        <v>1019541664</v>
      </c>
      <c r="X129" s="12">
        <f t="shared" si="59"/>
        <v>10068.580230340001</v>
      </c>
      <c r="Y129" s="11">
        <f t="shared" si="59"/>
        <v>1.8399999139999998</v>
      </c>
      <c r="Z129" s="7">
        <f t="shared" si="62"/>
        <v>64772832</v>
      </c>
      <c r="AA129" s="7">
        <f t="shared" si="62"/>
        <v>4.4199981699999995</v>
      </c>
      <c r="AB129" s="7">
        <f t="shared" si="62"/>
        <v>9.9999909999999304E-3</v>
      </c>
    </row>
    <row r="130" spans="1:28" x14ac:dyDescent="0.25">
      <c r="A130" s="2">
        <v>126</v>
      </c>
      <c r="B130">
        <v>2</v>
      </c>
      <c r="C130">
        <v>0</v>
      </c>
      <c r="D130">
        <v>2</v>
      </c>
      <c r="E130">
        <v>6</v>
      </c>
      <c r="G130">
        <v>269283200</v>
      </c>
      <c r="H130">
        <v>64.800003050000001</v>
      </c>
      <c r="I130">
        <v>2.5</v>
      </c>
      <c r="J130" s="9">
        <f t="shared" si="49"/>
        <v>44052704</v>
      </c>
      <c r="L130" s="9">
        <f t="shared" si="61"/>
        <v>3.7899932899999982</v>
      </c>
      <c r="M130" s="9">
        <f t="shared" si="61"/>
        <v>9.9999899999998476E-3</v>
      </c>
      <c r="N130" s="29">
        <f t="shared" si="35"/>
        <v>208231136</v>
      </c>
      <c r="O130" s="30">
        <f t="shared" si="36"/>
        <v>1.1369047026267067</v>
      </c>
      <c r="P130" s="30">
        <f t="shared" si="37"/>
        <v>2.2738094052534135</v>
      </c>
      <c r="Q130" s="29">
        <f t="shared" si="38"/>
        <v>32.33000183</v>
      </c>
      <c r="R130" s="30">
        <f t="shared" si="39"/>
        <v>0.33189611554522347</v>
      </c>
      <c r="S130" s="30">
        <f t="shared" si="40"/>
        <v>0.66379223109044694</v>
      </c>
      <c r="T130" s="37">
        <f t="shared" si="41"/>
        <v>0.119999886</v>
      </c>
      <c r="U130" s="30">
        <f t="shared" si="42"/>
        <v>1.6806705917661986E-2</v>
      </c>
      <c r="V130" s="38">
        <f t="shared" si="43"/>
        <v>2.463810317035769E-3</v>
      </c>
      <c r="W130" s="9">
        <f t="shared" si="59"/>
        <v>819645184</v>
      </c>
      <c r="X130" s="12">
        <f t="shared" si="59"/>
        <v>10064.790237050001</v>
      </c>
      <c r="Y130" s="11">
        <f t="shared" si="59"/>
        <v>1.829999924</v>
      </c>
      <c r="Z130" s="7">
        <f t="shared" si="62"/>
        <v>55016352</v>
      </c>
      <c r="AA130" s="7">
        <f t="shared" si="62"/>
        <v>4.2500038100000026</v>
      </c>
      <c r="AB130" s="7">
        <f t="shared" si="62"/>
        <v>1.9999980999999778E-2</v>
      </c>
    </row>
    <row r="131" spans="1:28" x14ac:dyDescent="0.25">
      <c r="A131" s="2">
        <v>127</v>
      </c>
      <c r="B131">
        <v>2</v>
      </c>
      <c r="C131">
        <v>1</v>
      </c>
      <c r="D131">
        <v>0</v>
      </c>
      <c r="E131">
        <v>0</v>
      </c>
      <c r="G131">
        <v>-1881338</v>
      </c>
      <c r="H131">
        <v>10.510000229999999</v>
      </c>
      <c r="I131">
        <v>2.329999924</v>
      </c>
      <c r="N131" s="29">
        <f t="shared" si="35"/>
        <v>336601146</v>
      </c>
      <c r="O131" s="30">
        <f t="shared" si="36"/>
        <v>0.33520687846474861</v>
      </c>
      <c r="P131" s="30">
        <f t="shared" si="37"/>
        <v>1.1173562615491621</v>
      </c>
      <c r="Q131" s="29">
        <f t="shared" si="38"/>
        <v>54.900003429999998</v>
      </c>
      <c r="R131" s="30">
        <f t="shared" si="39"/>
        <v>0.27977373672773975</v>
      </c>
      <c r="S131" s="30">
        <f t="shared" si="40"/>
        <v>0.9325791224257991</v>
      </c>
      <c r="T131" s="37">
        <f t="shared" si="41"/>
        <v>0.16000008600000015</v>
      </c>
      <c r="U131" s="30">
        <f t="shared" si="42"/>
        <v>2.1419020797513993E-2</v>
      </c>
      <c r="V131" s="38">
        <f t="shared" si="43"/>
        <v>2.7179003728148316E-3</v>
      </c>
      <c r="W131" s="9">
        <f t="shared" si="59"/>
        <v>328369.5</v>
      </c>
      <c r="X131" s="12">
        <f t="shared" si="59"/>
        <v>0.30000018999999867</v>
      </c>
      <c r="Y131" s="11">
        <f t="shared" si="59"/>
        <v>0</v>
      </c>
      <c r="Z131" s="7">
        <f t="shared" si="62"/>
        <v>2527309.5</v>
      </c>
      <c r="AA131" s="7">
        <f t="shared" si="62"/>
        <v>2.4499998099999996</v>
      </c>
      <c r="AB131" s="7">
        <f t="shared" si="62"/>
        <v>0</v>
      </c>
    </row>
    <row r="132" spans="1:28" x14ac:dyDescent="0.25">
      <c r="A132" s="2">
        <v>128</v>
      </c>
      <c r="B132">
        <v>2</v>
      </c>
      <c r="C132">
        <v>1</v>
      </c>
      <c r="D132">
        <v>0</v>
      </c>
      <c r="E132">
        <v>1</v>
      </c>
      <c r="G132">
        <v>-1138116.5</v>
      </c>
      <c r="H132">
        <v>11.10999966</v>
      </c>
      <c r="I132">
        <v>2.329999924</v>
      </c>
      <c r="J132" s="9">
        <f t="shared" ref="J132" si="63">ABS(G132-G131)</f>
        <v>743221.5</v>
      </c>
      <c r="L132" s="9">
        <f t="shared" ref="L132:M137" si="64">ABS(H132-H131)</f>
        <v>0.59999943000000044</v>
      </c>
      <c r="M132" s="9">
        <f t="shared" si="64"/>
        <v>0</v>
      </c>
      <c r="N132" s="29">
        <f t="shared" si="35"/>
        <v>344388356.5</v>
      </c>
      <c r="O132" s="30">
        <f t="shared" si="36"/>
        <v>0.33443856829738366</v>
      </c>
      <c r="P132" s="30">
        <f t="shared" si="37"/>
        <v>1.1147952276579456</v>
      </c>
      <c r="Q132" s="29">
        <f t="shared" si="38"/>
        <v>56.4499979</v>
      </c>
      <c r="R132" s="30">
        <f t="shared" si="39"/>
        <v>0.27851786036486453</v>
      </c>
      <c r="S132" s="30">
        <f t="shared" si="40"/>
        <v>0.92839286788288167</v>
      </c>
      <c r="T132" s="37">
        <f t="shared" si="41"/>
        <v>0.16000008600000015</v>
      </c>
      <c r="U132" s="30">
        <f t="shared" si="42"/>
        <v>2.1419020797513993E-2</v>
      </c>
      <c r="V132" s="38">
        <f t="shared" si="43"/>
        <v>2.6314073379805716E-3</v>
      </c>
      <c r="W132" s="9">
        <f t="shared" si="59"/>
        <v>332648.12999999989</v>
      </c>
      <c r="X132" s="12">
        <f t="shared" si="59"/>
        <v>0.26999950999999989</v>
      </c>
      <c r="Y132" s="11">
        <f t="shared" si="59"/>
        <v>0</v>
      </c>
      <c r="Z132" s="7">
        <f t="shared" si="62"/>
        <v>2631412</v>
      </c>
      <c r="AA132" s="7">
        <f t="shared" si="62"/>
        <v>2.3999996219999993</v>
      </c>
      <c r="AB132" s="7">
        <f t="shared" si="62"/>
        <v>0</v>
      </c>
    </row>
    <row r="133" spans="1:28" x14ac:dyDescent="0.25">
      <c r="A133" s="2">
        <v>129</v>
      </c>
      <c r="B133">
        <v>2</v>
      </c>
      <c r="C133">
        <v>1</v>
      </c>
      <c r="D133">
        <v>0</v>
      </c>
      <c r="E133">
        <v>2</v>
      </c>
      <c r="G133">
        <v>-1521047</v>
      </c>
      <c r="H133">
        <v>10.80000019</v>
      </c>
      <c r="I133">
        <v>2.329999924</v>
      </c>
      <c r="J133" s="9">
        <f t="shared" si="46"/>
        <v>382930.5</v>
      </c>
      <c r="L133" s="9">
        <f t="shared" si="64"/>
        <v>0.30999946999999928</v>
      </c>
      <c r="M133" s="9">
        <f t="shared" si="64"/>
        <v>0</v>
      </c>
      <c r="N133" s="29">
        <f t="shared" si="35"/>
        <v>340277559</v>
      </c>
      <c r="O133" s="30">
        <f t="shared" si="36"/>
        <v>0.33483002977666748</v>
      </c>
      <c r="P133" s="30">
        <f t="shared" si="37"/>
        <v>1.1161000992555581</v>
      </c>
      <c r="Q133" s="29">
        <f t="shared" si="38"/>
        <v>55.630000119999998</v>
      </c>
      <c r="R133" s="30">
        <f t="shared" si="39"/>
        <v>0.27914094967333491</v>
      </c>
      <c r="S133" s="30">
        <f t="shared" si="40"/>
        <v>0.93046983224444968</v>
      </c>
      <c r="T133" s="37">
        <f t="shared" si="41"/>
        <v>0.16000008600000015</v>
      </c>
      <c r="U133" s="30">
        <f t="shared" si="42"/>
        <v>2.1419020797513993E-2</v>
      </c>
      <c r="V133" s="38">
        <f t="shared" si="43"/>
        <v>2.6761684856799832E-3</v>
      </c>
      <c r="W133" s="9">
        <f t="shared" si="59"/>
        <v>327232.37999999989</v>
      </c>
      <c r="X133" s="12">
        <f t="shared" si="59"/>
        <v>0.27000046000000033</v>
      </c>
      <c r="Y133" s="11">
        <f t="shared" si="59"/>
        <v>0</v>
      </c>
      <c r="Z133" s="7">
        <f t="shared" si="62"/>
        <v>2573668.75</v>
      </c>
      <c r="AA133" s="7">
        <f t="shared" si="62"/>
        <v>2.4099998469999999</v>
      </c>
      <c r="AB133" s="7">
        <f t="shared" si="62"/>
        <v>0</v>
      </c>
    </row>
    <row r="134" spans="1:28" x14ac:dyDescent="0.25">
      <c r="A134" s="2">
        <v>130</v>
      </c>
      <c r="B134">
        <v>2</v>
      </c>
      <c r="C134">
        <v>1</v>
      </c>
      <c r="D134">
        <v>0</v>
      </c>
      <c r="E134">
        <v>3</v>
      </c>
      <c r="G134">
        <v>-510412.94</v>
      </c>
      <c r="H134">
        <v>11.630000109999999</v>
      </c>
      <c r="I134">
        <v>2.329999924</v>
      </c>
      <c r="J134" s="9">
        <f t="shared" si="46"/>
        <v>1010634.06</v>
      </c>
      <c r="L134" s="9">
        <f t="shared" si="64"/>
        <v>0.82999991999999878</v>
      </c>
      <c r="M134" s="9">
        <f t="shared" si="64"/>
        <v>0</v>
      </c>
      <c r="N134" s="29">
        <f t="shared" si="35"/>
        <v>349682220.94</v>
      </c>
      <c r="O134" s="30">
        <f t="shared" si="36"/>
        <v>0.3338205938817756</v>
      </c>
      <c r="P134" s="30">
        <f t="shared" si="37"/>
        <v>1.1127353129392521</v>
      </c>
      <c r="Q134" s="29">
        <f t="shared" si="38"/>
        <v>58.249997140000005</v>
      </c>
      <c r="R134" s="30">
        <f t="shared" si="39"/>
        <v>0.27785727643733321</v>
      </c>
      <c r="S134" s="30">
        <f t="shared" si="40"/>
        <v>0.92619092145777726</v>
      </c>
      <c r="T134" s="37">
        <f t="shared" si="41"/>
        <v>0.16000008600000015</v>
      </c>
      <c r="U134" s="30">
        <f t="shared" si="42"/>
        <v>2.1419020797513993E-2</v>
      </c>
      <c r="V134" s="38">
        <f t="shared" si="43"/>
        <v>2.5440452250924134E-3</v>
      </c>
      <c r="W134" s="9">
        <f t="shared" si="59"/>
        <v>326887.37000000005</v>
      </c>
      <c r="X134" s="12">
        <f t="shared" si="59"/>
        <v>0.2700004499999995</v>
      </c>
      <c r="Y134" s="11">
        <f t="shared" si="59"/>
        <v>0</v>
      </c>
      <c r="Z134" s="7">
        <f t="shared" si="62"/>
        <v>2712233.31</v>
      </c>
      <c r="AA134" s="7">
        <f t="shared" si="62"/>
        <v>2.3900003389999984</v>
      </c>
      <c r="AB134" s="7">
        <f t="shared" si="62"/>
        <v>0</v>
      </c>
    </row>
    <row r="135" spans="1:28" x14ac:dyDescent="0.25">
      <c r="A135" s="2">
        <v>131</v>
      </c>
      <c r="B135">
        <v>2</v>
      </c>
      <c r="C135">
        <v>1</v>
      </c>
      <c r="D135">
        <v>0</v>
      </c>
      <c r="E135">
        <v>4</v>
      </c>
      <c r="G135">
        <v>-1349674.25</v>
      </c>
      <c r="H135">
        <v>10.93999958</v>
      </c>
      <c r="I135">
        <v>2.329999924</v>
      </c>
      <c r="J135" s="9">
        <f t="shared" si="46"/>
        <v>839261.31</v>
      </c>
      <c r="L135" s="9">
        <f t="shared" si="64"/>
        <v>0.69000052999999895</v>
      </c>
      <c r="M135" s="9">
        <f t="shared" si="64"/>
        <v>0</v>
      </c>
      <c r="N135" s="29">
        <f t="shared" si="35"/>
        <v>333764842.25</v>
      </c>
      <c r="O135" s="30">
        <f t="shared" si="36"/>
        <v>0.33468673552425465</v>
      </c>
      <c r="P135" s="30">
        <f t="shared" si="37"/>
        <v>1.1156224517475155</v>
      </c>
      <c r="Q135" s="29">
        <f t="shared" si="38"/>
        <v>57.670001030000002</v>
      </c>
      <c r="R135" s="30">
        <f t="shared" si="39"/>
        <v>0.28018267753614973</v>
      </c>
      <c r="S135" s="30">
        <f t="shared" si="40"/>
        <v>0.9339422584538325</v>
      </c>
      <c r="T135" s="37">
        <f t="shared" si="41"/>
        <v>0.16000008600000015</v>
      </c>
      <c r="U135" s="30">
        <f t="shared" si="42"/>
        <v>2.1419020797513993E-2</v>
      </c>
      <c r="V135" s="38">
        <f t="shared" si="43"/>
        <v>2.5911364488083407E-3</v>
      </c>
      <c r="W135" s="9">
        <f t="shared" si="59"/>
        <v>313185</v>
      </c>
      <c r="X135" s="12">
        <f t="shared" si="59"/>
        <v>0.23999977000000072</v>
      </c>
      <c r="Y135" s="11">
        <f t="shared" si="59"/>
        <v>0</v>
      </c>
      <c r="Z135" s="7">
        <f t="shared" si="62"/>
        <v>2602578.75</v>
      </c>
      <c r="AA135" s="7">
        <f t="shared" si="62"/>
        <v>2.3699998850000004</v>
      </c>
      <c r="AB135" s="7">
        <f t="shared" si="62"/>
        <v>0</v>
      </c>
    </row>
    <row r="136" spans="1:28" x14ac:dyDescent="0.25">
      <c r="A136" s="2">
        <v>132</v>
      </c>
      <c r="B136">
        <v>2</v>
      </c>
      <c r="C136">
        <v>1</v>
      </c>
      <c r="D136">
        <v>0</v>
      </c>
      <c r="E136">
        <v>5</v>
      </c>
      <c r="G136">
        <v>-1982487.88</v>
      </c>
      <c r="H136">
        <v>10.40999985</v>
      </c>
      <c r="I136">
        <v>2.329999924</v>
      </c>
      <c r="J136" s="9">
        <f t="shared" si="46"/>
        <v>632813.62999999989</v>
      </c>
      <c r="L136" s="9">
        <f t="shared" si="64"/>
        <v>0.52999973000000011</v>
      </c>
      <c r="M136" s="9">
        <f t="shared" si="64"/>
        <v>0</v>
      </c>
      <c r="N136" s="29">
        <f t="shared" si="35"/>
        <v>315318391.88</v>
      </c>
      <c r="O136" s="30">
        <f t="shared" si="36"/>
        <v>0.33544234569003195</v>
      </c>
      <c r="P136" s="30">
        <f t="shared" si="37"/>
        <v>1.1181411523001066</v>
      </c>
      <c r="Q136" s="29">
        <f t="shared" si="38"/>
        <v>58.179996490000001</v>
      </c>
      <c r="R136" s="30">
        <f t="shared" si="39"/>
        <v>0.28274286628039397</v>
      </c>
      <c r="S136" s="30">
        <f t="shared" si="40"/>
        <v>0.94247622093464656</v>
      </c>
      <c r="T136" s="37">
        <f t="shared" si="41"/>
        <v>0.16000008600000015</v>
      </c>
      <c r="U136" s="30">
        <f t="shared" si="42"/>
        <v>2.1419020797513993E-2</v>
      </c>
      <c r="V136" s="38">
        <f t="shared" si="43"/>
        <v>2.5918921536617406E-3</v>
      </c>
      <c r="W136" s="9">
        <f t="shared" si="59"/>
        <v>273206.37000000011</v>
      </c>
      <c r="X136" s="12">
        <f t="shared" si="59"/>
        <v>0.26000023000000105</v>
      </c>
      <c r="Y136" s="11">
        <f t="shared" si="59"/>
        <v>0</v>
      </c>
      <c r="Z136" s="7">
        <f t="shared" si="62"/>
        <v>2457768.62</v>
      </c>
      <c r="AA136" s="7">
        <f t="shared" si="62"/>
        <v>2.4200000790000002</v>
      </c>
      <c r="AB136" s="7">
        <f t="shared" si="62"/>
        <v>0</v>
      </c>
    </row>
    <row r="137" spans="1:28" x14ac:dyDescent="0.25">
      <c r="A137" s="2">
        <v>133</v>
      </c>
      <c r="B137">
        <v>2</v>
      </c>
      <c r="C137">
        <v>1</v>
      </c>
      <c r="D137">
        <v>0</v>
      </c>
      <c r="E137">
        <v>6</v>
      </c>
      <c r="G137">
        <v>-4122130.5</v>
      </c>
      <c r="H137">
        <v>8.4499998089999995</v>
      </c>
      <c r="I137">
        <v>2.329999924</v>
      </c>
      <c r="J137" s="9">
        <f t="shared" si="46"/>
        <v>2139642.62</v>
      </c>
      <c r="L137" s="9">
        <f t="shared" si="64"/>
        <v>1.9600000410000007</v>
      </c>
      <c r="M137" s="9">
        <f t="shared" si="64"/>
        <v>0</v>
      </c>
      <c r="N137" s="29">
        <f t="shared" si="35"/>
        <v>273405330.5</v>
      </c>
      <c r="O137" s="30">
        <f t="shared" si="36"/>
        <v>0.33843592978197923</v>
      </c>
      <c r="P137" s="30">
        <f t="shared" si="37"/>
        <v>1.1281197659399307</v>
      </c>
      <c r="Q137" s="29">
        <f t="shared" si="38"/>
        <v>56.350003241000003</v>
      </c>
      <c r="R137" s="30">
        <f t="shared" si="39"/>
        <v>0.28986625817244721</v>
      </c>
      <c r="S137" s="30">
        <f t="shared" si="40"/>
        <v>0.96622086057482404</v>
      </c>
      <c r="T137" s="37">
        <f t="shared" si="41"/>
        <v>0.170000076</v>
      </c>
      <c r="U137" s="30">
        <f t="shared" si="42"/>
        <v>2.2666676799999997E-2</v>
      </c>
      <c r="V137" s="38">
        <f t="shared" si="43"/>
        <v>2.9149531549803424E-3</v>
      </c>
      <c r="W137" s="9">
        <f t="shared" si="59"/>
        <v>228822.5</v>
      </c>
      <c r="X137" s="12">
        <f t="shared" si="59"/>
        <v>0.25</v>
      </c>
      <c r="Y137" s="11">
        <f t="shared" si="59"/>
        <v>0</v>
      </c>
      <c r="Z137" s="7">
        <f t="shared" si="62"/>
        <v>2139067</v>
      </c>
      <c r="AA137" s="7">
        <f t="shared" si="62"/>
        <v>97.519999499000008</v>
      </c>
      <c r="AB137" s="7">
        <f t="shared" si="62"/>
        <v>0</v>
      </c>
    </row>
    <row r="138" spans="1:28" x14ac:dyDescent="0.25">
      <c r="A138" s="2">
        <v>134</v>
      </c>
      <c r="B138">
        <v>2</v>
      </c>
      <c r="C138">
        <v>1</v>
      </c>
      <c r="D138">
        <v>1</v>
      </c>
      <c r="E138">
        <v>0</v>
      </c>
      <c r="G138">
        <v>86522368</v>
      </c>
      <c r="H138">
        <v>36.83000183</v>
      </c>
      <c r="I138">
        <v>2.369999886</v>
      </c>
      <c r="N138" s="29">
        <f t="shared" si="35"/>
        <v>88403706</v>
      </c>
      <c r="O138" s="30">
        <f t="shared" si="36"/>
        <v>15.663268376017493</v>
      </c>
      <c r="P138" s="30">
        <f t="shared" si="37"/>
        <v>15.663268376017493</v>
      </c>
      <c r="Q138" s="29">
        <f t="shared" si="38"/>
        <v>26.320001600000001</v>
      </c>
      <c r="R138" s="30">
        <f t="shared" si="39"/>
        <v>0.83476057798969883</v>
      </c>
      <c r="S138" s="30">
        <f t="shared" si="40"/>
        <v>0.83476057798969883</v>
      </c>
      <c r="T138" s="37">
        <f t="shared" si="41"/>
        <v>3.9999962E-2</v>
      </c>
      <c r="U138" s="30">
        <f t="shared" si="42"/>
        <v>5.7224554084005482E-3</v>
      </c>
      <c r="V138" s="38">
        <f t="shared" si="43"/>
        <v>1.268631814926865E-3</v>
      </c>
      <c r="W138" s="9">
        <f t="shared" ref="W138:Y153" si="65">ABS(G138-G117)</f>
        <v>7809952</v>
      </c>
      <c r="X138" s="12">
        <f t="shared" si="65"/>
        <v>1.75</v>
      </c>
      <c r="Y138" s="11">
        <f t="shared" si="65"/>
        <v>0</v>
      </c>
      <c r="Z138" s="7">
        <f t="shared" si="62"/>
        <v>23037892</v>
      </c>
      <c r="AA138" s="7">
        <f t="shared" si="62"/>
        <v>3.2600021399999974</v>
      </c>
      <c r="AB138" s="7">
        <f t="shared" si="62"/>
        <v>0</v>
      </c>
    </row>
    <row r="139" spans="1:28" x14ac:dyDescent="0.25">
      <c r="A139" s="2">
        <v>135</v>
      </c>
      <c r="B139">
        <v>2</v>
      </c>
      <c r="C139">
        <v>1</v>
      </c>
      <c r="D139">
        <v>1</v>
      </c>
      <c r="E139">
        <v>1</v>
      </c>
      <c r="G139">
        <v>89549272</v>
      </c>
      <c r="H139">
        <v>37.619998930000001</v>
      </c>
      <c r="I139">
        <v>2.369999886</v>
      </c>
      <c r="J139" s="9">
        <f t="shared" ref="J139" si="66">ABS(G139-G138)</f>
        <v>3026904</v>
      </c>
      <c r="L139" s="9">
        <f t="shared" ref="L139:M144" si="67">ABS(H139-H138)</f>
        <v>0.78999710000000078</v>
      </c>
      <c r="M139" s="9">
        <f t="shared" si="67"/>
        <v>0</v>
      </c>
      <c r="N139" s="29">
        <f t="shared" si="35"/>
        <v>90687388.5</v>
      </c>
      <c r="O139" s="30">
        <f t="shared" si="36"/>
        <v>26.560663605175744</v>
      </c>
      <c r="P139" s="30">
        <f t="shared" si="37"/>
        <v>26.560663605175744</v>
      </c>
      <c r="Q139" s="29">
        <f t="shared" si="38"/>
        <v>26.509999270000002</v>
      </c>
      <c r="R139" s="30">
        <f t="shared" si="39"/>
        <v>0.79537954039265324</v>
      </c>
      <c r="S139" s="30">
        <f t="shared" si="40"/>
        <v>0.79537954039265324</v>
      </c>
      <c r="T139" s="37">
        <f t="shared" si="41"/>
        <v>3.9999962E-2</v>
      </c>
      <c r="U139" s="30">
        <f t="shared" si="42"/>
        <v>5.7224554084005482E-3</v>
      </c>
      <c r="V139" s="38">
        <f t="shared" si="43"/>
        <v>1.2001189086145001E-3</v>
      </c>
      <c r="W139" s="9">
        <f t="shared" si="65"/>
        <v>7847968</v>
      </c>
      <c r="X139" s="12">
        <f t="shared" si="65"/>
        <v>1.7700004599999986</v>
      </c>
      <c r="Y139" s="11">
        <f t="shared" si="65"/>
        <v>0</v>
      </c>
      <c r="Z139" s="7">
        <f t="shared" si="62"/>
        <v>23370524</v>
      </c>
      <c r="AA139" s="7">
        <f t="shared" si="62"/>
        <v>3.2700004599999986</v>
      </c>
      <c r="AB139" s="7">
        <f t="shared" si="62"/>
        <v>0</v>
      </c>
    </row>
    <row r="140" spans="1:28" x14ac:dyDescent="0.25">
      <c r="A140" s="2">
        <v>136</v>
      </c>
      <c r="B140">
        <v>2</v>
      </c>
      <c r="C140">
        <v>1</v>
      </c>
      <c r="D140">
        <v>1</v>
      </c>
      <c r="E140">
        <v>2</v>
      </c>
      <c r="G140">
        <v>87834336</v>
      </c>
      <c r="H140">
        <v>37.200000760000002</v>
      </c>
      <c r="I140">
        <v>2.369999886</v>
      </c>
      <c r="J140" s="9">
        <f t="shared" si="49"/>
        <v>1714936</v>
      </c>
      <c r="L140" s="9">
        <f t="shared" si="67"/>
        <v>0.4199981699999995</v>
      </c>
      <c r="M140" s="9">
        <f t="shared" si="67"/>
        <v>0</v>
      </c>
      <c r="N140" s="29">
        <f t="shared" si="35"/>
        <v>89355383</v>
      </c>
      <c r="O140" s="30">
        <f t="shared" si="36"/>
        <v>19.581990343931952</v>
      </c>
      <c r="P140" s="30">
        <f t="shared" si="37"/>
        <v>19.581990343931952</v>
      </c>
      <c r="Q140" s="29">
        <f t="shared" si="38"/>
        <v>26.400000570000003</v>
      </c>
      <c r="R140" s="30">
        <f t="shared" si="39"/>
        <v>0.81481481807270228</v>
      </c>
      <c r="S140" s="30">
        <f t="shared" si="40"/>
        <v>0.81481481807270228</v>
      </c>
      <c r="T140" s="37">
        <f t="shared" si="41"/>
        <v>3.9999962E-2</v>
      </c>
      <c r="U140" s="30">
        <f t="shared" si="42"/>
        <v>5.7224554084005482E-3</v>
      </c>
      <c r="V140" s="38">
        <f t="shared" si="43"/>
        <v>1.2345667066758325E-3</v>
      </c>
      <c r="W140" s="9">
        <f t="shared" si="65"/>
        <v>7827408</v>
      </c>
      <c r="X140" s="12">
        <f t="shared" si="65"/>
        <v>1.75</v>
      </c>
      <c r="Y140" s="11">
        <f t="shared" si="65"/>
        <v>0</v>
      </c>
      <c r="Z140" s="7">
        <f t="shared" si="62"/>
        <v>23166280</v>
      </c>
      <c r="AA140" s="7">
        <f t="shared" si="62"/>
        <v>3.2700004500000048</v>
      </c>
      <c r="AB140" s="7">
        <f t="shared" si="62"/>
        <v>0</v>
      </c>
    </row>
    <row r="141" spans="1:28" x14ac:dyDescent="0.25">
      <c r="A141" s="2">
        <v>137</v>
      </c>
      <c r="B141">
        <v>2</v>
      </c>
      <c r="C141">
        <v>1</v>
      </c>
      <c r="D141">
        <v>1</v>
      </c>
      <c r="E141">
        <v>3</v>
      </c>
      <c r="G141">
        <v>91467216</v>
      </c>
      <c r="H141">
        <v>38.25</v>
      </c>
      <c r="I141">
        <v>2.369999886</v>
      </c>
      <c r="J141" s="9">
        <f t="shared" si="49"/>
        <v>3632880</v>
      </c>
      <c r="L141" s="9">
        <f t="shared" si="67"/>
        <v>1.0499992399999982</v>
      </c>
      <c r="M141" s="9">
        <f t="shared" si="67"/>
        <v>0</v>
      </c>
      <c r="N141" s="29">
        <f t="shared" ref="N141:N204" si="68">ABS(G141-G134)</f>
        <v>91977628.939999998</v>
      </c>
      <c r="O141" s="30">
        <f t="shared" ref="O141:O204" si="69">(N141/ABS(G134))/3</f>
        <v>60.067461547245777</v>
      </c>
      <c r="P141" s="30">
        <f t="shared" ref="P141:P204" si="70">(N141/ABS(G134))/(IF(AND(D141=1,D134=0),(2400-600)/600,IF(AND(D141=2,D134=1),(6000-2400)/2400,IF(AND(D141=0,D134=2),ABS(600-6000)/6000,"Not Valid"))))</f>
        <v>60.067461547245777</v>
      </c>
      <c r="Q141" s="29">
        <f t="shared" ref="Q141:Q204" si="71">ABS(H141-H134)</f>
        <v>26.619999890000003</v>
      </c>
      <c r="R141" s="30">
        <f t="shared" ref="R141:R204" si="72">(Q141/ABS(H134))/3</f>
        <v>0.76296932181771648</v>
      </c>
      <c r="S141" s="30">
        <f t="shared" ref="S141:S204" si="73">(Q141/ABS(H134))/(IF(AND(D141=1,D134=0),(2400-600)/600,IF(AND(D141=2,D134=1),(6000-2400)/2400,IF(AND(D141=0,D134=2),ABS(600-6000)/6000,"Not Valid"))))</f>
        <v>0.76296932181771648</v>
      </c>
      <c r="T141" s="37">
        <f t="shared" ref="T141:T204" si="74">ABS(I141-I134)</f>
        <v>3.9999962E-2</v>
      </c>
      <c r="U141" s="30">
        <f t="shared" ref="U141:U204" si="75">(T141/ABS(I134))/3</f>
        <v>5.7224554084005482E-3</v>
      </c>
      <c r="V141" s="38">
        <f t="shared" ref="V141:V204" si="76">(T141/ABS(H134))/(IF(AND(D141=1,D134=0),(2400-600)/600,IF(AND(D141=2,D134=1),(6000-2400)/2400,IF(AND(D141=0,D134=2),ABS(600-6000)/6000,"Not Valid"))))</f>
        <v>1.1464592038311397E-3</v>
      </c>
      <c r="W141" s="9">
        <f t="shared" si="65"/>
        <v>7731552</v>
      </c>
      <c r="X141" s="12">
        <f t="shared" si="65"/>
        <v>1.7700004599999986</v>
      </c>
      <c r="Y141" s="11">
        <f t="shared" si="65"/>
        <v>0</v>
      </c>
      <c r="Z141" s="7">
        <f t="shared" si="62"/>
        <v>23394968</v>
      </c>
      <c r="AA141" s="7">
        <f t="shared" si="62"/>
        <v>3.2799987799999997</v>
      </c>
      <c r="AB141" s="7">
        <f t="shared" si="62"/>
        <v>0</v>
      </c>
    </row>
    <row r="142" spans="1:28" x14ac:dyDescent="0.25">
      <c r="A142" s="2">
        <v>138</v>
      </c>
      <c r="B142">
        <v>2</v>
      </c>
      <c r="C142">
        <v>1</v>
      </c>
      <c r="D142">
        <v>1</v>
      </c>
      <c r="E142">
        <v>4</v>
      </c>
      <c r="G142">
        <v>86112464</v>
      </c>
      <c r="H142">
        <v>37.180000309999997</v>
      </c>
      <c r="I142">
        <v>2.380000114</v>
      </c>
      <c r="J142" s="9">
        <f t="shared" si="49"/>
        <v>5354752</v>
      </c>
      <c r="L142" s="9">
        <f t="shared" si="67"/>
        <v>1.0699996900000031</v>
      </c>
      <c r="M142" s="9">
        <f t="shared" si="67"/>
        <v>1.0000228E-2</v>
      </c>
      <c r="N142" s="29">
        <f t="shared" si="68"/>
        <v>87462138.25</v>
      </c>
      <c r="O142" s="30">
        <f t="shared" si="69"/>
        <v>21.600801884849869</v>
      </c>
      <c r="P142" s="30">
        <f t="shared" si="70"/>
        <v>21.600801884849869</v>
      </c>
      <c r="Q142" s="29">
        <f t="shared" si="71"/>
        <v>26.240000729999998</v>
      </c>
      <c r="R142" s="30">
        <f t="shared" si="72"/>
        <v>0.79951254531949434</v>
      </c>
      <c r="S142" s="30">
        <f t="shared" si="73"/>
        <v>0.79951254531949434</v>
      </c>
      <c r="T142" s="37">
        <f t="shared" si="74"/>
        <v>5.000019E-2</v>
      </c>
      <c r="U142" s="30">
        <f t="shared" si="75"/>
        <v>7.153103237611951E-3</v>
      </c>
      <c r="V142" s="38">
        <f t="shared" si="76"/>
        <v>1.5234671517236019E-3</v>
      </c>
      <c r="W142" s="9">
        <f t="shared" si="65"/>
        <v>7088592</v>
      </c>
      <c r="X142" s="12">
        <f t="shared" si="65"/>
        <v>1.6899986299999981</v>
      </c>
      <c r="Y142" s="11">
        <f t="shared" si="65"/>
        <v>0</v>
      </c>
      <c r="Z142" s="7">
        <f t="shared" ref="Z142:AB157" si="77">ABS(G142-G37)</f>
        <v>21920680</v>
      </c>
      <c r="AA142" s="7">
        <f t="shared" si="77"/>
        <v>3.2299995499999952</v>
      </c>
      <c r="AB142" s="7">
        <f t="shared" si="77"/>
        <v>1.0000228E-2</v>
      </c>
    </row>
    <row r="143" spans="1:28" x14ac:dyDescent="0.25">
      <c r="A143" s="2">
        <v>139</v>
      </c>
      <c r="B143">
        <v>2</v>
      </c>
      <c r="C143">
        <v>1</v>
      </c>
      <c r="D143">
        <v>1</v>
      </c>
      <c r="E143">
        <v>5</v>
      </c>
      <c r="G143">
        <v>80276064</v>
      </c>
      <c r="H143">
        <v>36.659999849999998</v>
      </c>
      <c r="I143">
        <v>2.380000114</v>
      </c>
      <c r="J143" s="9">
        <f t="shared" si="49"/>
        <v>5836400</v>
      </c>
      <c r="L143" s="9">
        <f t="shared" si="67"/>
        <v>0.52000045999999855</v>
      </c>
      <c r="M143" s="9">
        <f t="shared" si="67"/>
        <v>0</v>
      </c>
      <c r="N143" s="29">
        <f t="shared" si="68"/>
        <v>82258551.879999995</v>
      </c>
      <c r="O143" s="30">
        <f t="shared" si="69"/>
        <v>13.830862508644104</v>
      </c>
      <c r="P143" s="30">
        <f t="shared" si="70"/>
        <v>13.830862508644104</v>
      </c>
      <c r="Q143" s="29">
        <f t="shared" si="71"/>
        <v>26.25</v>
      </c>
      <c r="R143" s="30">
        <f t="shared" si="72"/>
        <v>0.84053795639583984</v>
      </c>
      <c r="S143" s="30">
        <f t="shared" si="73"/>
        <v>0.84053795639583984</v>
      </c>
      <c r="T143" s="37">
        <f t="shared" si="74"/>
        <v>5.000019E-2</v>
      </c>
      <c r="U143" s="30">
        <f t="shared" si="75"/>
        <v>7.153103237611951E-3</v>
      </c>
      <c r="V143" s="38">
        <f t="shared" si="76"/>
        <v>1.6010307627429986E-3</v>
      </c>
      <c r="W143" s="9">
        <f t="shared" si="65"/>
        <v>6641808</v>
      </c>
      <c r="X143" s="12">
        <f t="shared" si="65"/>
        <v>1.6899986299999981</v>
      </c>
      <c r="Y143" s="11">
        <f t="shared" si="65"/>
        <v>0</v>
      </c>
      <c r="Z143" s="7">
        <f t="shared" si="77"/>
        <v>20535056</v>
      </c>
      <c r="AA143" s="7">
        <f t="shared" si="77"/>
        <v>3.2000007699999955</v>
      </c>
      <c r="AB143" s="7">
        <f t="shared" si="77"/>
        <v>1.0000228E-2</v>
      </c>
    </row>
    <row r="144" spans="1:28" x14ac:dyDescent="0.25">
      <c r="A144" s="2">
        <v>140</v>
      </c>
      <c r="B144">
        <v>2</v>
      </c>
      <c r="C144">
        <v>1</v>
      </c>
      <c r="D144">
        <v>1</v>
      </c>
      <c r="E144">
        <v>6</v>
      </c>
      <c r="G144">
        <v>66540980</v>
      </c>
      <c r="H144">
        <v>33.97000122</v>
      </c>
      <c r="I144">
        <v>2.380000114</v>
      </c>
      <c r="J144" s="9">
        <f t="shared" si="49"/>
        <v>13735084</v>
      </c>
      <c r="L144" s="9">
        <f t="shared" si="67"/>
        <v>2.6899986299999981</v>
      </c>
      <c r="M144" s="9">
        <f t="shared" si="67"/>
        <v>0</v>
      </c>
      <c r="N144" s="29">
        <f t="shared" si="68"/>
        <v>70663110.5</v>
      </c>
      <c r="O144" s="30">
        <f t="shared" si="69"/>
        <v>5.7141252967771559</v>
      </c>
      <c r="P144" s="30">
        <f t="shared" si="70"/>
        <v>5.7141252967771559</v>
      </c>
      <c r="Q144" s="29">
        <f t="shared" si="71"/>
        <v>25.520001411000003</v>
      </c>
      <c r="R144" s="30">
        <f t="shared" si="72"/>
        <v>1.006706192814306</v>
      </c>
      <c r="S144" s="30">
        <f t="shared" si="73"/>
        <v>1.006706192814306</v>
      </c>
      <c r="T144" s="37">
        <f t="shared" si="74"/>
        <v>5.000019E-2</v>
      </c>
      <c r="U144" s="30">
        <f t="shared" si="75"/>
        <v>7.153103237611951E-3</v>
      </c>
      <c r="V144" s="38">
        <f t="shared" si="76"/>
        <v>1.9723941274233468E-3</v>
      </c>
      <c r="W144" s="9">
        <f t="shared" si="65"/>
        <v>5488916</v>
      </c>
      <c r="X144" s="12">
        <f t="shared" si="65"/>
        <v>1.5</v>
      </c>
      <c r="Y144" s="11">
        <f t="shared" si="65"/>
        <v>0</v>
      </c>
      <c r="Z144" s="7">
        <f t="shared" si="77"/>
        <v>17458440</v>
      </c>
      <c r="AA144" s="7">
        <f t="shared" si="77"/>
        <v>3.1000003800000009</v>
      </c>
      <c r="AB144" s="7">
        <f t="shared" si="77"/>
        <v>1.0000228E-2</v>
      </c>
    </row>
    <row r="145" spans="1:28" x14ac:dyDescent="0.25">
      <c r="A145" s="2">
        <v>141</v>
      </c>
      <c r="B145">
        <v>2</v>
      </c>
      <c r="C145">
        <v>1</v>
      </c>
      <c r="D145">
        <v>2</v>
      </c>
      <c r="E145">
        <v>0</v>
      </c>
      <c r="G145">
        <v>367135040</v>
      </c>
      <c r="H145">
        <v>72.599998470000003</v>
      </c>
      <c r="I145">
        <v>2.4900000100000002</v>
      </c>
      <c r="N145" s="29">
        <f t="shared" si="68"/>
        <v>280612672</v>
      </c>
      <c r="O145" s="30">
        <f t="shared" si="69"/>
        <v>1.0810794884085158</v>
      </c>
      <c r="P145" s="30">
        <f t="shared" si="70"/>
        <v>2.1621589768170315</v>
      </c>
      <c r="Q145" s="29">
        <f t="shared" si="71"/>
        <v>35.769996640000002</v>
      </c>
      <c r="R145" s="30">
        <f t="shared" si="72"/>
        <v>0.32373965845478575</v>
      </c>
      <c r="S145" s="30">
        <f t="shared" si="73"/>
        <v>0.6474793169095715</v>
      </c>
      <c r="T145" s="37">
        <f t="shared" si="74"/>
        <v>0.12000012400000015</v>
      </c>
      <c r="U145" s="30">
        <f t="shared" si="75"/>
        <v>1.6877655382863333E-2</v>
      </c>
      <c r="V145" s="38">
        <f t="shared" si="76"/>
        <v>2.1721444119370756E-3</v>
      </c>
      <c r="W145" s="9">
        <f t="shared" si="65"/>
        <v>32415232</v>
      </c>
      <c r="X145" s="12">
        <f t="shared" si="65"/>
        <v>7.1899948100000017</v>
      </c>
      <c r="Y145" s="11">
        <f t="shared" si="65"/>
        <v>0</v>
      </c>
      <c r="Z145" s="7">
        <f t="shared" si="77"/>
        <v>80035968</v>
      </c>
      <c r="AA145" s="7">
        <f t="shared" si="77"/>
        <v>5.0899963300000053</v>
      </c>
      <c r="AB145" s="7">
        <f t="shared" si="77"/>
        <v>1.9999981000000222E-2</v>
      </c>
    </row>
    <row r="146" spans="1:28" x14ac:dyDescent="0.25">
      <c r="A146" s="2">
        <v>142</v>
      </c>
      <c r="B146">
        <v>2</v>
      </c>
      <c r="C146">
        <v>1</v>
      </c>
      <c r="D146">
        <v>2</v>
      </c>
      <c r="E146">
        <v>1</v>
      </c>
      <c r="G146">
        <v>375752704</v>
      </c>
      <c r="H146">
        <v>75</v>
      </c>
      <c r="I146">
        <v>2.4900000100000002</v>
      </c>
      <c r="J146" s="9">
        <f t="shared" ref="J146" si="78">ABS(G146-G145)</f>
        <v>8617664</v>
      </c>
      <c r="L146" s="9">
        <f t="shared" ref="L146:M151" si="79">ABS(H146-H145)</f>
        <v>2.4000015299999973</v>
      </c>
      <c r="M146" s="9">
        <f t="shared" si="79"/>
        <v>0</v>
      </c>
      <c r="N146" s="29">
        <f t="shared" si="68"/>
        <v>286203432</v>
      </c>
      <c r="O146" s="30">
        <f t="shared" si="69"/>
        <v>1.0653480689379584</v>
      </c>
      <c r="P146" s="30">
        <f t="shared" si="70"/>
        <v>2.1306961378759168</v>
      </c>
      <c r="Q146" s="29">
        <f t="shared" si="71"/>
        <v>37.380001069999999</v>
      </c>
      <c r="R146" s="30">
        <f t="shared" si="72"/>
        <v>0.33120682379207783</v>
      </c>
      <c r="S146" s="30">
        <f t="shared" si="73"/>
        <v>0.66241364758415566</v>
      </c>
      <c r="T146" s="37">
        <f t="shared" si="74"/>
        <v>0.12000012400000015</v>
      </c>
      <c r="U146" s="30">
        <f t="shared" si="75"/>
        <v>1.6877655382863333E-2</v>
      </c>
      <c r="V146" s="38">
        <f t="shared" si="76"/>
        <v>2.1265307002141048E-3</v>
      </c>
      <c r="W146" s="9">
        <f t="shared" si="65"/>
        <v>32502464</v>
      </c>
      <c r="X146" s="12">
        <f t="shared" si="65"/>
        <v>7.4400024400000007</v>
      </c>
      <c r="Y146" s="11">
        <f t="shared" si="65"/>
        <v>0</v>
      </c>
      <c r="Z146" s="7">
        <f t="shared" si="77"/>
        <v>80619776</v>
      </c>
      <c r="AA146" s="7">
        <f t="shared" si="77"/>
        <v>5.2300033599999978</v>
      </c>
      <c r="AB146" s="7">
        <f t="shared" si="77"/>
        <v>1.9999981000000222E-2</v>
      </c>
    </row>
    <row r="147" spans="1:28" x14ac:dyDescent="0.25">
      <c r="A147" s="2">
        <v>143</v>
      </c>
      <c r="B147">
        <v>2</v>
      </c>
      <c r="C147">
        <v>1</v>
      </c>
      <c r="D147">
        <v>2</v>
      </c>
      <c r="E147">
        <v>2</v>
      </c>
      <c r="G147">
        <v>371182688</v>
      </c>
      <c r="H147">
        <v>73.760002139999997</v>
      </c>
      <c r="I147">
        <v>2.4900000100000002</v>
      </c>
      <c r="J147" s="9">
        <f t="shared" si="46"/>
        <v>4570016</v>
      </c>
      <c r="L147" s="9">
        <f t="shared" si="79"/>
        <v>1.2399978600000026</v>
      </c>
      <c r="M147" s="9">
        <f t="shared" si="79"/>
        <v>0</v>
      </c>
      <c r="N147" s="29">
        <f t="shared" si="68"/>
        <v>283348352</v>
      </c>
      <c r="O147" s="30">
        <f t="shared" si="69"/>
        <v>1.0753135387357704</v>
      </c>
      <c r="P147" s="30">
        <f t="shared" si="70"/>
        <v>2.1506270774715408</v>
      </c>
      <c r="Q147" s="29">
        <f t="shared" si="71"/>
        <v>36.560001379999996</v>
      </c>
      <c r="R147" s="30">
        <f t="shared" si="72"/>
        <v>0.32759857198096104</v>
      </c>
      <c r="S147" s="30">
        <f t="shared" si="73"/>
        <v>0.65519714396192208</v>
      </c>
      <c r="T147" s="37">
        <f t="shared" si="74"/>
        <v>0.12000012400000015</v>
      </c>
      <c r="U147" s="30">
        <f t="shared" si="75"/>
        <v>1.6877655382863333E-2</v>
      </c>
      <c r="V147" s="38">
        <f t="shared" si="76"/>
        <v>2.1505398126950674E-3</v>
      </c>
      <c r="W147" s="9">
        <f t="shared" si="65"/>
        <v>32426176</v>
      </c>
      <c r="X147" s="12">
        <f t="shared" si="65"/>
        <v>7.3300018300000005</v>
      </c>
      <c r="Y147" s="11">
        <f t="shared" si="65"/>
        <v>0</v>
      </c>
      <c r="Z147" s="7">
        <f t="shared" si="77"/>
        <v>80358976</v>
      </c>
      <c r="AA147" s="7">
        <f t="shared" si="77"/>
        <v>5.1500015299999973</v>
      </c>
      <c r="AB147" s="7">
        <f t="shared" si="77"/>
        <v>1.9999981000000222E-2</v>
      </c>
    </row>
    <row r="148" spans="1:28" x14ac:dyDescent="0.25">
      <c r="A148" s="2">
        <v>144</v>
      </c>
      <c r="B148">
        <v>2</v>
      </c>
      <c r="C148">
        <v>1</v>
      </c>
      <c r="D148">
        <v>2</v>
      </c>
      <c r="E148">
        <v>3</v>
      </c>
      <c r="G148">
        <v>381005760</v>
      </c>
      <c r="H148">
        <v>77.540000919999997</v>
      </c>
      <c r="I148">
        <v>2.4900000100000002</v>
      </c>
      <c r="J148" s="9">
        <f t="shared" si="46"/>
        <v>9823072</v>
      </c>
      <c r="L148" s="9">
        <f t="shared" si="79"/>
        <v>3.7799987799999997</v>
      </c>
      <c r="M148" s="9">
        <f t="shared" si="79"/>
        <v>0</v>
      </c>
      <c r="N148" s="29">
        <f t="shared" si="68"/>
        <v>289538544</v>
      </c>
      <c r="O148" s="30">
        <f t="shared" si="69"/>
        <v>1.0551632838589948</v>
      </c>
      <c r="P148" s="30">
        <f t="shared" si="70"/>
        <v>2.1103265677179897</v>
      </c>
      <c r="Q148" s="29">
        <f t="shared" si="71"/>
        <v>39.290000919999997</v>
      </c>
      <c r="R148" s="30">
        <f t="shared" si="72"/>
        <v>0.34239652217864919</v>
      </c>
      <c r="S148" s="30">
        <f t="shared" si="73"/>
        <v>0.68479304435729837</v>
      </c>
      <c r="T148" s="37">
        <f t="shared" si="74"/>
        <v>0.12000012400000015</v>
      </c>
      <c r="U148" s="30">
        <f t="shared" si="75"/>
        <v>1.6877655382863333E-2</v>
      </c>
      <c r="V148" s="38">
        <f t="shared" si="76"/>
        <v>2.0915054291939027E-3</v>
      </c>
      <c r="W148" s="9">
        <f t="shared" si="65"/>
        <v>31833952</v>
      </c>
      <c r="X148" s="12">
        <f t="shared" si="65"/>
        <v>7.6600036699999947</v>
      </c>
      <c r="Y148" s="11">
        <f t="shared" si="65"/>
        <v>0</v>
      </c>
      <c r="Z148" s="7">
        <f t="shared" si="77"/>
        <v>80340480</v>
      </c>
      <c r="AA148" s="7">
        <f t="shared" si="77"/>
        <v>5.4100036699999947</v>
      </c>
      <c r="AB148" s="7">
        <f t="shared" si="77"/>
        <v>1.9999981000000222E-2</v>
      </c>
    </row>
    <row r="149" spans="1:28" x14ac:dyDescent="0.25">
      <c r="A149" s="2">
        <v>145</v>
      </c>
      <c r="B149">
        <v>2</v>
      </c>
      <c r="C149">
        <v>1</v>
      </c>
      <c r="D149">
        <v>2</v>
      </c>
      <c r="E149">
        <v>4</v>
      </c>
      <c r="G149">
        <v>361215680</v>
      </c>
      <c r="H149">
        <v>75.730003359999998</v>
      </c>
      <c r="I149">
        <v>2.4900000100000002</v>
      </c>
      <c r="J149" s="9">
        <f t="shared" si="46"/>
        <v>19790080</v>
      </c>
      <c r="L149" s="9">
        <f t="shared" si="79"/>
        <v>1.8099975599999993</v>
      </c>
      <c r="M149" s="9">
        <f t="shared" si="79"/>
        <v>0</v>
      </c>
      <c r="N149" s="29">
        <f t="shared" si="68"/>
        <v>275103216</v>
      </c>
      <c r="O149" s="30">
        <f t="shared" si="69"/>
        <v>1.0648989442457482</v>
      </c>
      <c r="P149" s="30">
        <f t="shared" si="70"/>
        <v>2.1297978884914963</v>
      </c>
      <c r="Q149" s="29">
        <f t="shared" si="71"/>
        <v>38.550003050000001</v>
      </c>
      <c r="R149" s="30">
        <f t="shared" si="72"/>
        <v>0.34561594700176773</v>
      </c>
      <c r="S149" s="30">
        <f t="shared" si="73"/>
        <v>0.69123189400353546</v>
      </c>
      <c r="T149" s="37">
        <f t="shared" si="74"/>
        <v>0.10999989600000015</v>
      </c>
      <c r="U149" s="30">
        <f t="shared" si="75"/>
        <v>1.5406147161218181E-2</v>
      </c>
      <c r="V149" s="38">
        <f t="shared" si="76"/>
        <v>1.9723847065239602E-3</v>
      </c>
      <c r="W149" s="9">
        <f t="shared" si="65"/>
        <v>28800512</v>
      </c>
      <c r="X149" s="12">
        <f t="shared" si="65"/>
        <v>7.1200027499999976</v>
      </c>
      <c r="Y149" s="11">
        <f t="shared" si="65"/>
        <v>0</v>
      </c>
      <c r="Z149" s="7">
        <f t="shared" si="77"/>
        <v>75062752</v>
      </c>
      <c r="AA149" s="7">
        <f t="shared" si="77"/>
        <v>5.3000030500000008</v>
      </c>
      <c r="AB149" s="7">
        <f t="shared" si="77"/>
        <v>9.9999909999999304E-3</v>
      </c>
    </row>
    <row r="150" spans="1:28" x14ac:dyDescent="0.25">
      <c r="A150" s="2">
        <v>146</v>
      </c>
      <c r="B150">
        <v>2</v>
      </c>
      <c r="C150">
        <v>1</v>
      </c>
      <c r="D150">
        <v>2</v>
      </c>
      <c r="E150">
        <v>5</v>
      </c>
      <c r="G150">
        <v>340191744</v>
      </c>
      <c r="H150">
        <v>75.680000309999997</v>
      </c>
      <c r="I150">
        <v>2.4900000100000002</v>
      </c>
      <c r="J150" s="9">
        <f t="shared" si="46"/>
        <v>21023936</v>
      </c>
      <c r="L150" s="9">
        <f t="shared" si="79"/>
        <v>5.0003050000000826E-2</v>
      </c>
      <c r="M150" s="9">
        <f t="shared" si="79"/>
        <v>0</v>
      </c>
      <c r="N150" s="29">
        <f t="shared" si="68"/>
        <v>259915680</v>
      </c>
      <c r="O150" s="30">
        <f t="shared" si="69"/>
        <v>1.079257697537338</v>
      </c>
      <c r="P150" s="30">
        <f t="shared" si="70"/>
        <v>2.158515395074676</v>
      </c>
      <c r="Q150" s="29">
        <f t="shared" si="71"/>
        <v>39.020000459999999</v>
      </c>
      <c r="R150" s="30">
        <f t="shared" si="72"/>
        <v>0.35479178595795874</v>
      </c>
      <c r="S150" s="30">
        <f t="shared" si="73"/>
        <v>0.70958357191591748</v>
      </c>
      <c r="T150" s="37">
        <f t="shared" si="74"/>
        <v>0.10999989600000015</v>
      </c>
      <c r="U150" s="30">
        <f t="shared" si="75"/>
        <v>1.5406147161218181E-2</v>
      </c>
      <c r="V150" s="38">
        <f t="shared" si="76"/>
        <v>2.0003618194231964E-3</v>
      </c>
      <c r="W150" s="9">
        <f t="shared" si="65"/>
        <v>26855840</v>
      </c>
      <c r="X150" s="12">
        <f t="shared" si="65"/>
        <v>7.0900039699999979</v>
      </c>
      <c r="Y150" s="11">
        <f t="shared" si="65"/>
        <v>0</v>
      </c>
      <c r="Z150" s="7">
        <f t="shared" si="77"/>
        <v>70327040</v>
      </c>
      <c r="AA150" s="7">
        <f t="shared" si="77"/>
        <v>5.3099975599999993</v>
      </c>
      <c r="AB150" s="7">
        <f t="shared" si="77"/>
        <v>9.9999909999999304E-3</v>
      </c>
    </row>
    <row r="151" spans="1:28" x14ac:dyDescent="0.25">
      <c r="A151" s="2">
        <v>147</v>
      </c>
      <c r="B151">
        <v>2</v>
      </c>
      <c r="C151">
        <v>1</v>
      </c>
      <c r="D151">
        <v>2</v>
      </c>
      <c r="E151">
        <v>6</v>
      </c>
      <c r="G151">
        <v>291047488</v>
      </c>
      <c r="H151">
        <v>70.86000061</v>
      </c>
      <c r="I151">
        <v>2.5</v>
      </c>
      <c r="J151" s="9">
        <f t="shared" si="46"/>
        <v>49144256</v>
      </c>
      <c r="L151" s="9">
        <f t="shared" si="79"/>
        <v>4.8199996999999968</v>
      </c>
      <c r="M151" s="9">
        <f t="shared" si="79"/>
        <v>9.9999899999998476E-3</v>
      </c>
      <c r="N151" s="29">
        <f t="shared" si="68"/>
        <v>224506508</v>
      </c>
      <c r="O151" s="30">
        <f t="shared" si="69"/>
        <v>1.1246528480143614</v>
      </c>
      <c r="P151" s="30">
        <f t="shared" si="70"/>
        <v>2.2493056960287228</v>
      </c>
      <c r="Q151" s="29">
        <f t="shared" si="71"/>
        <v>36.88999939</v>
      </c>
      <c r="R151" s="30">
        <f t="shared" si="72"/>
        <v>0.36198604715073168</v>
      </c>
      <c r="S151" s="30">
        <f t="shared" si="73"/>
        <v>0.72397209430146336</v>
      </c>
      <c r="T151" s="37">
        <f t="shared" si="74"/>
        <v>0.119999886</v>
      </c>
      <c r="U151" s="30">
        <f t="shared" si="75"/>
        <v>1.6806705917661986E-2</v>
      </c>
      <c r="V151" s="38">
        <f t="shared" si="76"/>
        <v>2.3550168126841181E-3</v>
      </c>
      <c r="W151" s="9">
        <f t="shared" si="65"/>
        <v>21764288</v>
      </c>
      <c r="X151" s="12">
        <f t="shared" si="65"/>
        <v>6.0599975599999993</v>
      </c>
      <c r="Y151" s="11">
        <f t="shared" si="65"/>
        <v>0</v>
      </c>
      <c r="Z151" s="7">
        <f t="shared" si="77"/>
        <v>59606016</v>
      </c>
      <c r="AA151" s="7">
        <f t="shared" si="77"/>
        <v>5.0200042700000012</v>
      </c>
      <c r="AB151" s="7">
        <f t="shared" si="77"/>
        <v>1.9999980999999778E-2</v>
      </c>
    </row>
    <row r="152" spans="1:28" x14ac:dyDescent="0.25">
      <c r="A152" s="2">
        <v>148</v>
      </c>
      <c r="B152">
        <v>2</v>
      </c>
      <c r="C152">
        <v>2</v>
      </c>
      <c r="D152">
        <v>0</v>
      </c>
      <c r="E152">
        <v>0</v>
      </c>
      <c r="G152">
        <v>40856456</v>
      </c>
      <c r="H152">
        <v>34.61000061</v>
      </c>
      <c r="I152">
        <v>2.880000114</v>
      </c>
      <c r="N152" s="29">
        <f t="shared" si="68"/>
        <v>326278584</v>
      </c>
      <c r="O152" s="30">
        <f t="shared" si="69"/>
        <v>0.29623848489100907</v>
      </c>
      <c r="P152" s="30">
        <f t="shared" si="70"/>
        <v>0.98746161630336349</v>
      </c>
      <c r="Q152" s="29">
        <f t="shared" si="71"/>
        <v>37.989997860000003</v>
      </c>
      <c r="R152" s="30">
        <f t="shared" si="72"/>
        <v>0.17442607282192688</v>
      </c>
      <c r="S152" s="30">
        <f t="shared" si="73"/>
        <v>0.58142024273975623</v>
      </c>
      <c r="T152" s="37">
        <f t="shared" si="74"/>
        <v>0.39000010399999985</v>
      </c>
      <c r="U152" s="30">
        <f t="shared" si="75"/>
        <v>5.2208849054047435E-2</v>
      </c>
      <c r="V152" s="38">
        <f t="shared" si="76"/>
        <v>5.9687804135140875E-3</v>
      </c>
      <c r="W152" s="9">
        <f t="shared" si="65"/>
        <v>42737794</v>
      </c>
      <c r="X152" s="12">
        <f t="shared" si="65"/>
        <v>24.100000380000001</v>
      </c>
      <c r="Y152" s="11">
        <f t="shared" si="65"/>
        <v>0.55000019</v>
      </c>
      <c r="Z152" s="7">
        <f t="shared" si="77"/>
        <v>7786724</v>
      </c>
      <c r="AA152" s="7">
        <f t="shared" si="77"/>
        <v>2.5800018300000005</v>
      </c>
      <c r="AB152" s="7">
        <f t="shared" si="77"/>
        <v>0</v>
      </c>
    </row>
    <row r="153" spans="1:28" x14ac:dyDescent="0.25">
      <c r="A153" s="2">
        <v>149</v>
      </c>
      <c r="B153">
        <v>2</v>
      </c>
      <c r="C153">
        <v>2</v>
      </c>
      <c r="D153">
        <v>0</v>
      </c>
      <c r="E153">
        <v>1</v>
      </c>
      <c r="G153">
        <v>42185176</v>
      </c>
      <c r="H153">
        <v>35.630001069999999</v>
      </c>
      <c r="I153">
        <v>2.880000114</v>
      </c>
      <c r="J153" s="9">
        <f t="shared" ref="J153" si="80">ABS(G153-G152)</f>
        <v>1328720</v>
      </c>
      <c r="L153" s="9">
        <f t="shared" ref="L153:M158" si="81">ABS(H153-H152)</f>
        <v>1.0200004599999986</v>
      </c>
      <c r="M153" s="9">
        <f t="shared" si="81"/>
        <v>0</v>
      </c>
      <c r="N153" s="29">
        <f t="shared" si="68"/>
        <v>333567528</v>
      </c>
      <c r="O153" s="30">
        <f t="shared" si="69"/>
        <v>0.2959105145920653</v>
      </c>
      <c r="P153" s="30">
        <f t="shared" si="70"/>
        <v>0.98636838197355092</v>
      </c>
      <c r="Q153" s="29">
        <f t="shared" si="71"/>
        <v>39.369998930000001</v>
      </c>
      <c r="R153" s="30">
        <f t="shared" si="72"/>
        <v>0.17497777302222225</v>
      </c>
      <c r="S153" s="30">
        <f t="shared" si="73"/>
        <v>0.58325924340740742</v>
      </c>
      <c r="T153" s="37">
        <f t="shared" si="74"/>
        <v>0.39000010399999985</v>
      </c>
      <c r="U153" s="30">
        <f t="shared" si="75"/>
        <v>5.2208849054047435E-2</v>
      </c>
      <c r="V153" s="38">
        <f t="shared" si="76"/>
        <v>5.7777793185185165E-3</v>
      </c>
      <c r="W153" s="9">
        <f t="shared" si="65"/>
        <v>43323292.5</v>
      </c>
      <c r="X153" s="12">
        <f t="shared" si="65"/>
        <v>24.520001409999999</v>
      </c>
      <c r="Y153" s="11">
        <f t="shared" si="65"/>
        <v>0.55000019</v>
      </c>
      <c r="Z153" s="7">
        <f t="shared" si="77"/>
        <v>7883800</v>
      </c>
      <c r="AA153" s="7">
        <f t="shared" si="77"/>
        <v>2.6300010699999987</v>
      </c>
      <c r="AB153" s="7">
        <f t="shared" si="77"/>
        <v>0</v>
      </c>
    </row>
    <row r="154" spans="1:28" x14ac:dyDescent="0.25">
      <c r="A154" s="2">
        <v>150</v>
      </c>
      <c r="B154">
        <v>2</v>
      </c>
      <c r="C154">
        <v>2</v>
      </c>
      <c r="D154">
        <v>0</v>
      </c>
      <c r="E154">
        <v>2</v>
      </c>
      <c r="G154">
        <v>41395372</v>
      </c>
      <c r="H154">
        <v>35.11000061</v>
      </c>
      <c r="I154">
        <v>2.880000114</v>
      </c>
      <c r="J154" s="9">
        <f t="shared" si="49"/>
        <v>789804</v>
      </c>
      <c r="L154" s="9">
        <f t="shared" si="81"/>
        <v>0.52000045999999855</v>
      </c>
      <c r="M154" s="9">
        <f t="shared" si="81"/>
        <v>0</v>
      </c>
      <c r="N154" s="29">
        <f t="shared" si="68"/>
        <v>329787316</v>
      </c>
      <c r="O154" s="30">
        <f t="shared" si="69"/>
        <v>0.29615903135367488</v>
      </c>
      <c r="P154" s="30">
        <f t="shared" si="70"/>
        <v>0.98719677117891635</v>
      </c>
      <c r="Q154" s="29">
        <f t="shared" si="71"/>
        <v>38.650001529999997</v>
      </c>
      <c r="R154" s="30">
        <f t="shared" si="72"/>
        <v>0.17466558391470965</v>
      </c>
      <c r="S154" s="30">
        <f t="shared" si="73"/>
        <v>0.58221861304903222</v>
      </c>
      <c r="T154" s="37">
        <f t="shared" si="74"/>
        <v>0.39000010399999985</v>
      </c>
      <c r="U154" s="30">
        <f t="shared" si="75"/>
        <v>5.2208849054047435E-2</v>
      </c>
      <c r="V154" s="38">
        <f t="shared" si="76"/>
        <v>5.8749110129688066E-3</v>
      </c>
      <c r="W154" s="9">
        <f t="shared" ref="W154:Y169" si="82">ABS(G154-G133)</f>
        <v>42916419</v>
      </c>
      <c r="X154" s="12">
        <f t="shared" si="82"/>
        <v>24.310000420000001</v>
      </c>
      <c r="Y154" s="11">
        <f t="shared" si="82"/>
        <v>0.55000019</v>
      </c>
      <c r="Z154" s="7">
        <f t="shared" si="77"/>
        <v>7818380</v>
      </c>
      <c r="AA154" s="7">
        <f t="shared" si="77"/>
        <v>2.5800018300000005</v>
      </c>
      <c r="AB154" s="7">
        <f t="shared" si="77"/>
        <v>0</v>
      </c>
    </row>
    <row r="155" spans="1:28" x14ac:dyDescent="0.25">
      <c r="A155" s="2">
        <v>151</v>
      </c>
      <c r="B155">
        <v>2</v>
      </c>
      <c r="C155">
        <v>2</v>
      </c>
      <c r="D155">
        <v>0</v>
      </c>
      <c r="E155">
        <v>3</v>
      </c>
      <c r="G155">
        <v>42700544</v>
      </c>
      <c r="H155">
        <v>36.540000919999997</v>
      </c>
      <c r="I155">
        <v>2.880000114</v>
      </c>
      <c r="J155" s="9">
        <f t="shared" si="49"/>
        <v>1305172</v>
      </c>
      <c r="L155" s="9">
        <f t="shared" si="81"/>
        <v>1.4300003099999969</v>
      </c>
      <c r="M155" s="9">
        <f t="shared" si="81"/>
        <v>0</v>
      </c>
      <c r="N155" s="29">
        <f t="shared" si="68"/>
        <v>338305216</v>
      </c>
      <c r="O155" s="30">
        <f t="shared" si="69"/>
        <v>0.29597559190006295</v>
      </c>
      <c r="P155" s="30">
        <f t="shared" si="70"/>
        <v>0.98658530633354313</v>
      </c>
      <c r="Q155" s="29">
        <f t="shared" si="71"/>
        <v>41</v>
      </c>
      <c r="R155" s="30">
        <f t="shared" si="72"/>
        <v>0.17625311457974982</v>
      </c>
      <c r="S155" s="30">
        <f t="shared" si="73"/>
        <v>0.58751038193249938</v>
      </c>
      <c r="T155" s="37">
        <f t="shared" si="74"/>
        <v>0.39000010399999985</v>
      </c>
      <c r="U155" s="30">
        <f t="shared" si="75"/>
        <v>5.2208849054047435E-2</v>
      </c>
      <c r="V155" s="38">
        <f t="shared" si="76"/>
        <v>5.5885148793842531E-3</v>
      </c>
      <c r="W155" s="9">
        <f t="shared" si="82"/>
        <v>43210956.939999998</v>
      </c>
      <c r="X155" s="12">
        <f t="shared" si="82"/>
        <v>24.91000081</v>
      </c>
      <c r="Y155" s="11">
        <f t="shared" si="82"/>
        <v>0.55000019</v>
      </c>
      <c r="Z155" s="7">
        <f t="shared" si="77"/>
        <v>7859448</v>
      </c>
      <c r="AA155" s="7">
        <f t="shared" si="77"/>
        <v>2.6700019899999958</v>
      </c>
      <c r="AB155" s="7">
        <f t="shared" si="77"/>
        <v>0</v>
      </c>
    </row>
    <row r="156" spans="1:28" x14ac:dyDescent="0.25">
      <c r="A156" s="2">
        <v>152</v>
      </c>
      <c r="B156">
        <v>2</v>
      </c>
      <c r="C156">
        <v>2</v>
      </c>
      <c r="D156">
        <v>0</v>
      </c>
      <c r="E156">
        <v>4</v>
      </c>
      <c r="G156">
        <v>39550100</v>
      </c>
      <c r="H156">
        <v>35.38999939</v>
      </c>
      <c r="I156">
        <v>2.880000114</v>
      </c>
      <c r="J156" s="9">
        <f t="shared" si="49"/>
        <v>3150444</v>
      </c>
      <c r="L156" s="9">
        <f t="shared" si="81"/>
        <v>1.1500015299999973</v>
      </c>
      <c r="M156" s="9">
        <f t="shared" si="81"/>
        <v>0</v>
      </c>
      <c r="N156" s="29">
        <f t="shared" si="68"/>
        <v>321665580</v>
      </c>
      <c r="O156" s="30">
        <f t="shared" si="69"/>
        <v>0.29683611741328614</v>
      </c>
      <c r="P156" s="30">
        <f t="shared" si="70"/>
        <v>0.98945372471095383</v>
      </c>
      <c r="Q156" s="29">
        <f t="shared" si="71"/>
        <v>40.340003969999998</v>
      </c>
      <c r="R156" s="30">
        <f t="shared" si="72"/>
        <v>0.17756064166639698</v>
      </c>
      <c r="S156" s="30">
        <f t="shared" si="73"/>
        <v>0.5918688055546566</v>
      </c>
      <c r="T156" s="37">
        <f t="shared" si="74"/>
        <v>0.39000010399999985</v>
      </c>
      <c r="U156" s="30">
        <f t="shared" si="75"/>
        <v>5.2208849054047435E-2</v>
      </c>
      <c r="V156" s="38">
        <f t="shared" si="76"/>
        <v>5.7220841101635568E-3</v>
      </c>
      <c r="W156" s="9">
        <f t="shared" si="82"/>
        <v>40899774.25</v>
      </c>
      <c r="X156" s="12">
        <f t="shared" si="82"/>
        <v>24.449999810000001</v>
      </c>
      <c r="Y156" s="11">
        <f t="shared" si="82"/>
        <v>0.55000019</v>
      </c>
      <c r="Z156" s="7">
        <f t="shared" si="77"/>
        <v>7385384</v>
      </c>
      <c r="AA156" s="7">
        <f t="shared" si="77"/>
        <v>2.6300010699999987</v>
      </c>
      <c r="AB156" s="7">
        <f t="shared" si="77"/>
        <v>0</v>
      </c>
    </row>
    <row r="157" spans="1:28" x14ac:dyDescent="0.25">
      <c r="A157" s="2">
        <v>153</v>
      </c>
      <c r="B157">
        <v>2</v>
      </c>
      <c r="C157">
        <v>2</v>
      </c>
      <c r="D157">
        <v>0</v>
      </c>
      <c r="E157">
        <v>5</v>
      </c>
      <c r="G157">
        <v>35555440</v>
      </c>
      <c r="H157">
        <v>33.930000309999997</v>
      </c>
      <c r="I157">
        <v>2.880000114</v>
      </c>
      <c r="J157" s="9">
        <f t="shared" si="49"/>
        <v>3994660</v>
      </c>
      <c r="L157" s="9">
        <f t="shared" si="81"/>
        <v>1.4599990800000029</v>
      </c>
      <c r="M157" s="9">
        <f t="shared" si="81"/>
        <v>0</v>
      </c>
      <c r="N157" s="29">
        <f t="shared" si="68"/>
        <v>304636304</v>
      </c>
      <c r="O157" s="30">
        <f t="shared" si="69"/>
        <v>0.29849470616978485</v>
      </c>
      <c r="P157" s="30">
        <f t="shared" si="70"/>
        <v>0.9949823538992828</v>
      </c>
      <c r="Q157" s="29">
        <f t="shared" si="71"/>
        <v>41.75</v>
      </c>
      <c r="R157" s="30">
        <f t="shared" si="72"/>
        <v>0.18388830086761754</v>
      </c>
      <c r="S157" s="30">
        <f t="shared" si="73"/>
        <v>0.61296100289205846</v>
      </c>
      <c r="T157" s="37">
        <f t="shared" si="74"/>
        <v>0.39000010399999985</v>
      </c>
      <c r="U157" s="30">
        <f t="shared" si="75"/>
        <v>5.2208849054047435E-2</v>
      </c>
      <c r="V157" s="38">
        <f t="shared" si="76"/>
        <v>5.7258647874454368E-3</v>
      </c>
      <c r="W157" s="9">
        <f t="shared" si="82"/>
        <v>37537927.880000003</v>
      </c>
      <c r="X157" s="12">
        <f t="shared" si="82"/>
        <v>23.520000459999999</v>
      </c>
      <c r="Y157" s="11">
        <f t="shared" si="82"/>
        <v>0.55000019</v>
      </c>
      <c r="Z157" s="7">
        <f t="shared" si="77"/>
        <v>6838450</v>
      </c>
      <c r="AA157" s="7">
        <f t="shared" si="77"/>
        <v>2.5900001599999953</v>
      </c>
      <c r="AB157" s="7">
        <f t="shared" si="77"/>
        <v>0</v>
      </c>
    </row>
    <row r="158" spans="1:28" x14ac:dyDescent="0.25">
      <c r="A158" s="2">
        <v>154</v>
      </c>
      <c r="B158">
        <v>2</v>
      </c>
      <c r="C158">
        <v>2</v>
      </c>
      <c r="D158">
        <v>0</v>
      </c>
      <c r="E158">
        <v>6</v>
      </c>
      <c r="G158">
        <v>27637430</v>
      </c>
      <c r="H158">
        <v>30.350000380000001</v>
      </c>
      <c r="I158">
        <v>2.880000114</v>
      </c>
      <c r="J158" s="9">
        <f t="shared" si="49"/>
        <v>7918010</v>
      </c>
      <c r="L158" s="9">
        <f t="shared" si="81"/>
        <v>3.5799999299999961</v>
      </c>
      <c r="M158" s="9">
        <f t="shared" si="81"/>
        <v>0</v>
      </c>
      <c r="N158" s="29">
        <f t="shared" si="68"/>
        <v>263410058</v>
      </c>
      <c r="O158" s="30">
        <f t="shared" si="69"/>
        <v>0.30168050330902246</v>
      </c>
      <c r="P158" s="30">
        <f t="shared" si="70"/>
        <v>1.0056016776967414</v>
      </c>
      <c r="Q158" s="29">
        <f t="shared" si="71"/>
        <v>40.510000230000003</v>
      </c>
      <c r="R158" s="30">
        <f t="shared" si="72"/>
        <v>0.19056355198639899</v>
      </c>
      <c r="S158" s="30">
        <f t="shared" si="73"/>
        <v>0.63521183995466335</v>
      </c>
      <c r="T158" s="37">
        <f t="shared" si="74"/>
        <v>0.380000114</v>
      </c>
      <c r="U158" s="30">
        <f t="shared" si="75"/>
        <v>5.0666681866666667E-2</v>
      </c>
      <c r="V158" s="38">
        <f t="shared" si="76"/>
        <v>5.9585428345212783E-3</v>
      </c>
      <c r="W158" s="9">
        <f t="shared" si="82"/>
        <v>31759560.5</v>
      </c>
      <c r="X158" s="12">
        <f t="shared" si="82"/>
        <v>21.900000571</v>
      </c>
      <c r="Y158" s="11">
        <f t="shared" si="82"/>
        <v>0.55000019</v>
      </c>
      <c r="Z158" s="7">
        <f t="shared" ref="Z158:AB173" si="83">ABS(G158-G53)</f>
        <v>5764666</v>
      </c>
      <c r="AA158" s="7">
        <f t="shared" si="83"/>
        <v>2.5100002299999993</v>
      </c>
      <c r="AB158" s="7">
        <f t="shared" si="83"/>
        <v>0</v>
      </c>
    </row>
    <row r="159" spans="1:28" x14ac:dyDescent="0.25">
      <c r="A159" s="2">
        <v>155</v>
      </c>
      <c r="B159">
        <v>2</v>
      </c>
      <c r="C159">
        <v>2</v>
      </c>
      <c r="D159">
        <v>1</v>
      </c>
      <c r="E159">
        <v>0</v>
      </c>
      <c r="G159">
        <v>298012608</v>
      </c>
      <c r="H159">
        <v>117.5299988</v>
      </c>
      <c r="I159">
        <v>2.9500000480000002</v>
      </c>
      <c r="N159" s="29">
        <f t="shared" si="68"/>
        <v>257156152</v>
      </c>
      <c r="O159" s="30">
        <f t="shared" si="69"/>
        <v>2.0980458347472264</v>
      </c>
      <c r="P159" s="30">
        <f t="shared" si="70"/>
        <v>2.0980458347472264</v>
      </c>
      <c r="Q159" s="29">
        <f t="shared" si="71"/>
        <v>82.919998190000001</v>
      </c>
      <c r="R159" s="30">
        <f t="shared" si="72"/>
        <v>0.79861308608820236</v>
      </c>
      <c r="S159" s="30">
        <f t="shared" si="73"/>
        <v>0.79861308608820236</v>
      </c>
      <c r="T159" s="37">
        <f t="shared" si="74"/>
        <v>6.9999934000000152E-2</v>
      </c>
      <c r="U159" s="30">
        <f t="shared" si="75"/>
        <v>8.1018438922649937E-3</v>
      </c>
      <c r="V159" s="38">
        <f t="shared" si="76"/>
        <v>6.7417829881781619E-4</v>
      </c>
      <c r="W159" s="9">
        <f t="shared" si="82"/>
        <v>211490240</v>
      </c>
      <c r="X159" s="12">
        <f t="shared" si="82"/>
        <v>80.699996970000001</v>
      </c>
      <c r="Y159" s="11">
        <f t="shared" si="82"/>
        <v>0.58000016200000015</v>
      </c>
      <c r="Z159" s="7">
        <f t="shared" si="83"/>
        <v>45325456</v>
      </c>
      <c r="AA159" s="7">
        <f t="shared" si="83"/>
        <v>7</v>
      </c>
      <c r="AB159" s="7">
        <f t="shared" si="83"/>
        <v>0</v>
      </c>
    </row>
    <row r="160" spans="1:28" x14ac:dyDescent="0.25">
      <c r="A160" s="2">
        <v>156</v>
      </c>
      <c r="B160">
        <v>2</v>
      </c>
      <c r="C160">
        <v>2</v>
      </c>
      <c r="D160">
        <v>1</v>
      </c>
      <c r="E160">
        <v>1</v>
      </c>
      <c r="G160">
        <v>302252224</v>
      </c>
      <c r="H160">
        <v>122.7099991</v>
      </c>
      <c r="I160">
        <v>2.9500000480000002</v>
      </c>
      <c r="J160" s="9">
        <f t="shared" ref="J160:J221" si="84">ABS(G160-G159)</f>
        <v>4239616</v>
      </c>
      <c r="L160" s="9">
        <f t="shared" ref="L160:M165" si="85">ABS(H160-H159)</f>
        <v>5.1800003000000032</v>
      </c>
      <c r="M160" s="9">
        <f t="shared" si="85"/>
        <v>0</v>
      </c>
      <c r="N160" s="29">
        <f t="shared" si="68"/>
        <v>260067048</v>
      </c>
      <c r="O160" s="30">
        <f t="shared" si="69"/>
        <v>2.0549639522660756</v>
      </c>
      <c r="P160" s="30">
        <f t="shared" si="70"/>
        <v>2.0549639522660756</v>
      </c>
      <c r="Q160" s="29">
        <f t="shared" si="71"/>
        <v>87.079998030000013</v>
      </c>
      <c r="R160" s="30">
        <f t="shared" si="72"/>
        <v>0.81466924328666612</v>
      </c>
      <c r="S160" s="30">
        <f t="shared" si="73"/>
        <v>0.81466924328666612</v>
      </c>
      <c r="T160" s="37">
        <f t="shared" si="74"/>
        <v>6.9999934000000152E-2</v>
      </c>
      <c r="U160" s="30">
        <f t="shared" si="75"/>
        <v>8.1018438922649937E-3</v>
      </c>
      <c r="V160" s="38">
        <f t="shared" si="76"/>
        <v>6.5487821028946673E-4</v>
      </c>
      <c r="W160" s="9">
        <f t="shared" si="82"/>
        <v>212702952</v>
      </c>
      <c r="X160" s="12">
        <f t="shared" si="82"/>
        <v>85.090000169999996</v>
      </c>
      <c r="Y160" s="11">
        <f t="shared" si="82"/>
        <v>0.58000016200000015</v>
      </c>
      <c r="Z160" s="7">
        <f t="shared" si="83"/>
        <v>45473472</v>
      </c>
      <c r="AA160" s="7">
        <f t="shared" si="83"/>
        <v>7.2799988000000013</v>
      </c>
      <c r="AB160" s="7">
        <f t="shared" si="83"/>
        <v>0</v>
      </c>
    </row>
    <row r="161" spans="1:28" x14ac:dyDescent="0.25">
      <c r="A161" s="2">
        <v>157</v>
      </c>
      <c r="B161">
        <v>2</v>
      </c>
      <c r="C161">
        <v>2</v>
      </c>
      <c r="D161">
        <v>1</v>
      </c>
      <c r="E161">
        <v>2</v>
      </c>
      <c r="G161">
        <v>299577664</v>
      </c>
      <c r="H161">
        <v>120.3799973</v>
      </c>
      <c r="I161">
        <v>2.9500000480000002</v>
      </c>
      <c r="J161" s="9">
        <f t="shared" si="84"/>
        <v>2674560</v>
      </c>
      <c r="L161" s="9">
        <f t="shared" si="85"/>
        <v>2.3300018000000051</v>
      </c>
      <c r="M161" s="9">
        <f t="shared" si="85"/>
        <v>0</v>
      </c>
      <c r="N161" s="29">
        <f t="shared" si="68"/>
        <v>258182292</v>
      </c>
      <c r="O161" s="30">
        <f t="shared" si="69"/>
        <v>2.0789948209669427</v>
      </c>
      <c r="P161" s="30">
        <f t="shared" si="70"/>
        <v>2.0789948209669427</v>
      </c>
      <c r="Q161" s="29">
        <f t="shared" si="71"/>
        <v>85.269996689999999</v>
      </c>
      <c r="R161" s="30">
        <f t="shared" si="72"/>
        <v>0.80955088966601985</v>
      </c>
      <c r="S161" s="30">
        <f t="shared" si="73"/>
        <v>0.80955088966601985</v>
      </c>
      <c r="T161" s="37">
        <f t="shared" si="74"/>
        <v>6.9999934000000152E-2</v>
      </c>
      <c r="U161" s="30">
        <f t="shared" si="75"/>
        <v>8.1018438922649937E-3</v>
      </c>
      <c r="V161" s="38">
        <f t="shared" si="76"/>
        <v>6.6457735482600968E-4</v>
      </c>
      <c r="W161" s="9">
        <f t="shared" si="82"/>
        <v>211743328</v>
      </c>
      <c r="X161" s="12">
        <f t="shared" si="82"/>
        <v>83.179996539999991</v>
      </c>
      <c r="Y161" s="11">
        <f t="shared" si="82"/>
        <v>0.58000016200000015</v>
      </c>
      <c r="Z161" s="7">
        <f t="shared" si="83"/>
        <v>45339920</v>
      </c>
      <c r="AA161" s="7">
        <f t="shared" si="83"/>
        <v>7.1499938999999983</v>
      </c>
      <c r="AB161" s="7">
        <f t="shared" si="83"/>
        <v>0</v>
      </c>
    </row>
    <row r="162" spans="1:28" x14ac:dyDescent="0.25">
      <c r="A162" s="2">
        <v>158</v>
      </c>
      <c r="B162">
        <v>2</v>
      </c>
      <c r="C162">
        <v>2</v>
      </c>
      <c r="D162">
        <v>1</v>
      </c>
      <c r="E162">
        <v>3</v>
      </c>
      <c r="G162">
        <v>301254368</v>
      </c>
      <c r="H162">
        <v>128.2599945</v>
      </c>
      <c r="I162">
        <v>2.9500000480000002</v>
      </c>
      <c r="J162" s="9">
        <f t="shared" si="84"/>
        <v>1676704</v>
      </c>
      <c r="L162" s="9">
        <f t="shared" si="85"/>
        <v>7.8799972000000054</v>
      </c>
      <c r="M162" s="9">
        <f t="shared" si="85"/>
        <v>0</v>
      </c>
      <c r="N162" s="29">
        <f t="shared" si="68"/>
        <v>258553824</v>
      </c>
      <c r="O162" s="30">
        <f t="shared" si="69"/>
        <v>2.0183491807504841</v>
      </c>
      <c r="P162" s="30">
        <f t="shared" si="70"/>
        <v>2.0183491807504841</v>
      </c>
      <c r="Q162" s="29">
        <f t="shared" si="71"/>
        <v>91.719993580000008</v>
      </c>
      <c r="R162" s="30">
        <f t="shared" si="72"/>
        <v>0.83670855017956958</v>
      </c>
      <c r="S162" s="30">
        <f t="shared" si="73"/>
        <v>0.83670855017956958</v>
      </c>
      <c r="T162" s="37">
        <f t="shared" si="74"/>
        <v>6.9999934000000152E-2</v>
      </c>
      <c r="U162" s="30">
        <f t="shared" si="75"/>
        <v>8.1018438922649937E-3</v>
      </c>
      <c r="V162" s="38">
        <f t="shared" si="76"/>
        <v>6.3856898592911662E-4</v>
      </c>
      <c r="W162" s="9">
        <f t="shared" si="82"/>
        <v>209787152</v>
      </c>
      <c r="X162" s="12">
        <f t="shared" si="82"/>
        <v>90.009994500000005</v>
      </c>
      <c r="Y162" s="11">
        <f t="shared" si="82"/>
        <v>0.58000016200000015</v>
      </c>
      <c r="Z162" s="7">
        <f t="shared" si="83"/>
        <v>44790528</v>
      </c>
      <c r="AA162" s="7">
        <f t="shared" si="83"/>
        <v>7.5899963000000099</v>
      </c>
      <c r="AB162" s="7">
        <f t="shared" si="83"/>
        <v>0</v>
      </c>
    </row>
    <row r="163" spans="1:28" x14ac:dyDescent="0.25">
      <c r="A163" s="2">
        <v>159</v>
      </c>
      <c r="B163">
        <v>2</v>
      </c>
      <c r="C163">
        <v>2</v>
      </c>
      <c r="D163">
        <v>1</v>
      </c>
      <c r="E163">
        <v>4</v>
      </c>
      <c r="G163">
        <v>281797376</v>
      </c>
      <c r="H163">
        <v>124.0899963</v>
      </c>
      <c r="I163">
        <v>2.9500000480000002</v>
      </c>
      <c r="J163" s="9">
        <f t="shared" si="84"/>
        <v>19456992</v>
      </c>
      <c r="L163" s="9">
        <f t="shared" si="85"/>
        <v>4.1699982000000091</v>
      </c>
      <c r="M163" s="9">
        <f t="shared" si="85"/>
        <v>0</v>
      </c>
      <c r="N163" s="29">
        <f t="shared" si="68"/>
        <v>242247276</v>
      </c>
      <c r="O163" s="30">
        <f t="shared" si="69"/>
        <v>2.0416912220196664</v>
      </c>
      <c r="P163" s="30">
        <f t="shared" si="70"/>
        <v>2.0416912220196664</v>
      </c>
      <c r="Q163" s="29">
        <f t="shared" si="71"/>
        <v>88.699996909999996</v>
      </c>
      <c r="R163" s="30">
        <f t="shared" si="72"/>
        <v>0.83545256135328427</v>
      </c>
      <c r="S163" s="30">
        <f t="shared" si="73"/>
        <v>0.83545256135328427</v>
      </c>
      <c r="T163" s="37">
        <f t="shared" si="74"/>
        <v>6.9999934000000152E-2</v>
      </c>
      <c r="U163" s="30">
        <f t="shared" si="75"/>
        <v>8.1018438922649937E-3</v>
      </c>
      <c r="V163" s="38">
        <f t="shared" si="76"/>
        <v>6.5931934827686319E-4</v>
      </c>
      <c r="W163" s="9">
        <f t="shared" si="82"/>
        <v>195684912</v>
      </c>
      <c r="X163" s="12">
        <f t="shared" si="82"/>
        <v>86.909995989999999</v>
      </c>
      <c r="Y163" s="11">
        <f t="shared" si="82"/>
        <v>0.56999993400000015</v>
      </c>
      <c r="Z163" s="7">
        <f t="shared" si="83"/>
        <v>41485232</v>
      </c>
      <c r="AA163" s="7">
        <f t="shared" si="83"/>
        <v>7.369995099999997</v>
      </c>
      <c r="AB163" s="7">
        <f t="shared" si="83"/>
        <v>0</v>
      </c>
    </row>
    <row r="164" spans="1:28" x14ac:dyDescent="0.25">
      <c r="A164" s="2">
        <v>160</v>
      </c>
      <c r="B164">
        <v>2</v>
      </c>
      <c r="C164">
        <v>2</v>
      </c>
      <c r="D164">
        <v>1</v>
      </c>
      <c r="E164">
        <v>5</v>
      </c>
      <c r="G164">
        <v>260644400</v>
      </c>
      <c r="H164">
        <v>120.0999985</v>
      </c>
      <c r="I164">
        <v>2.9500000480000002</v>
      </c>
      <c r="J164" s="9">
        <f t="shared" si="84"/>
        <v>21152976</v>
      </c>
      <c r="L164" s="9">
        <f t="shared" si="85"/>
        <v>3.9899977999999976</v>
      </c>
      <c r="M164" s="9">
        <f t="shared" si="85"/>
        <v>0</v>
      </c>
      <c r="N164" s="29">
        <f t="shared" si="68"/>
        <v>225088960</v>
      </c>
      <c r="O164" s="30">
        <f t="shared" si="69"/>
        <v>2.1102158582015389</v>
      </c>
      <c r="P164" s="30">
        <f t="shared" si="70"/>
        <v>2.1102158582015389</v>
      </c>
      <c r="Q164" s="29">
        <f t="shared" si="71"/>
        <v>86.169998190000001</v>
      </c>
      <c r="R164" s="30">
        <f t="shared" si="72"/>
        <v>0.84654678654790738</v>
      </c>
      <c r="S164" s="30">
        <f t="shared" si="73"/>
        <v>0.84654678654790738</v>
      </c>
      <c r="T164" s="37">
        <f t="shared" si="74"/>
        <v>6.9999934000000152E-2</v>
      </c>
      <c r="U164" s="30">
        <f t="shared" si="75"/>
        <v>8.1018438922649937E-3</v>
      </c>
      <c r="V164" s="38">
        <f t="shared" si="76"/>
        <v>6.8768968818595886E-4</v>
      </c>
      <c r="W164" s="9">
        <f t="shared" si="82"/>
        <v>180368336</v>
      </c>
      <c r="X164" s="12">
        <f t="shared" si="82"/>
        <v>83.439998650000007</v>
      </c>
      <c r="Y164" s="11">
        <f t="shared" si="82"/>
        <v>0.56999993400000015</v>
      </c>
      <c r="Z164" s="7">
        <f t="shared" si="83"/>
        <v>38530608</v>
      </c>
      <c r="AA164" s="7">
        <f t="shared" si="83"/>
        <v>7.150001599999996</v>
      </c>
      <c r="AB164" s="7">
        <f t="shared" si="83"/>
        <v>0</v>
      </c>
    </row>
    <row r="165" spans="1:28" x14ac:dyDescent="0.25">
      <c r="A165" s="2">
        <v>161</v>
      </c>
      <c r="B165">
        <v>2</v>
      </c>
      <c r="C165">
        <v>2</v>
      </c>
      <c r="D165">
        <v>1</v>
      </c>
      <c r="E165">
        <v>6</v>
      </c>
      <c r="G165">
        <v>216971072</v>
      </c>
      <c r="H165">
        <v>107.5899963</v>
      </c>
      <c r="I165">
        <v>2.9500000480000002</v>
      </c>
      <c r="J165" s="9">
        <f t="shared" si="84"/>
        <v>43673328</v>
      </c>
      <c r="L165" s="9">
        <f t="shared" si="85"/>
        <v>12.510002200000002</v>
      </c>
      <c r="M165" s="9">
        <f t="shared" si="85"/>
        <v>0</v>
      </c>
      <c r="N165" s="29">
        <f t="shared" si="68"/>
        <v>189333642</v>
      </c>
      <c r="O165" s="30">
        <f t="shared" si="69"/>
        <v>2.2835413423028119</v>
      </c>
      <c r="P165" s="30">
        <f t="shared" si="70"/>
        <v>2.2835413423028119</v>
      </c>
      <c r="Q165" s="29">
        <f t="shared" si="71"/>
        <v>77.239995919999998</v>
      </c>
      <c r="R165" s="30">
        <f t="shared" si="72"/>
        <v>0.84832504066896697</v>
      </c>
      <c r="S165" s="30">
        <f t="shared" si="73"/>
        <v>0.84832504066896697</v>
      </c>
      <c r="T165" s="37">
        <f t="shared" si="74"/>
        <v>6.9999934000000152E-2</v>
      </c>
      <c r="U165" s="30">
        <f t="shared" si="75"/>
        <v>8.1018438922649937E-3</v>
      </c>
      <c r="V165" s="38">
        <f t="shared" si="76"/>
        <v>7.6880761255968672E-4</v>
      </c>
      <c r="W165" s="9">
        <f t="shared" si="82"/>
        <v>150430092</v>
      </c>
      <c r="X165" s="12">
        <f t="shared" si="82"/>
        <v>73.619995079999995</v>
      </c>
      <c r="Y165" s="11">
        <f t="shared" si="82"/>
        <v>0.56999993400000015</v>
      </c>
      <c r="Z165" s="7">
        <f t="shared" si="83"/>
        <v>32092816</v>
      </c>
      <c r="AA165" s="7">
        <f t="shared" si="83"/>
        <v>6.4799956999999893</v>
      </c>
      <c r="AB165" s="7">
        <f t="shared" si="83"/>
        <v>0</v>
      </c>
    </row>
    <row r="166" spans="1:28" x14ac:dyDescent="0.25">
      <c r="A166" s="2">
        <v>162</v>
      </c>
      <c r="B166">
        <v>2</v>
      </c>
      <c r="C166">
        <v>2</v>
      </c>
      <c r="D166">
        <v>2</v>
      </c>
      <c r="E166">
        <v>0</v>
      </c>
      <c r="G166">
        <v>1126790784</v>
      </c>
      <c r="H166">
        <v>318.5</v>
      </c>
      <c r="I166">
        <v>3.0899999139999998</v>
      </c>
      <c r="N166" s="29">
        <f t="shared" si="68"/>
        <v>828778176</v>
      </c>
      <c r="O166" s="30">
        <f t="shared" si="69"/>
        <v>0.92700571916742536</v>
      </c>
      <c r="P166" s="30">
        <f t="shared" si="70"/>
        <v>1.8540114383348507</v>
      </c>
      <c r="Q166" s="29">
        <f t="shared" si="71"/>
        <v>200.97000120000001</v>
      </c>
      <c r="R166" s="30">
        <f t="shared" si="72"/>
        <v>0.56998214144455528</v>
      </c>
      <c r="S166" s="30">
        <f t="shared" si="73"/>
        <v>1.1399642828891106</v>
      </c>
      <c r="T166" s="37">
        <f t="shared" si="74"/>
        <v>0.1399998659999997</v>
      </c>
      <c r="U166" s="30">
        <f t="shared" si="75"/>
        <v>1.5819193640907999E-2</v>
      </c>
      <c r="V166" s="38">
        <f t="shared" si="76"/>
        <v>7.9412273422059965E-4</v>
      </c>
      <c r="W166" s="9">
        <f t="shared" si="82"/>
        <v>759655744</v>
      </c>
      <c r="X166" s="12">
        <f t="shared" si="82"/>
        <v>245.90000153</v>
      </c>
      <c r="Y166" s="11">
        <f t="shared" si="82"/>
        <v>0.5999999039999997</v>
      </c>
      <c r="Z166" s="7">
        <f t="shared" si="83"/>
        <v>156989632</v>
      </c>
      <c r="AA166" s="7">
        <f t="shared" si="83"/>
        <v>18.75</v>
      </c>
      <c r="AB166" s="7">
        <f t="shared" si="83"/>
        <v>9.9999899999998476E-3</v>
      </c>
    </row>
    <row r="167" spans="1:28" x14ac:dyDescent="0.25">
      <c r="A167" s="2">
        <v>163</v>
      </c>
      <c r="B167">
        <v>2</v>
      </c>
      <c r="C167">
        <v>2</v>
      </c>
      <c r="D167">
        <v>2</v>
      </c>
      <c r="E167">
        <v>1</v>
      </c>
      <c r="G167">
        <v>1130811520</v>
      </c>
      <c r="H167">
        <v>333.5899963</v>
      </c>
      <c r="I167">
        <v>3.0899999139999998</v>
      </c>
      <c r="J167" s="9">
        <f t="shared" ref="J167:J228" si="86">ABS(G167-G166)</f>
        <v>4020736</v>
      </c>
      <c r="L167" s="9">
        <f t="shared" ref="L167:M172" si="87">ABS(H167-H166)</f>
        <v>15.089996299999996</v>
      </c>
      <c r="M167" s="9">
        <f t="shared" si="87"/>
        <v>0</v>
      </c>
      <c r="N167" s="29">
        <f t="shared" si="68"/>
        <v>828559296</v>
      </c>
      <c r="O167" s="30">
        <f t="shared" si="69"/>
        <v>0.91376145506873085</v>
      </c>
      <c r="P167" s="30">
        <f t="shared" si="70"/>
        <v>1.8275229101374617</v>
      </c>
      <c r="Q167" s="29">
        <f t="shared" si="71"/>
        <v>210.87999719999999</v>
      </c>
      <c r="R167" s="30">
        <f t="shared" si="72"/>
        <v>0.5728411125055578</v>
      </c>
      <c r="S167" s="30">
        <f t="shared" si="73"/>
        <v>1.1456822250111156</v>
      </c>
      <c r="T167" s="37">
        <f t="shared" si="74"/>
        <v>0.1399998659999997</v>
      </c>
      <c r="U167" s="30">
        <f t="shared" si="75"/>
        <v>1.5819193640907999E-2</v>
      </c>
      <c r="V167" s="38">
        <f t="shared" si="76"/>
        <v>7.6060015226582945E-4</v>
      </c>
      <c r="W167" s="9">
        <f t="shared" si="82"/>
        <v>755058816</v>
      </c>
      <c r="X167" s="12">
        <f t="shared" si="82"/>
        <v>258.5899963</v>
      </c>
      <c r="Y167" s="11">
        <f t="shared" si="82"/>
        <v>0.5999999039999997</v>
      </c>
      <c r="Z167" s="7">
        <f t="shared" si="83"/>
        <v>156268096</v>
      </c>
      <c r="AA167" s="7">
        <f t="shared" si="83"/>
        <v>19.51998900000001</v>
      </c>
      <c r="AB167" s="7">
        <f t="shared" si="83"/>
        <v>9.9999899999998476E-3</v>
      </c>
    </row>
    <row r="168" spans="1:28" x14ac:dyDescent="0.25">
      <c r="A168" s="2">
        <v>164</v>
      </c>
      <c r="B168">
        <v>2</v>
      </c>
      <c r="C168">
        <v>2</v>
      </c>
      <c r="D168">
        <v>2</v>
      </c>
      <c r="E168">
        <v>2</v>
      </c>
      <c r="G168">
        <v>1127917696</v>
      </c>
      <c r="H168">
        <v>326.26998900000001</v>
      </c>
      <c r="I168">
        <v>3.0899999139999998</v>
      </c>
      <c r="J168" s="9">
        <f t="shared" si="86"/>
        <v>2893824</v>
      </c>
      <c r="L168" s="9">
        <f t="shared" si="87"/>
        <v>7.3200072999999861</v>
      </c>
      <c r="M168" s="9">
        <f t="shared" si="87"/>
        <v>0</v>
      </c>
      <c r="N168" s="29">
        <f t="shared" si="68"/>
        <v>828340032</v>
      </c>
      <c r="O168" s="30">
        <f t="shared" si="69"/>
        <v>0.92167533558176096</v>
      </c>
      <c r="P168" s="30">
        <f t="shared" si="70"/>
        <v>1.8433506711635219</v>
      </c>
      <c r="Q168" s="29">
        <f t="shared" si="71"/>
        <v>205.8899917</v>
      </c>
      <c r="R168" s="30">
        <f t="shared" si="72"/>
        <v>0.57011130397602472</v>
      </c>
      <c r="S168" s="30">
        <f t="shared" si="73"/>
        <v>1.1402226079520494</v>
      </c>
      <c r="T168" s="37">
        <f t="shared" si="74"/>
        <v>0.1399998659999997</v>
      </c>
      <c r="U168" s="30">
        <f t="shared" si="75"/>
        <v>1.5819193640907999E-2</v>
      </c>
      <c r="V168" s="38">
        <f t="shared" si="76"/>
        <v>7.7532186487264349E-4</v>
      </c>
      <c r="W168" s="9">
        <f t="shared" si="82"/>
        <v>756735008</v>
      </c>
      <c r="X168" s="12">
        <f t="shared" si="82"/>
        <v>252.50998686000003</v>
      </c>
      <c r="Y168" s="11">
        <f t="shared" si="82"/>
        <v>0.5999999039999997</v>
      </c>
      <c r="Z168" s="7">
        <f t="shared" si="83"/>
        <v>156664832</v>
      </c>
      <c r="AA168" s="7">
        <f t="shared" si="83"/>
        <v>19.099975599999993</v>
      </c>
      <c r="AB168" s="7">
        <f t="shared" si="83"/>
        <v>9.9999899999998476E-3</v>
      </c>
    </row>
    <row r="169" spans="1:28" x14ac:dyDescent="0.25">
      <c r="A169" s="2">
        <v>165</v>
      </c>
      <c r="B169">
        <v>2</v>
      </c>
      <c r="C169">
        <v>2</v>
      </c>
      <c r="D169">
        <v>2</v>
      </c>
      <c r="E169">
        <v>3</v>
      </c>
      <c r="G169">
        <v>1112762240</v>
      </c>
      <c r="H169">
        <v>349.1600037</v>
      </c>
      <c r="I169">
        <v>3.0899999139999998</v>
      </c>
      <c r="J169" s="9">
        <f t="shared" si="86"/>
        <v>15155456</v>
      </c>
      <c r="L169" s="9">
        <f t="shared" si="87"/>
        <v>22.890014699999995</v>
      </c>
      <c r="M169" s="9">
        <f t="shared" si="87"/>
        <v>0</v>
      </c>
      <c r="N169" s="29">
        <f t="shared" si="68"/>
        <v>811507872</v>
      </c>
      <c r="O169" s="30">
        <f t="shared" si="69"/>
        <v>0.8979210020948144</v>
      </c>
      <c r="P169" s="30">
        <f t="shared" si="70"/>
        <v>1.7958420041896288</v>
      </c>
      <c r="Q169" s="29">
        <f t="shared" si="71"/>
        <v>220.9000092</v>
      </c>
      <c r="R169" s="30">
        <f t="shared" si="72"/>
        <v>0.57409433617276506</v>
      </c>
      <c r="S169" s="30">
        <f t="shared" si="73"/>
        <v>1.1481886723455301</v>
      </c>
      <c r="T169" s="37">
        <f t="shared" si="74"/>
        <v>0.1399998659999997</v>
      </c>
      <c r="U169" s="30">
        <f t="shared" si="75"/>
        <v>1.5819193640907999E-2</v>
      </c>
      <c r="V169" s="38">
        <f t="shared" si="76"/>
        <v>7.2768788400345505E-4</v>
      </c>
      <c r="W169" s="9">
        <f t="shared" si="82"/>
        <v>731756480</v>
      </c>
      <c r="X169" s="12">
        <f t="shared" si="82"/>
        <v>271.62000277999999</v>
      </c>
      <c r="Y169" s="11">
        <f t="shared" si="82"/>
        <v>0.5999999039999997</v>
      </c>
      <c r="Z169" s="7">
        <f t="shared" si="83"/>
        <v>152582144</v>
      </c>
      <c r="AA169" s="7">
        <f t="shared" si="83"/>
        <v>20.25</v>
      </c>
      <c r="AB169" s="7">
        <f t="shared" si="83"/>
        <v>9.9999899999998476E-3</v>
      </c>
    </row>
    <row r="170" spans="1:28" x14ac:dyDescent="0.25">
      <c r="A170" s="2">
        <v>166</v>
      </c>
      <c r="B170">
        <v>2</v>
      </c>
      <c r="C170">
        <v>2</v>
      </c>
      <c r="D170">
        <v>2</v>
      </c>
      <c r="E170">
        <v>4</v>
      </c>
      <c r="G170">
        <v>1031216192</v>
      </c>
      <c r="H170">
        <v>338.36999509999998</v>
      </c>
      <c r="I170">
        <v>3.0899999139999998</v>
      </c>
      <c r="J170" s="9">
        <f t="shared" si="86"/>
        <v>81546048</v>
      </c>
      <c r="L170" s="9">
        <f t="shared" si="87"/>
        <v>10.790008600000021</v>
      </c>
      <c r="M170" s="9">
        <f t="shared" si="87"/>
        <v>0</v>
      </c>
      <c r="N170" s="29">
        <f t="shared" si="68"/>
        <v>749418816</v>
      </c>
      <c r="O170" s="30">
        <f t="shared" si="69"/>
        <v>0.88647479811877306</v>
      </c>
      <c r="P170" s="30">
        <f t="shared" si="70"/>
        <v>1.7729495962375461</v>
      </c>
      <c r="Q170" s="29">
        <f t="shared" si="71"/>
        <v>214.27999879999999</v>
      </c>
      <c r="R170" s="30">
        <f t="shared" si="72"/>
        <v>0.57560374241599255</v>
      </c>
      <c r="S170" s="30">
        <f t="shared" si="73"/>
        <v>1.1512074848319851</v>
      </c>
      <c r="T170" s="37">
        <f t="shared" si="74"/>
        <v>0.1399998659999997</v>
      </c>
      <c r="U170" s="30">
        <f t="shared" si="75"/>
        <v>1.5819193640907999E-2</v>
      </c>
      <c r="V170" s="38">
        <f t="shared" si="76"/>
        <v>7.5214156485553703E-4</v>
      </c>
      <c r="W170" s="9">
        <f t="shared" ref="W170:Y185" si="88">ABS(G170-G149)</f>
        <v>670000512</v>
      </c>
      <c r="X170" s="12">
        <f t="shared" si="88"/>
        <v>262.63999173999997</v>
      </c>
      <c r="Y170" s="11">
        <f t="shared" si="88"/>
        <v>0.5999999039999997</v>
      </c>
      <c r="Z170" s="7">
        <f t="shared" si="83"/>
        <v>139856064</v>
      </c>
      <c r="AA170" s="7">
        <f t="shared" si="83"/>
        <v>19.699981699999967</v>
      </c>
      <c r="AB170" s="7">
        <f t="shared" si="83"/>
        <v>9.9999899999998476E-3</v>
      </c>
    </row>
    <row r="171" spans="1:28" x14ac:dyDescent="0.25">
      <c r="A171" s="2">
        <v>167</v>
      </c>
      <c r="B171">
        <v>2</v>
      </c>
      <c r="C171">
        <v>2</v>
      </c>
      <c r="D171">
        <v>2</v>
      </c>
      <c r="E171">
        <v>5</v>
      </c>
      <c r="G171">
        <v>958498624</v>
      </c>
      <c r="H171">
        <v>325.10000609999997</v>
      </c>
      <c r="I171">
        <v>3.0899999139999998</v>
      </c>
      <c r="J171" s="9">
        <f t="shared" si="86"/>
        <v>72717568</v>
      </c>
      <c r="L171" s="9">
        <f t="shared" si="87"/>
        <v>13.26998900000001</v>
      </c>
      <c r="M171" s="9">
        <f t="shared" si="87"/>
        <v>0</v>
      </c>
      <c r="N171" s="29">
        <f t="shared" si="68"/>
        <v>697854224</v>
      </c>
      <c r="O171" s="30">
        <f t="shared" si="69"/>
        <v>0.89247294270149924</v>
      </c>
      <c r="P171" s="30">
        <f t="shared" si="70"/>
        <v>1.7849458854029985</v>
      </c>
      <c r="Q171" s="29">
        <f t="shared" si="71"/>
        <v>205.00000759999998</v>
      </c>
      <c r="R171" s="30">
        <f t="shared" si="72"/>
        <v>0.56897033072541348</v>
      </c>
      <c r="S171" s="30">
        <f t="shared" si="73"/>
        <v>1.137940661450827</v>
      </c>
      <c r="T171" s="37">
        <f t="shared" si="74"/>
        <v>0.1399998659999997</v>
      </c>
      <c r="U171" s="30">
        <f t="shared" si="75"/>
        <v>1.5819193640907999E-2</v>
      </c>
      <c r="V171" s="38">
        <f t="shared" si="76"/>
        <v>7.7712943518479553E-4</v>
      </c>
      <c r="W171" s="9">
        <f t="shared" si="88"/>
        <v>618306880</v>
      </c>
      <c r="X171" s="12">
        <f t="shared" si="88"/>
        <v>249.42000578999998</v>
      </c>
      <c r="Y171" s="11">
        <f t="shared" si="88"/>
        <v>0.5999999039999997</v>
      </c>
      <c r="Z171" s="7">
        <f t="shared" si="83"/>
        <v>130406592</v>
      </c>
      <c r="AA171" s="7">
        <f t="shared" si="83"/>
        <v>18.790008499999999</v>
      </c>
      <c r="AB171" s="7">
        <f t="shared" si="83"/>
        <v>9.9999899999998476E-3</v>
      </c>
    </row>
    <row r="172" spans="1:28" x14ac:dyDescent="0.25">
      <c r="A172" s="2">
        <v>168</v>
      </c>
      <c r="B172">
        <v>2</v>
      </c>
      <c r="C172">
        <v>2</v>
      </c>
      <c r="D172">
        <v>2</v>
      </c>
      <c r="E172">
        <v>6</v>
      </c>
      <c r="G172">
        <v>795916736</v>
      </c>
      <c r="H172">
        <v>290.13000490000002</v>
      </c>
      <c r="I172">
        <v>3.0899999139999998</v>
      </c>
      <c r="J172" s="9">
        <f t="shared" si="86"/>
        <v>162581888</v>
      </c>
      <c r="L172" s="9">
        <f t="shared" si="87"/>
        <v>34.970001199999956</v>
      </c>
      <c r="M172" s="9">
        <f t="shared" si="87"/>
        <v>0</v>
      </c>
      <c r="N172" s="29">
        <f t="shared" si="68"/>
        <v>578945664</v>
      </c>
      <c r="O172" s="30">
        <f t="shared" si="69"/>
        <v>0.88943602583113013</v>
      </c>
      <c r="P172" s="30">
        <f t="shared" si="70"/>
        <v>1.7788720516622603</v>
      </c>
      <c r="Q172" s="29">
        <f t="shared" si="71"/>
        <v>182.54000860000002</v>
      </c>
      <c r="R172" s="30">
        <f t="shared" si="72"/>
        <v>0.56554207292349667</v>
      </c>
      <c r="S172" s="30">
        <f t="shared" si="73"/>
        <v>1.1310841458469933</v>
      </c>
      <c r="T172" s="37">
        <f t="shared" si="74"/>
        <v>0.1399998659999997</v>
      </c>
      <c r="U172" s="30">
        <f t="shared" si="75"/>
        <v>1.5819193640907999E-2</v>
      </c>
      <c r="V172" s="38">
        <f t="shared" si="76"/>
        <v>8.6748998243064165E-4</v>
      </c>
      <c r="W172" s="9">
        <f t="shared" si="88"/>
        <v>504869248</v>
      </c>
      <c r="X172" s="12">
        <f t="shared" si="88"/>
        <v>219.27000429000003</v>
      </c>
      <c r="Y172" s="11">
        <f t="shared" si="88"/>
        <v>0.58999991399999985</v>
      </c>
      <c r="Z172" s="7">
        <f t="shared" si="83"/>
        <v>107670400</v>
      </c>
      <c r="AA172" s="7">
        <f t="shared" si="83"/>
        <v>16.86999510000004</v>
      </c>
      <c r="AB172" s="7">
        <f t="shared" si="83"/>
        <v>9.9999899999998476E-3</v>
      </c>
    </row>
    <row r="173" spans="1:28" x14ac:dyDescent="0.25">
      <c r="A173" s="2">
        <v>169</v>
      </c>
      <c r="B173">
        <v>2</v>
      </c>
      <c r="C173">
        <v>3</v>
      </c>
      <c r="D173">
        <v>0</v>
      </c>
      <c r="E173">
        <v>0</v>
      </c>
      <c r="G173">
        <v>98558224</v>
      </c>
      <c r="H173">
        <v>67.300003050000001</v>
      </c>
      <c r="I173">
        <v>3.4300000669999999</v>
      </c>
      <c r="N173" s="29">
        <f t="shared" si="68"/>
        <v>1028232560</v>
      </c>
      <c r="O173" s="30">
        <f t="shared" si="69"/>
        <v>0.30417730738794069</v>
      </c>
      <c r="P173" s="30">
        <f t="shared" si="70"/>
        <v>1.0139243579598023</v>
      </c>
      <c r="Q173" s="29">
        <f t="shared" si="71"/>
        <v>251.19999695000001</v>
      </c>
      <c r="R173" s="30">
        <f t="shared" si="72"/>
        <v>0.26289900256410259</v>
      </c>
      <c r="S173" s="30">
        <f t="shared" si="73"/>
        <v>0.8763300085470086</v>
      </c>
      <c r="T173" s="37">
        <f t="shared" si="74"/>
        <v>0.34000015300000008</v>
      </c>
      <c r="U173" s="30">
        <f t="shared" si="75"/>
        <v>3.6677471678833638E-2</v>
      </c>
      <c r="V173" s="38">
        <f t="shared" si="76"/>
        <v>1.1861160055817201E-3</v>
      </c>
      <c r="W173" s="9">
        <f t="shared" si="88"/>
        <v>57701768</v>
      </c>
      <c r="X173" s="12">
        <f t="shared" si="88"/>
        <v>32.690002440000001</v>
      </c>
      <c r="Y173" s="11">
        <f t="shared" si="88"/>
        <v>0.54999995299999993</v>
      </c>
      <c r="Z173" s="7">
        <f t="shared" si="83"/>
        <v>13705088</v>
      </c>
      <c r="AA173" s="7">
        <f t="shared" si="83"/>
        <v>3.9800033599999978</v>
      </c>
      <c r="AB173" s="7">
        <f t="shared" si="83"/>
        <v>0</v>
      </c>
    </row>
    <row r="174" spans="1:28" x14ac:dyDescent="0.25">
      <c r="A174" s="2">
        <v>170</v>
      </c>
      <c r="B174">
        <v>2</v>
      </c>
      <c r="C174">
        <v>3</v>
      </c>
      <c r="D174">
        <v>0</v>
      </c>
      <c r="E174">
        <v>1</v>
      </c>
      <c r="G174">
        <v>99012528</v>
      </c>
      <c r="H174">
        <v>68.58000183</v>
      </c>
      <c r="I174">
        <v>3.4300000669999999</v>
      </c>
      <c r="J174" s="9">
        <f t="shared" ref="J174" si="89">ABS(G174-G173)</f>
        <v>454304</v>
      </c>
      <c r="L174" s="9">
        <f t="shared" ref="L174:M179" si="90">ABS(H174-H173)</f>
        <v>1.2799987799999997</v>
      </c>
      <c r="M174" s="9">
        <f t="shared" si="90"/>
        <v>0</v>
      </c>
      <c r="N174" s="29">
        <f t="shared" si="68"/>
        <v>1031798992</v>
      </c>
      <c r="O174" s="30">
        <f t="shared" si="69"/>
        <v>0.30414705832969702</v>
      </c>
      <c r="P174" s="30">
        <f t="shared" si="70"/>
        <v>1.0138235277656567</v>
      </c>
      <c r="Q174" s="29">
        <f t="shared" si="71"/>
        <v>265.00999446999998</v>
      </c>
      <c r="R174" s="30">
        <f t="shared" si="72"/>
        <v>0.2648060967148772</v>
      </c>
      <c r="S174" s="30">
        <f t="shared" si="73"/>
        <v>0.88268698904959064</v>
      </c>
      <c r="T174" s="37">
        <f t="shared" si="74"/>
        <v>0.34000015300000008</v>
      </c>
      <c r="U174" s="30">
        <f t="shared" si="75"/>
        <v>3.6677471678833638E-2</v>
      </c>
      <c r="V174" s="38">
        <f t="shared" si="76"/>
        <v>1.1324618602712513E-3</v>
      </c>
      <c r="W174" s="9">
        <f t="shared" si="88"/>
        <v>56827352</v>
      </c>
      <c r="X174" s="12">
        <f t="shared" si="88"/>
        <v>32.950000760000002</v>
      </c>
      <c r="Y174" s="11">
        <f t="shared" si="88"/>
        <v>0.54999995299999993</v>
      </c>
      <c r="Z174" s="7">
        <f t="shared" ref="Z174:AB189" si="91">ABS(G174-G69)</f>
        <v>13697176</v>
      </c>
      <c r="AA174" s="7">
        <f t="shared" si="91"/>
        <v>4.0600051899999983</v>
      </c>
      <c r="AB174" s="7">
        <f t="shared" si="91"/>
        <v>0</v>
      </c>
    </row>
    <row r="175" spans="1:28" x14ac:dyDescent="0.25">
      <c r="A175" s="2">
        <v>171</v>
      </c>
      <c r="B175">
        <v>2</v>
      </c>
      <c r="C175">
        <v>3</v>
      </c>
      <c r="D175">
        <v>0</v>
      </c>
      <c r="E175">
        <v>2</v>
      </c>
      <c r="G175">
        <v>98553208</v>
      </c>
      <c r="H175">
        <v>67.599998470000003</v>
      </c>
      <c r="I175">
        <v>3.4300000669999999</v>
      </c>
      <c r="J175" s="9">
        <f t="shared" si="84"/>
        <v>459320</v>
      </c>
      <c r="L175" s="9">
        <f t="shared" si="90"/>
        <v>0.98000335999999777</v>
      </c>
      <c r="M175" s="9">
        <f t="shared" si="90"/>
        <v>0</v>
      </c>
      <c r="N175" s="29">
        <f t="shared" si="68"/>
        <v>1029364488</v>
      </c>
      <c r="O175" s="30">
        <f t="shared" si="69"/>
        <v>0.30420791979488543</v>
      </c>
      <c r="P175" s="30">
        <f t="shared" si="70"/>
        <v>1.0140263993162848</v>
      </c>
      <c r="Q175" s="29">
        <f t="shared" si="71"/>
        <v>258.66999053000001</v>
      </c>
      <c r="R175" s="30">
        <f t="shared" si="72"/>
        <v>0.26426987796498397</v>
      </c>
      <c r="S175" s="30">
        <f t="shared" si="73"/>
        <v>0.88089959321661326</v>
      </c>
      <c r="T175" s="37">
        <f t="shared" si="74"/>
        <v>0.34000015300000008</v>
      </c>
      <c r="U175" s="30">
        <f t="shared" si="75"/>
        <v>3.6677471678833638E-2</v>
      </c>
      <c r="V175" s="38">
        <f t="shared" si="76"/>
        <v>1.1578691283732438E-3</v>
      </c>
      <c r="W175" s="9">
        <f t="shared" si="88"/>
        <v>57157836</v>
      </c>
      <c r="X175" s="12">
        <f t="shared" si="88"/>
        <v>32.489997860000003</v>
      </c>
      <c r="Y175" s="11">
        <f t="shared" si="88"/>
        <v>0.54999995299999993</v>
      </c>
      <c r="Z175" s="7">
        <f t="shared" si="91"/>
        <v>13688176</v>
      </c>
      <c r="AA175" s="7">
        <f t="shared" si="91"/>
        <v>4</v>
      </c>
      <c r="AB175" s="7">
        <f t="shared" si="91"/>
        <v>0</v>
      </c>
    </row>
    <row r="176" spans="1:28" x14ac:dyDescent="0.25">
      <c r="A176" s="2">
        <v>172</v>
      </c>
      <c r="B176">
        <v>2</v>
      </c>
      <c r="C176">
        <v>3</v>
      </c>
      <c r="D176">
        <v>0</v>
      </c>
      <c r="E176">
        <v>3</v>
      </c>
      <c r="G176">
        <v>97084736</v>
      </c>
      <c r="H176">
        <v>68.769996640000002</v>
      </c>
      <c r="I176">
        <v>3.4300000669999999</v>
      </c>
      <c r="J176" s="9">
        <f t="shared" si="84"/>
        <v>1468472</v>
      </c>
      <c r="L176" s="9">
        <f t="shared" si="90"/>
        <v>1.1699981699999995</v>
      </c>
      <c r="M176" s="9">
        <f t="shared" si="90"/>
        <v>0</v>
      </c>
      <c r="N176" s="29">
        <f t="shared" si="68"/>
        <v>1015677504</v>
      </c>
      <c r="O176" s="30">
        <f t="shared" si="69"/>
        <v>0.304251129154059</v>
      </c>
      <c r="P176" s="30">
        <f t="shared" si="70"/>
        <v>1.01417043051353</v>
      </c>
      <c r="Q176" s="29">
        <f t="shared" si="71"/>
        <v>280.39000706000002</v>
      </c>
      <c r="R176" s="30">
        <f t="shared" si="72"/>
        <v>0.26768053240992296</v>
      </c>
      <c r="S176" s="30">
        <f t="shared" si="73"/>
        <v>0.89226844136640981</v>
      </c>
      <c r="T176" s="37">
        <f t="shared" si="74"/>
        <v>0.34000015300000008</v>
      </c>
      <c r="U176" s="30">
        <f t="shared" si="75"/>
        <v>3.6677471678833638E-2</v>
      </c>
      <c r="V176" s="38">
        <f t="shared" si="76"/>
        <v>1.0819622630728533E-3</v>
      </c>
      <c r="W176" s="9">
        <f t="shared" si="88"/>
        <v>54384192</v>
      </c>
      <c r="X176" s="12">
        <f t="shared" si="88"/>
        <v>32.229995720000005</v>
      </c>
      <c r="Y176" s="11">
        <f t="shared" si="88"/>
        <v>0.54999995299999993</v>
      </c>
      <c r="Z176" s="7">
        <f t="shared" si="91"/>
        <v>13399920</v>
      </c>
      <c r="AA176" s="7">
        <f t="shared" si="91"/>
        <v>4.0699996900000031</v>
      </c>
      <c r="AB176" s="7">
        <f t="shared" si="91"/>
        <v>0</v>
      </c>
    </row>
    <row r="177" spans="1:28" x14ac:dyDescent="0.25">
      <c r="A177" s="2">
        <v>173</v>
      </c>
      <c r="B177">
        <v>2</v>
      </c>
      <c r="C177">
        <v>3</v>
      </c>
      <c r="D177">
        <v>0</v>
      </c>
      <c r="E177">
        <v>4</v>
      </c>
      <c r="G177">
        <v>89186256</v>
      </c>
      <c r="H177">
        <v>66.47000122</v>
      </c>
      <c r="I177">
        <v>3.4300000669999999</v>
      </c>
      <c r="J177" s="9">
        <f t="shared" si="84"/>
        <v>7898480</v>
      </c>
      <c r="L177" s="9">
        <f t="shared" si="90"/>
        <v>2.2999954200000019</v>
      </c>
      <c r="M177" s="9">
        <f t="shared" si="90"/>
        <v>0</v>
      </c>
      <c r="N177" s="29">
        <f t="shared" si="68"/>
        <v>942029936</v>
      </c>
      <c r="O177" s="30">
        <f t="shared" si="69"/>
        <v>0.30450450749581198</v>
      </c>
      <c r="P177" s="30">
        <f t="shared" si="70"/>
        <v>1.0150150249860399</v>
      </c>
      <c r="Q177" s="29">
        <f t="shared" si="71"/>
        <v>271.89999388000001</v>
      </c>
      <c r="R177" s="30">
        <f t="shared" si="72"/>
        <v>0.26785274287262989</v>
      </c>
      <c r="S177" s="30">
        <f t="shared" si="73"/>
        <v>0.89284247624209967</v>
      </c>
      <c r="T177" s="37">
        <f t="shared" si="74"/>
        <v>0.34000015300000008</v>
      </c>
      <c r="U177" s="30">
        <f t="shared" si="75"/>
        <v>3.6677471678833638E-2</v>
      </c>
      <c r="V177" s="38">
        <f t="shared" si="76"/>
        <v>1.1164640873849688E-3</v>
      </c>
      <c r="W177" s="9">
        <f t="shared" si="88"/>
        <v>49636156</v>
      </c>
      <c r="X177" s="12">
        <f t="shared" si="88"/>
        <v>31.08000183</v>
      </c>
      <c r="Y177" s="11">
        <f t="shared" si="88"/>
        <v>0.54999995299999993</v>
      </c>
      <c r="Z177" s="7">
        <f t="shared" si="91"/>
        <v>12366504</v>
      </c>
      <c r="AA177" s="7">
        <f t="shared" si="91"/>
        <v>3.9900016799999989</v>
      </c>
      <c r="AB177" s="7">
        <f t="shared" si="91"/>
        <v>0</v>
      </c>
    </row>
    <row r="178" spans="1:28" x14ac:dyDescent="0.25">
      <c r="A178" s="2">
        <v>174</v>
      </c>
      <c r="B178">
        <v>2</v>
      </c>
      <c r="C178">
        <v>3</v>
      </c>
      <c r="D178">
        <v>0</v>
      </c>
      <c r="E178">
        <v>5</v>
      </c>
      <c r="G178">
        <v>80959760</v>
      </c>
      <c r="H178">
        <v>61.509998320000001</v>
      </c>
      <c r="I178">
        <v>3.4300000669999999</v>
      </c>
      <c r="J178" s="9">
        <f t="shared" si="84"/>
        <v>8226496</v>
      </c>
      <c r="L178" s="9">
        <f t="shared" si="90"/>
        <v>4.9600028999999992</v>
      </c>
      <c r="M178" s="9">
        <f t="shared" si="90"/>
        <v>0</v>
      </c>
      <c r="N178" s="29">
        <f t="shared" si="68"/>
        <v>877538864</v>
      </c>
      <c r="O178" s="30">
        <f t="shared" si="69"/>
        <v>0.30517827291807015</v>
      </c>
      <c r="P178" s="30">
        <f t="shared" si="70"/>
        <v>1.0172609097269003</v>
      </c>
      <c r="Q178" s="29">
        <f t="shared" si="71"/>
        <v>263.59000777999995</v>
      </c>
      <c r="R178" s="30">
        <f t="shared" si="72"/>
        <v>0.27026556222099885</v>
      </c>
      <c r="S178" s="30">
        <f t="shared" si="73"/>
        <v>0.90088520740332945</v>
      </c>
      <c r="T178" s="37">
        <f t="shared" si="74"/>
        <v>0.34000015300000008</v>
      </c>
      <c r="U178" s="30">
        <f t="shared" si="75"/>
        <v>3.6677471678833638E-2</v>
      </c>
      <c r="V178" s="38">
        <f t="shared" si="76"/>
        <v>1.1620361140859969E-3</v>
      </c>
      <c r="W178" s="9">
        <f t="shared" si="88"/>
        <v>45404320</v>
      </c>
      <c r="X178" s="12">
        <f t="shared" si="88"/>
        <v>27.579998010000004</v>
      </c>
      <c r="Y178" s="11">
        <f t="shared" si="88"/>
        <v>0.54999995299999993</v>
      </c>
      <c r="Z178" s="7">
        <f t="shared" si="91"/>
        <v>11486296</v>
      </c>
      <c r="AA178" s="7">
        <f t="shared" si="91"/>
        <v>3.7699966400000022</v>
      </c>
      <c r="AB178" s="7">
        <f t="shared" si="91"/>
        <v>0</v>
      </c>
    </row>
    <row r="179" spans="1:28" x14ac:dyDescent="0.25">
      <c r="A179" s="2">
        <v>175</v>
      </c>
      <c r="B179">
        <v>2</v>
      </c>
      <c r="C179">
        <v>3</v>
      </c>
      <c r="D179">
        <v>0</v>
      </c>
      <c r="E179">
        <v>6</v>
      </c>
      <c r="G179">
        <v>64311596</v>
      </c>
      <c r="H179">
        <v>54.069999690000003</v>
      </c>
      <c r="I179">
        <v>3.4300000669999999</v>
      </c>
      <c r="J179" s="9">
        <f t="shared" si="84"/>
        <v>16648164</v>
      </c>
      <c r="L179" s="9">
        <f t="shared" si="90"/>
        <v>7.4399986299999981</v>
      </c>
      <c r="M179" s="9">
        <f t="shared" si="90"/>
        <v>0</v>
      </c>
      <c r="N179" s="29">
        <f t="shared" si="68"/>
        <v>731605140</v>
      </c>
      <c r="O179" s="30">
        <f t="shared" si="69"/>
        <v>0.30639936185485611</v>
      </c>
      <c r="P179" s="30">
        <f t="shared" si="70"/>
        <v>1.0213312061828537</v>
      </c>
      <c r="Q179" s="29">
        <f t="shared" si="71"/>
        <v>236.06000521000001</v>
      </c>
      <c r="R179" s="30">
        <f t="shared" si="72"/>
        <v>0.27121175705509848</v>
      </c>
      <c r="S179" s="30">
        <f t="shared" si="73"/>
        <v>0.90403919018366152</v>
      </c>
      <c r="T179" s="37">
        <f t="shared" si="74"/>
        <v>0.34000015300000008</v>
      </c>
      <c r="U179" s="30">
        <f t="shared" si="75"/>
        <v>3.6677471678833638E-2</v>
      </c>
      <c r="V179" s="38">
        <f t="shared" si="76"/>
        <v>1.3020988570554353E-3</v>
      </c>
      <c r="W179" s="9">
        <f t="shared" si="88"/>
        <v>36674166</v>
      </c>
      <c r="X179" s="12">
        <f t="shared" si="88"/>
        <v>23.719999310000002</v>
      </c>
      <c r="Y179" s="11">
        <f t="shared" si="88"/>
        <v>0.54999995299999993</v>
      </c>
      <c r="Z179" s="7">
        <f t="shared" si="91"/>
        <v>9486784</v>
      </c>
      <c r="AA179" s="7">
        <f t="shared" si="91"/>
        <v>3.4500007600000018</v>
      </c>
      <c r="AB179" s="7">
        <f t="shared" si="91"/>
        <v>0</v>
      </c>
    </row>
    <row r="180" spans="1:28" x14ac:dyDescent="0.25">
      <c r="A180" s="2">
        <v>176</v>
      </c>
      <c r="B180">
        <v>2</v>
      </c>
      <c r="C180">
        <v>3</v>
      </c>
      <c r="D180">
        <v>1</v>
      </c>
      <c r="E180">
        <v>0</v>
      </c>
      <c r="G180">
        <v>544158272</v>
      </c>
      <c r="H180">
        <v>281.73999020000002</v>
      </c>
      <c r="I180">
        <v>3.5699999330000001</v>
      </c>
      <c r="N180" s="29">
        <f t="shared" si="68"/>
        <v>445600048</v>
      </c>
      <c r="O180" s="30">
        <f t="shared" si="69"/>
        <v>1.5070619508457594</v>
      </c>
      <c r="P180" s="30">
        <f t="shared" si="70"/>
        <v>1.5070619508457594</v>
      </c>
      <c r="Q180" s="29">
        <f t="shared" si="71"/>
        <v>214.43998715000004</v>
      </c>
      <c r="R180" s="30">
        <f t="shared" si="72"/>
        <v>1.0621098436438581</v>
      </c>
      <c r="S180" s="30">
        <f t="shared" si="73"/>
        <v>1.0621098436438581</v>
      </c>
      <c r="T180" s="37">
        <f t="shared" si="74"/>
        <v>0.13999986600000014</v>
      </c>
      <c r="U180" s="30">
        <f t="shared" si="75"/>
        <v>1.3605428888756941E-2</v>
      </c>
      <c r="V180" s="38">
        <f t="shared" si="76"/>
        <v>6.9341188536543527E-4</v>
      </c>
      <c r="W180" s="9">
        <f t="shared" si="88"/>
        <v>246145664</v>
      </c>
      <c r="X180" s="12">
        <f t="shared" si="88"/>
        <v>164.20999140000004</v>
      </c>
      <c r="Y180" s="11">
        <f t="shared" si="88"/>
        <v>0.61999988499999992</v>
      </c>
      <c r="Z180" s="7">
        <f t="shared" si="91"/>
        <v>65440576</v>
      </c>
      <c r="AA180" s="7">
        <f t="shared" si="91"/>
        <v>16.36999510000004</v>
      </c>
      <c r="AB180" s="7">
        <f t="shared" si="91"/>
        <v>9.9999899999998476E-3</v>
      </c>
    </row>
    <row r="181" spans="1:28" x14ac:dyDescent="0.25">
      <c r="A181" s="2">
        <v>177</v>
      </c>
      <c r="B181">
        <v>2</v>
      </c>
      <c r="C181">
        <v>3</v>
      </c>
      <c r="D181">
        <v>1</v>
      </c>
      <c r="E181">
        <v>1</v>
      </c>
      <c r="G181">
        <v>543508672</v>
      </c>
      <c r="H181">
        <v>287.48999020000002</v>
      </c>
      <c r="I181">
        <v>3.5699999330000001</v>
      </c>
      <c r="J181" s="9">
        <f t="shared" ref="J181" si="92">ABS(G181-G180)</f>
        <v>649600</v>
      </c>
      <c r="L181" s="9">
        <f t="shared" ref="L181:M186" si="93">ABS(H181-H180)</f>
        <v>5.75</v>
      </c>
      <c r="M181" s="9">
        <f t="shared" si="93"/>
        <v>0</v>
      </c>
      <c r="N181" s="29">
        <f t="shared" si="68"/>
        <v>444496144</v>
      </c>
      <c r="O181" s="30">
        <f t="shared" si="69"/>
        <v>1.4964306469715967</v>
      </c>
      <c r="P181" s="30">
        <f t="shared" si="70"/>
        <v>1.4964306469715967</v>
      </c>
      <c r="Q181" s="29">
        <f t="shared" si="71"/>
        <v>218.90998837000001</v>
      </c>
      <c r="R181" s="30">
        <f t="shared" si="72"/>
        <v>1.0640127468094198</v>
      </c>
      <c r="S181" s="30">
        <f t="shared" si="73"/>
        <v>1.0640127468094198</v>
      </c>
      <c r="T181" s="37">
        <f t="shared" si="74"/>
        <v>0.13999986600000014</v>
      </c>
      <c r="U181" s="30">
        <f t="shared" si="75"/>
        <v>1.3605428888756941E-2</v>
      </c>
      <c r="V181" s="38">
        <f t="shared" si="76"/>
        <v>6.8046982727821908E-4</v>
      </c>
      <c r="W181" s="9">
        <f t="shared" si="88"/>
        <v>241256448</v>
      </c>
      <c r="X181" s="12">
        <f t="shared" si="88"/>
        <v>164.77999110000002</v>
      </c>
      <c r="Y181" s="11">
        <f t="shared" si="88"/>
        <v>0.61999988499999992</v>
      </c>
      <c r="Z181" s="7">
        <f t="shared" si="91"/>
        <v>65069472</v>
      </c>
      <c r="AA181" s="7">
        <f t="shared" si="91"/>
        <v>16.630004799999995</v>
      </c>
      <c r="AB181" s="7">
        <f t="shared" si="91"/>
        <v>9.9999899999998476E-3</v>
      </c>
    </row>
    <row r="182" spans="1:28" x14ac:dyDescent="0.25">
      <c r="A182" s="2">
        <v>178</v>
      </c>
      <c r="B182">
        <v>2</v>
      </c>
      <c r="C182">
        <v>3</v>
      </c>
      <c r="D182">
        <v>1</v>
      </c>
      <c r="E182">
        <v>2</v>
      </c>
      <c r="G182">
        <v>543396544</v>
      </c>
      <c r="H182">
        <v>282.77999879999999</v>
      </c>
      <c r="I182">
        <v>3.5699999330000001</v>
      </c>
      <c r="J182" s="9">
        <f t="shared" si="86"/>
        <v>112128</v>
      </c>
      <c r="L182" s="9">
        <f t="shared" si="93"/>
        <v>4.7099914000000354</v>
      </c>
      <c r="M182" s="9">
        <f t="shared" si="93"/>
        <v>0</v>
      </c>
      <c r="N182" s="29">
        <f t="shared" si="68"/>
        <v>444843336</v>
      </c>
      <c r="O182" s="30">
        <f t="shared" si="69"/>
        <v>1.5045792522552892</v>
      </c>
      <c r="P182" s="30">
        <f t="shared" si="70"/>
        <v>1.5045792522552892</v>
      </c>
      <c r="Q182" s="29">
        <f t="shared" si="71"/>
        <v>215.18000032999998</v>
      </c>
      <c r="R182" s="30">
        <f t="shared" si="72"/>
        <v>1.0610453905335222</v>
      </c>
      <c r="S182" s="30">
        <f t="shared" si="73"/>
        <v>1.0610453905335222</v>
      </c>
      <c r="T182" s="37">
        <f t="shared" si="74"/>
        <v>0.13999986600000014</v>
      </c>
      <c r="U182" s="30">
        <f t="shared" si="75"/>
        <v>1.3605428888756941E-2</v>
      </c>
      <c r="V182" s="38">
        <f t="shared" si="76"/>
        <v>6.9033466059485315E-4</v>
      </c>
      <c r="W182" s="9">
        <f t="shared" si="88"/>
        <v>243818880</v>
      </c>
      <c r="X182" s="12">
        <f t="shared" si="88"/>
        <v>162.40000149999997</v>
      </c>
      <c r="Y182" s="11">
        <f t="shared" si="88"/>
        <v>0.61999988499999992</v>
      </c>
      <c r="Z182" s="7">
        <f t="shared" si="91"/>
        <v>65266944</v>
      </c>
      <c r="AA182" s="7">
        <f t="shared" si="91"/>
        <v>16.39999389999997</v>
      </c>
      <c r="AB182" s="7">
        <f t="shared" si="91"/>
        <v>9.9999899999998476E-3</v>
      </c>
    </row>
    <row r="183" spans="1:28" x14ac:dyDescent="0.25">
      <c r="A183" s="2">
        <v>179</v>
      </c>
      <c r="B183">
        <v>2</v>
      </c>
      <c r="C183">
        <v>3</v>
      </c>
      <c r="D183">
        <v>1</v>
      </c>
      <c r="E183">
        <v>3</v>
      </c>
      <c r="G183">
        <v>531298880</v>
      </c>
      <c r="H183">
        <v>287.52999879999999</v>
      </c>
      <c r="I183">
        <v>3.5699999330000001</v>
      </c>
      <c r="J183" s="9">
        <f t="shared" si="86"/>
        <v>12097664</v>
      </c>
      <c r="L183" s="9">
        <f t="shared" si="93"/>
        <v>4.75</v>
      </c>
      <c r="M183" s="9">
        <f t="shared" si="93"/>
        <v>0</v>
      </c>
      <c r="N183" s="29">
        <f t="shared" si="68"/>
        <v>434214144</v>
      </c>
      <c r="O183" s="30">
        <f t="shared" si="69"/>
        <v>1.4908424739394668</v>
      </c>
      <c r="P183" s="30">
        <f t="shared" si="70"/>
        <v>1.4908424739394668</v>
      </c>
      <c r="Q183" s="29">
        <f t="shared" si="71"/>
        <v>218.76000216</v>
      </c>
      <c r="R183" s="30">
        <f t="shared" si="72"/>
        <v>1.0603461434166503</v>
      </c>
      <c r="S183" s="30">
        <f t="shared" si="73"/>
        <v>1.0603461434166503</v>
      </c>
      <c r="T183" s="37">
        <f t="shared" si="74"/>
        <v>0.13999986600000014</v>
      </c>
      <c r="U183" s="30">
        <f t="shared" si="75"/>
        <v>1.3605428888756941E-2</v>
      </c>
      <c r="V183" s="38">
        <f t="shared" si="76"/>
        <v>6.7858985429783273E-4</v>
      </c>
      <c r="W183" s="9">
        <f t="shared" si="88"/>
        <v>230044512</v>
      </c>
      <c r="X183" s="12">
        <f t="shared" si="88"/>
        <v>159.27000429999998</v>
      </c>
      <c r="Y183" s="11">
        <f t="shared" si="88"/>
        <v>0.61999988499999992</v>
      </c>
      <c r="Z183" s="7">
        <f t="shared" si="91"/>
        <v>63428032</v>
      </c>
      <c r="AA183" s="7">
        <f t="shared" si="91"/>
        <v>16.540008599999965</v>
      </c>
      <c r="AB183" s="7">
        <f t="shared" si="91"/>
        <v>9.9999899999998476E-3</v>
      </c>
    </row>
    <row r="184" spans="1:28" x14ac:dyDescent="0.25">
      <c r="A184" s="2">
        <v>180</v>
      </c>
      <c r="B184">
        <v>2</v>
      </c>
      <c r="C184">
        <v>3</v>
      </c>
      <c r="D184">
        <v>1</v>
      </c>
      <c r="E184">
        <v>4</v>
      </c>
      <c r="G184">
        <v>489633280</v>
      </c>
      <c r="H184">
        <v>277.5</v>
      </c>
      <c r="I184">
        <v>3.5699999330000001</v>
      </c>
      <c r="J184" s="9">
        <f t="shared" si="86"/>
        <v>41665600</v>
      </c>
      <c r="L184" s="9">
        <f t="shared" si="93"/>
        <v>10.029998799999987</v>
      </c>
      <c r="M184" s="9">
        <f t="shared" si="93"/>
        <v>0</v>
      </c>
      <c r="N184" s="29">
        <f t="shared" si="68"/>
        <v>400447024</v>
      </c>
      <c r="O184" s="30">
        <f t="shared" si="69"/>
        <v>1.4966694120822084</v>
      </c>
      <c r="P184" s="30">
        <f t="shared" si="70"/>
        <v>1.4966694120822084</v>
      </c>
      <c r="Q184" s="29">
        <f t="shared" si="71"/>
        <v>211.02999878</v>
      </c>
      <c r="R184" s="30">
        <f t="shared" si="72"/>
        <v>1.0582718765695047</v>
      </c>
      <c r="S184" s="30">
        <f t="shared" si="73"/>
        <v>1.0582718765695047</v>
      </c>
      <c r="T184" s="37">
        <f t="shared" si="74"/>
        <v>0.13999986600000014</v>
      </c>
      <c r="U184" s="30">
        <f t="shared" si="75"/>
        <v>1.3605428888756941E-2</v>
      </c>
      <c r="V184" s="38">
        <f t="shared" si="76"/>
        <v>7.0207042490558333E-4</v>
      </c>
      <c r="W184" s="9">
        <f t="shared" si="88"/>
        <v>207835904</v>
      </c>
      <c r="X184" s="12">
        <f t="shared" si="88"/>
        <v>153.4100037</v>
      </c>
      <c r="Y184" s="11">
        <f t="shared" si="88"/>
        <v>0.61999988499999992</v>
      </c>
      <c r="Z184" s="7">
        <f t="shared" si="91"/>
        <v>58050560</v>
      </c>
      <c r="AA184" s="7">
        <f t="shared" si="91"/>
        <v>15.950012200000003</v>
      </c>
      <c r="AB184" s="7">
        <f t="shared" si="91"/>
        <v>9.9999899999998476E-3</v>
      </c>
    </row>
    <row r="185" spans="1:28" x14ac:dyDescent="0.25">
      <c r="A185" s="2">
        <v>181</v>
      </c>
      <c r="B185">
        <v>2</v>
      </c>
      <c r="C185">
        <v>3</v>
      </c>
      <c r="D185">
        <v>1</v>
      </c>
      <c r="E185">
        <v>5</v>
      </c>
      <c r="G185">
        <v>452760736</v>
      </c>
      <c r="H185">
        <v>251.6999969</v>
      </c>
      <c r="I185">
        <v>3.5699999330000001</v>
      </c>
      <c r="J185" s="9">
        <f t="shared" si="86"/>
        <v>36872544</v>
      </c>
      <c r="L185" s="9">
        <f t="shared" si="93"/>
        <v>25.800003099999998</v>
      </c>
      <c r="M185" s="9">
        <f t="shared" si="93"/>
        <v>0</v>
      </c>
      <c r="N185" s="29">
        <f t="shared" si="68"/>
        <v>371800976</v>
      </c>
      <c r="O185" s="30">
        <f t="shared" si="69"/>
        <v>1.5308056578560345</v>
      </c>
      <c r="P185" s="30">
        <f t="shared" si="70"/>
        <v>1.5308056578560345</v>
      </c>
      <c r="Q185" s="29">
        <f t="shared" si="71"/>
        <v>190.18999858000001</v>
      </c>
      <c r="R185" s="30">
        <f t="shared" si="72"/>
        <v>1.0306725398286978</v>
      </c>
      <c r="S185" s="30">
        <f t="shared" si="73"/>
        <v>1.0306725398286978</v>
      </c>
      <c r="T185" s="37">
        <f t="shared" si="74"/>
        <v>0.13999986600000014</v>
      </c>
      <c r="U185" s="30">
        <f t="shared" si="75"/>
        <v>1.3605428888756941E-2</v>
      </c>
      <c r="V185" s="38">
        <f t="shared" si="76"/>
        <v>7.5868351933975535E-4</v>
      </c>
      <c r="W185" s="9">
        <f t="shared" si="88"/>
        <v>192116336</v>
      </c>
      <c r="X185" s="12">
        <f t="shared" si="88"/>
        <v>131.5999984</v>
      </c>
      <c r="Y185" s="11">
        <f t="shared" si="88"/>
        <v>0.61999988499999992</v>
      </c>
      <c r="Z185" s="7">
        <f t="shared" si="91"/>
        <v>54119840</v>
      </c>
      <c r="AA185" s="7">
        <f t="shared" si="91"/>
        <v>14.440002399999997</v>
      </c>
      <c r="AB185" s="7">
        <f t="shared" si="91"/>
        <v>9.9999899999998476E-3</v>
      </c>
    </row>
    <row r="186" spans="1:28" x14ac:dyDescent="0.25">
      <c r="A186" s="2">
        <v>182</v>
      </c>
      <c r="B186">
        <v>2</v>
      </c>
      <c r="C186">
        <v>3</v>
      </c>
      <c r="D186">
        <v>1</v>
      </c>
      <c r="E186">
        <v>6</v>
      </c>
      <c r="G186">
        <v>370770144</v>
      </c>
      <c r="H186">
        <v>217.8099976</v>
      </c>
      <c r="I186">
        <v>3.5699999330000001</v>
      </c>
      <c r="J186" s="9">
        <f t="shared" si="86"/>
        <v>81990592</v>
      </c>
      <c r="L186" s="9">
        <f t="shared" si="93"/>
        <v>33.889999299999999</v>
      </c>
      <c r="M186" s="9">
        <f t="shared" si="93"/>
        <v>0</v>
      </c>
      <c r="N186" s="29">
        <f t="shared" si="68"/>
        <v>306458548</v>
      </c>
      <c r="O186" s="30">
        <f t="shared" si="69"/>
        <v>1.5884048241211948</v>
      </c>
      <c r="P186" s="30">
        <f t="shared" si="70"/>
        <v>1.5884048241211948</v>
      </c>
      <c r="Q186" s="29">
        <f t="shared" si="71"/>
        <v>163.73999791</v>
      </c>
      <c r="R186" s="30">
        <f t="shared" si="72"/>
        <v>1.0094322103986928</v>
      </c>
      <c r="S186" s="30">
        <f t="shared" si="73"/>
        <v>1.0094322103986928</v>
      </c>
      <c r="T186" s="37">
        <f t="shared" si="74"/>
        <v>0.13999986600000014</v>
      </c>
      <c r="U186" s="30">
        <f t="shared" si="75"/>
        <v>1.3605428888756941E-2</v>
      </c>
      <c r="V186" s="38">
        <f t="shared" si="76"/>
        <v>8.6307790396808199E-4</v>
      </c>
      <c r="W186" s="9">
        <f t="shared" ref="W186:Y201" si="94">ABS(G186-G165)</f>
        <v>153799072</v>
      </c>
      <c r="X186" s="12">
        <f t="shared" si="94"/>
        <v>110.22000130000001</v>
      </c>
      <c r="Y186" s="11">
        <f t="shared" si="94"/>
        <v>0.61999988499999992</v>
      </c>
      <c r="Z186" s="7">
        <f t="shared" si="91"/>
        <v>44500064</v>
      </c>
      <c r="AA186" s="7">
        <f t="shared" si="91"/>
        <v>12.5</v>
      </c>
      <c r="AB186" s="7">
        <f t="shared" si="91"/>
        <v>9.9999899999998476E-3</v>
      </c>
    </row>
    <row r="187" spans="1:28" x14ac:dyDescent="0.25">
      <c r="A187" s="2">
        <v>183</v>
      </c>
      <c r="B187">
        <v>2</v>
      </c>
      <c r="C187">
        <v>3</v>
      </c>
      <c r="D187">
        <v>2</v>
      </c>
      <c r="E187">
        <v>0</v>
      </c>
      <c r="G187">
        <v>1639195264</v>
      </c>
      <c r="H187">
        <v>-9999.9902340000008</v>
      </c>
      <c r="I187">
        <v>3.8199999330000001</v>
      </c>
      <c r="N187" s="29">
        <f t="shared" si="68"/>
        <v>1095036992</v>
      </c>
      <c r="O187" s="30">
        <f t="shared" si="69"/>
        <v>0.6707833905108157</v>
      </c>
      <c r="P187" s="30">
        <f t="shared" si="70"/>
        <v>1.3415667810216314</v>
      </c>
      <c r="Q187" s="29">
        <f t="shared" si="71"/>
        <v>10281.730224200001</v>
      </c>
      <c r="R187" s="30">
        <f t="shared" si="72"/>
        <v>12.164561394474935</v>
      </c>
      <c r="S187" s="30">
        <f t="shared" si="73"/>
        <v>24.329122788949871</v>
      </c>
      <c r="T187" s="37">
        <f t="shared" si="74"/>
        <v>0.25</v>
      </c>
      <c r="U187" s="30">
        <f t="shared" si="75"/>
        <v>2.3342670839577667E-2</v>
      </c>
      <c r="V187" s="38">
        <f t="shared" si="76"/>
        <v>5.9156198077651046E-4</v>
      </c>
      <c r="W187" s="9">
        <f t="shared" si="94"/>
        <v>512404480</v>
      </c>
      <c r="X187" s="12">
        <f t="shared" si="94"/>
        <v>10318.490234000001</v>
      </c>
      <c r="Y187" s="11">
        <f t="shared" si="94"/>
        <v>0.73000001900000022</v>
      </c>
      <c r="Z187" s="7">
        <f t="shared" si="91"/>
        <v>179332352</v>
      </c>
      <c r="AA187" s="7">
        <f t="shared" si="91"/>
        <v>0</v>
      </c>
      <c r="AB187" s="7">
        <f t="shared" si="91"/>
        <v>9.9999899999998476E-3</v>
      </c>
    </row>
    <row r="188" spans="1:28" x14ac:dyDescent="0.25">
      <c r="A188" s="2">
        <v>184</v>
      </c>
      <c r="B188">
        <v>2</v>
      </c>
      <c r="C188">
        <v>3</v>
      </c>
      <c r="D188">
        <v>2</v>
      </c>
      <c r="E188">
        <v>1</v>
      </c>
      <c r="G188">
        <v>1630996992</v>
      </c>
      <c r="H188">
        <v>-9999.9902340000008</v>
      </c>
      <c r="I188">
        <v>3.8199999330000001</v>
      </c>
      <c r="J188" s="9">
        <f t="shared" ref="J188" si="95">ABS(G188-G187)</f>
        <v>8198272</v>
      </c>
      <c r="L188" s="9">
        <f t="shared" ref="L188:M193" si="96">ABS(H188-H187)</f>
        <v>0</v>
      </c>
      <c r="M188" s="9">
        <f t="shared" si="96"/>
        <v>0</v>
      </c>
      <c r="N188" s="29">
        <f t="shared" si="68"/>
        <v>1087488320</v>
      </c>
      <c r="O188" s="30">
        <f t="shared" si="69"/>
        <v>0.66695551578368673</v>
      </c>
      <c r="P188" s="30">
        <f t="shared" si="70"/>
        <v>1.3339110315673735</v>
      </c>
      <c r="Q188" s="29">
        <f t="shared" si="71"/>
        <v>10287.480224200001</v>
      </c>
      <c r="R188" s="30">
        <f t="shared" si="72"/>
        <v>11.927928594479924</v>
      </c>
      <c r="S188" s="30">
        <f t="shared" si="73"/>
        <v>23.855857188959849</v>
      </c>
      <c r="T188" s="37">
        <f t="shared" si="74"/>
        <v>0.25</v>
      </c>
      <c r="U188" s="30">
        <f t="shared" si="75"/>
        <v>2.3342670839577667E-2</v>
      </c>
      <c r="V188" s="38">
        <f t="shared" si="76"/>
        <v>5.7973032922196911E-4</v>
      </c>
      <c r="W188" s="9">
        <f t="shared" si="94"/>
        <v>500185472</v>
      </c>
      <c r="X188" s="12">
        <f t="shared" si="94"/>
        <v>10333.5802303</v>
      </c>
      <c r="Y188" s="11">
        <f t="shared" si="94"/>
        <v>0.73000001900000022</v>
      </c>
      <c r="Z188" s="7">
        <f t="shared" si="91"/>
        <v>177816832</v>
      </c>
      <c r="AA188" s="7">
        <f t="shared" si="91"/>
        <v>0</v>
      </c>
      <c r="AB188" s="7">
        <f t="shared" si="91"/>
        <v>9.9999899999998476E-3</v>
      </c>
    </row>
    <row r="189" spans="1:28" x14ac:dyDescent="0.25">
      <c r="A189" s="2">
        <v>185</v>
      </c>
      <c r="B189">
        <v>2</v>
      </c>
      <c r="C189">
        <v>3</v>
      </c>
      <c r="D189">
        <v>2</v>
      </c>
      <c r="E189">
        <v>2</v>
      </c>
      <c r="G189">
        <v>1635720576</v>
      </c>
      <c r="H189">
        <v>-9999.9902340000008</v>
      </c>
      <c r="I189">
        <v>3.8199999330000001</v>
      </c>
      <c r="J189" s="9">
        <f t="shared" si="84"/>
        <v>4723584</v>
      </c>
      <c r="L189" s="9">
        <f t="shared" si="96"/>
        <v>0</v>
      </c>
      <c r="M189" s="9">
        <f t="shared" si="96"/>
        <v>0</v>
      </c>
      <c r="N189" s="29">
        <f t="shared" si="68"/>
        <v>1092324032</v>
      </c>
      <c r="O189" s="30">
        <f t="shared" si="69"/>
        <v>0.67005948912819491</v>
      </c>
      <c r="P189" s="30">
        <f t="shared" si="70"/>
        <v>1.3401189782563898</v>
      </c>
      <c r="Q189" s="29">
        <f t="shared" si="71"/>
        <v>10282.770232800001</v>
      </c>
      <c r="R189" s="30">
        <f t="shared" si="72"/>
        <v>12.121048490505901</v>
      </c>
      <c r="S189" s="30">
        <f t="shared" si="73"/>
        <v>24.242096981011802</v>
      </c>
      <c r="T189" s="37">
        <f t="shared" si="74"/>
        <v>0.25</v>
      </c>
      <c r="U189" s="30">
        <f t="shared" si="75"/>
        <v>2.3342670839577667E-2</v>
      </c>
      <c r="V189" s="38">
        <f t="shared" si="76"/>
        <v>5.8938633345332161E-4</v>
      </c>
      <c r="W189" s="9">
        <f t="shared" si="94"/>
        <v>507802880</v>
      </c>
      <c r="X189" s="12">
        <f t="shared" si="94"/>
        <v>10326.260223000001</v>
      </c>
      <c r="Y189" s="11">
        <f t="shared" si="94"/>
        <v>0.73000001900000022</v>
      </c>
      <c r="Z189" s="7">
        <f t="shared" si="91"/>
        <v>178894080</v>
      </c>
      <c r="AA189" s="7">
        <f t="shared" si="91"/>
        <v>0</v>
      </c>
      <c r="AB189" s="7">
        <f t="shared" si="91"/>
        <v>9.9999899999998476E-3</v>
      </c>
    </row>
    <row r="190" spans="1:28" x14ac:dyDescent="0.25">
      <c r="A190" s="2">
        <v>186</v>
      </c>
      <c r="B190">
        <v>2</v>
      </c>
      <c r="C190">
        <v>3</v>
      </c>
      <c r="D190">
        <v>2</v>
      </c>
      <c r="E190">
        <v>3</v>
      </c>
      <c r="G190">
        <v>1588363392</v>
      </c>
      <c r="H190">
        <v>-9999.9902340000008</v>
      </c>
      <c r="I190">
        <v>3.829999924</v>
      </c>
      <c r="J190" s="9">
        <f t="shared" si="84"/>
        <v>47357184</v>
      </c>
      <c r="L190" s="9">
        <f t="shared" si="96"/>
        <v>0</v>
      </c>
      <c r="M190" s="9">
        <f t="shared" si="96"/>
        <v>9.9999909999999304E-3</v>
      </c>
      <c r="N190" s="29">
        <f t="shared" si="68"/>
        <v>1057064512</v>
      </c>
      <c r="O190" s="30">
        <f t="shared" si="69"/>
        <v>0.66319514419705405</v>
      </c>
      <c r="P190" s="30">
        <f t="shared" si="70"/>
        <v>1.3263902883941081</v>
      </c>
      <c r="Q190" s="29">
        <f t="shared" si="71"/>
        <v>10287.520232800001</v>
      </c>
      <c r="R190" s="30">
        <f t="shared" si="72"/>
        <v>11.926315254912225</v>
      </c>
      <c r="S190" s="30">
        <f t="shared" si="73"/>
        <v>23.852630509824451</v>
      </c>
      <c r="T190" s="37">
        <f t="shared" si="74"/>
        <v>0.25999999099999993</v>
      </c>
      <c r="U190" s="30">
        <f t="shared" si="75"/>
        <v>2.4276376832824617E-2</v>
      </c>
      <c r="V190" s="38">
        <f t="shared" si="76"/>
        <v>6.0283562778400883E-4</v>
      </c>
      <c r="W190" s="9">
        <f t="shared" si="94"/>
        <v>475601152</v>
      </c>
      <c r="X190" s="12">
        <f t="shared" si="94"/>
        <v>10349.150237700002</v>
      </c>
      <c r="Y190" s="11">
        <f t="shared" si="94"/>
        <v>0.74000001000000015</v>
      </c>
      <c r="Z190" s="7">
        <f t="shared" ref="Z190:AB205" si="97">ABS(G190-G85)</f>
        <v>172939520</v>
      </c>
      <c r="AA190" s="7">
        <f t="shared" si="97"/>
        <v>0</v>
      </c>
      <c r="AB190" s="7">
        <f t="shared" si="97"/>
        <v>1.9999980999999778E-2</v>
      </c>
    </row>
    <row r="191" spans="1:28" x14ac:dyDescent="0.25">
      <c r="A191" s="2">
        <v>187</v>
      </c>
      <c r="B191">
        <v>2</v>
      </c>
      <c r="C191">
        <v>3</v>
      </c>
      <c r="D191">
        <v>2</v>
      </c>
      <c r="E191">
        <v>4</v>
      </c>
      <c r="G191">
        <v>1455600768</v>
      </c>
      <c r="H191">
        <v>-9999.9902340000008</v>
      </c>
      <c r="I191">
        <v>3.829999924</v>
      </c>
      <c r="J191" s="9">
        <f t="shared" si="84"/>
        <v>132762624</v>
      </c>
      <c r="L191" s="9">
        <f t="shared" si="96"/>
        <v>0</v>
      </c>
      <c r="M191" s="9">
        <f t="shared" si="96"/>
        <v>0</v>
      </c>
      <c r="N191" s="29">
        <f t="shared" si="68"/>
        <v>965967488</v>
      </c>
      <c r="O191" s="30">
        <f t="shared" si="69"/>
        <v>0.65761290300092889</v>
      </c>
      <c r="P191" s="30">
        <f t="shared" si="70"/>
        <v>1.3152258060018578</v>
      </c>
      <c r="Q191" s="29">
        <f t="shared" si="71"/>
        <v>10277.490234000001</v>
      </c>
      <c r="R191" s="30">
        <f t="shared" si="72"/>
        <v>12.345333614414415</v>
      </c>
      <c r="S191" s="30">
        <f t="shared" si="73"/>
        <v>24.690667228828829</v>
      </c>
      <c r="T191" s="37">
        <f t="shared" si="74"/>
        <v>0.25999999099999993</v>
      </c>
      <c r="U191" s="30">
        <f t="shared" si="75"/>
        <v>2.4276376832824617E-2</v>
      </c>
      <c r="V191" s="38">
        <f t="shared" si="76"/>
        <v>6.2462460300300284E-4</v>
      </c>
      <c r="W191" s="9">
        <f t="shared" si="94"/>
        <v>424384576</v>
      </c>
      <c r="X191" s="12">
        <f t="shared" si="94"/>
        <v>10338.360229100001</v>
      </c>
      <c r="Y191" s="11">
        <f t="shared" si="94"/>
        <v>0.74000001000000015</v>
      </c>
      <c r="Z191" s="7">
        <f t="shared" si="97"/>
        <v>157807360</v>
      </c>
      <c r="AA191" s="7">
        <f t="shared" si="97"/>
        <v>10866.730224200001</v>
      </c>
      <c r="AB191" s="7">
        <f t="shared" si="97"/>
        <v>1.9999980999999778E-2</v>
      </c>
    </row>
    <row r="192" spans="1:28" x14ac:dyDescent="0.25">
      <c r="A192" s="2">
        <v>188</v>
      </c>
      <c r="B192">
        <v>2</v>
      </c>
      <c r="C192">
        <v>3</v>
      </c>
      <c r="D192">
        <v>2</v>
      </c>
      <c r="E192">
        <v>5</v>
      </c>
      <c r="G192">
        <v>1356557184</v>
      </c>
      <c r="H192">
        <v>836.60998540000003</v>
      </c>
      <c r="I192">
        <v>3.829999924</v>
      </c>
      <c r="J192" s="9">
        <f t="shared" si="84"/>
        <v>99043584</v>
      </c>
      <c r="L192" s="9">
        <f t="shared" si="96"/>
        <v>10836.600219400001</v>
      </c>
      <c r="M192" s="9">
        <f t="shared" si="96"/>
        <v>0</v>
      </c>
      <c r="N192" s="29">
        <f t="shared" si="68"/>
        <v>903796448</v>
      </c>
      <c r="O192" s="30">
        <f t="shared" si="69"/>
        <v>0.6653966625468748</v>
      </c>
      <c r="P192" s="30">
        <f t="shared" si="70"/>
        <v>1.3307933250937496</v>
      </c>
      <c r="Q192" s="29">
        <f t="shared" si="71"/>
        <v>584.90998850000005</v>
      </c>
      <c r="R192" s="30">
        <f t="shared" si="72"/>
        <v>0.77461262839875189</v>
      </c>
      <c r="S192" s="30">
        <f t="shared" si="73"/>
        <v>1.5492252567975038</v>
      </c>
      <c r="T192" s="37">
        <f t="shared" si="74"/>
        <v>0.25999999099999993</v>
      </c>
      <c r="U192" s="30">
        <f t="shared" si="75"/>
        <v>2.4276376832824617E-2</v>
      </c>
      <c r="V192" s="38">
        <f t="shared" si="76"/>
        <v>6.8865049450993166E-4</v>
      </c>
      <c r="W192" s="9">
        <f t="shared" si="94"/>
        <v>398058560</v>
      </c>
      <c r="X192" s="12">
        <f t="shared" si="94"/>
        <v>511.50997930000005</v>
      </c>
      <c r="Y192" s="11">
        <f t="shared" si="94"/>
        <v>0.74000001000000015</v>
      </c>
      <c r="Z192" s="7">
        <f t="shared" si="97"/>
        <v>147604224</v>
      </c>
      <c r="AA192" s="7">
        <f t="shared" si="97"/>
        <v>51.479980500000011</v>
      </c>
      <c r="AB192" s="7">
        <f t="shared" si="97"/>
        <v>1.9999980999999778E-2</v>
      </c>
    </row>
    <row r="193" spans="1:28" x14ac:dyDescent="0.25">
      <c r="A193" s="2">
        <v>189</v>
      </c>
      <c r="B193">
        <v>2</v>
      </c>
      <c r="C193">
        <v>3</v>
      </c>
      <c r="D193">
        <v>2</v>
      </c>
      <c r="E193">
        <v>6</v>
      </c>
      <c r="G193">
        <v>1110798848</v>
      </c>
      <c r="H193">
        <v>701.52001949999999</v>
      </c>
      <c r="I193">
        <v>3.829999924</v>
      </c>
      <c r="J193" s="9">
        <f t="shared" si="84"/>
        <v>245758336</v>
      </c>
      <c r="L193" s="9">
        <f t="shared" si="96"/>
        <v>135.08996590000004</v>
      </c>
      <c r="M193" s="9">
        <f t="shared" si="96"/>
        <v>0</v>
      </c>
      <c r="N193" s="29">
        <f t="shared" si="68"/>
        <v>740028704</v>
      </c>
      <c r="O193" s="30">
        <f t="shared" si="69"/>
        <v>0.6653077079115266</v>
      </c>
      <c r="P193" s="30">
        <f t="shared" si="70"/>
        <v>1.3306154158230532</v>
      </c>
      <c r="Q193" s="29">
        <f t="shared" si="71"/>
        <v>483.71002190000002</v>
      </c>
      <c r="R193" s="30">
        <f t="shared" si="72"/>
        <v>0.74026296195444552</v>
      </c>
      <c r="S193" s="30">
        <f t="shared" si="73"/>
        <v>1.480525923908891</v>
      </c>
      <c r="T193" s="37">
        <f t="shared" si="74"/>
        <v>0.25999999099999993</v>
      </c>
      <c r="U193" s="30">
        <f t="shared" si="75"/>
        <v>2.4276376832824617E-2</v>
      </c>
      <c r="V193" s="38">
        <f t="shared" si="76"/>
        <v>7.9580060255844427E-4</v>
      </c>
      <c r="W193" s="9">
        <f t="shared" si="94"/>
        <v>314882112</v>
      </c>
      <c r="X193" s="12">
        <f t="shared" si="94"/>
        <v>411.39001459999997</v>
      </c>
      <c r="Y193" s="11">
        <f t="shared" si="94"/>
        <v>0.74000001000000015</v>
      </c>
      <c r="Z193" s="7">
        <f t="shared" si="97"/>
        <v>121128832</v>
      </c>
      <c r="AA193" s="7">
        <f t="shared" si="97"/>
        <v>42.590026800000032</v>
      </c>
      <c r="AB193" s="7">
        <f t="shared" si="97"/>
        <v>1.9999980999999778E-2</v>
      </c>
    </row>
    <row r="194" spans="1:28" x14ac:dyDescent="0.25">
      <c r="A194" s="2">
        <v>190</v>
      </c>
      <c r="B194">
        <v>2</v>
      </c>
      <c r="C194">
        <v>4</v>
      </c>
      <c r="D194">
        <v>0</v>
      </c>
      <c r="E194">
        <v>0</v>
      </c>
      <c r="G194">
        <v>138079264</v>
      </c>
      <c r="H194">
        <v>108.0899963</v>
      </c>
      <c r="I194">
        <v>3.960000038</v>
      </c>
      <c r="N194" s="29">
        <f t="shared" si="68"/>
        <v>1501116000</v>
      </c>
      <c r="O194" s="30">
        <f t="shared" si="69"/>
        <v>0.30525466427897147</v>
      </c>
      <c r="P194" s="30">
        <f t="shared" si="70"/>
        <v>1.0175155475965714</v>
      </c>
      <c r="Q194" s="29">
        <f t="shared" si="71"/>
        <v>10108.0802303</v>
      </c>
      <c r="R194" s="30">
        <f t="shared" si="72"/>
        <v>0.33693633672869311</v>
      </c>
      <c r="S194" s="30">
        <f t="shared" si="73"/>
        <v>1.123121122428977</v>
      </c>
      <c r="T194" s="37">
        <f t="shared" si="74"/>
        <v>0.14000010499999993</v>
      </c>
      <c r="U194" s="30">
        <f t="shared" si="75"/>
        <v>1.2216414263132564E-2</v>
      </c>
      <c r="V194" s="38">
        <f t="shared" si="76"/>
        <v>1.5555582413803999E-5</v>
      </c>
      <c r="W194" s="9">
        <f t="shared" si="94"/>
        <v>39521040</v>
      </c>
      <c r="X194" s="12">
        <f t="shared" si="94"/>
        <v>40.789993249999995</v>
      </c>
      <c r="Y194" s="11">
        <f t="shared" si="94"/>
        <v>0.52999997100000007</v>
      </c>
      <c r="Z194" s="7">
        <f t="shared" si="97"/>
        <v>16563688</v>
      </c>
      <c r="AA194" s="7">
        <f t="shared" si="97"/>
        <v>5.9599989999999963</v>
      </c>
      <c r="AB194" s="7">
        <f t="shared" si="97"/>
        <v>0</v>
      </c>
    </row>
    <row r="195" spans="1:28" x14ac:dyDescent="0.25">
      <c r="A195" s="2">
        <v>191</v>
      </c>
      <c r="B195">
        <v>2</v>
      </c>
      <c r="C195">
        <v>4</v>
      </c>
      <c r="D195">
        <v>0</v>
      </c>
      <c r="E195">
        <v>1</v>
      </c>
      <c r="G195">
        <v>137525792</v>
      </c>
      <c r="H195">
        <v>108.6299973</v>
      </c>
      <c r="I195">
        <v>3.960000038</v>
      </c>
      <c r="J195" s="9">
        <f t="shared" ref="J195" si="98">ABS(G195-G194)</f>
        <v>553472</v>
      </c>
      <c r="L195" s="9">
        <f t="shared" ref="L195:M200" si="99">ABS(H195-H194)</f>
        <v>0.54000100000000373</v>
      </c>
      <c r="M195" s="9">
        <f t="shared" si="99"/>
        <v>0</v>
      </c>
      <c r="N195" s="29">
        <f t="shared" si="68"/>
        <v>1493471200</v>
      </c>
      <c r="O195" s="30">
        <f t="shared" si="69"/>
        <v>0.30522664099023261</v>
      </c>
      <c r="P195" s="30">
        <f t="shared" si="70"/>
        <v>1.0174221366341087</v>
      </c>
      <c r="Q195" s="29">
        <f t="shared" si="71"/>
        <v>10108.620231300001</v>
      </c>
      <c r="R195" s="30">
        <f t="shared" si="72"/>
        <v>0.33695433677960529</v>
      </c>
      <c r="S195" s="30">
        <f t="shared" si="73"/>
        <v>1.1231811225986843</v>
      </c>
      <c r="T195" s="37">
        <f t="shared" si="74"/>
        <v>0.14000010499999993</v>
      </c>
      <c r="U195" s="30">
        <f t="shared" si="75"/>
        <v>1.2216414263132564E-2</v>
      </c>
      <c r="V195" s="38">
        <f t="shared" si="76"/>
        <v>1.5555582413803999E-5</v>
      </c>
      <c r="W195" s="9">
        <f t="shared" si="94"/>
        <v>38513264</v>
      </c>
      <c r="X195" s="12">
        <f t="shared" si="94"/>
        <v>40.049995469999999</v>
      </c>
      <c r="Y195" s="11">
        <f t="shared" si="94"/>
        <v>0.52999997100000007</v>
      </c>
      <c r="Z195" s="7">
        <f t="shared" si="97"/>
        <v>16470632</v>
      </c>
      <c r="AA195" s="7">
        <f t="shared" si="97"/>
        <v>5.9899979000000059</v>
      </c>
      <c r="AB195" s="7">
        <f t="shared" si="97"/>
        <v>0</v>
      </c>
    </row>
    <row r="196" spans="1:28" x14ac:dyDescent="0.25">
      <c r="A196" s="2">
        <v>192</v>
      </c>
      <c r="B196">
        <v>2</v>
      </c>
      <c r="C196">
        <v>4</v>
      </c>
      <c r="D196">
        <v>0</v>
      </c>
      <c r="E196">
        <v>2</v>
      </c>
      <c r="G196">
        <v>137780800</v>
      </c>
      <c r="H196">
        <v>108.0400009</v>
      </c>
      <c r="I196">
        <v>3.960000038</v>
      </c>
      <c r="J196" s="9">
        <f t="shared" si="86"/>
        <v>255008</v>
      </c>
      <c r="L196" s="9">
        <f t="shared" si="99"/>
        <v>0.58999640000000397</v>
      </c>
      <c r="M196" s="9">
        <f t="shared" si="99"/>
        <v>0</v>
      </c>
      <c r="N196" s="29">
        <f t="shared" si="68"/>
        <v>1497939776</v>
      </c>
      <c r="O196" s="30">
        <f t="shared" si="69"/>
        <v>0.30525584014336365</v>
      </c>
      <c r="P196" s="30">
        <f t="shared" si="70"/>
        <v>1.0175194671445453</v>
      </c>
      <c r="Q196" s="29">
        <f t="shared" si="71"/>
        <v>10108.030234900001</v>
      </c>
      <c r="R196" s="30">
        <f t="shared" si="72"/>
        <v>0.3369346702137323</v>
      </c>
      <c r="S196" s="30">
        <f t="shared" si="73"/>
        <v>1.1231155673791076</v>
      </c>
      <c r="T196" s="37">
        <f t="shared" si="74"/>
        <v>0.14000010499999993</v>
      </c>
      <c r="U196" s="30">
        <f t="shared" si="75"/>
        <v>1.2216414263132564E-2</v>
      </c>
      <c r="V196" s="38">
        <f t="shared" si="76"/>
        <v>1.5555582413803999E-5</v>
      </c>
      <c r="W196" s="9">
        <f t="shared" si="94"/>
        <v>39227592</v>
      </c>
      <c r="X196" s="12">
        <f t="shared" si="94"/>
        <v>40.440002429999993</v>
      </c>
      <c r="Y196" s="11">
        <f t="shared" si="94"/>
        <v>0.52999997100000007</v>
      </c>
      <c r="Z196" s="7">
        <f t="shared" si="97"/>
        <v>16523184</v>
      </c>
      <c r="AA196" s="7">
        <f t="shared" si="97"/>
        <v>5.9500045999999998</v>
      </c>
      <c r="AB196" s="7">
        <f t="shared" si="97"/>
        <v>0</v>
      </c>
    </row>
    <row r="197" spans="1:28" x14ac:dyDescent="0.25">
      <c r="A197" s="2">
        <v>193</v>
      </c>
      <c r="B197">
        <v>2</v>
      </c>
      <c r="C197">
        <v>4</v>
      </c>
      <c r="D197">
        <v>0</v>
      </c>
      <c r="E197">
        <v>3</v>
      </c>
      <c r="G197">
        <v>133787984</v>
      </c>
      <c r="H197">
        <v>107.1900024</v>
      </c>
      <c r="I197">
        <v>3.960000038</v>
      </c>
      <c r="J197" s="9">
        <f t="shared" si="86"/>
        <v>3992816</v>
      </c>
      <c r="L197" s="9">
        <f t="shared" si="99"/>
        <v>0.8499984999999981</v>
      </c>
      <c r="M197" s="9">
        <f t="shared" si="99"/>
        <v>0</v>
      </c>
      <c r="N197" s="29">
        <f t="shared" si="68"/>
        <v>1454575408</v>
      </c>
      <c r="O197" s="30">
        <f t="shared" si="69"/>
        <v>0.30525663823240101</v>
      </c>
      <c r="P197" s="30">
        <f t="shared" si="70"/>
        <v>1.0175221274413366</v>
      </c>
      <c r="Q197" s="29">
        <f t="shared" si="71"/>
        <v>10107.180236400001</v>
      </c>
      <c r="R197" s="30">
        <f t="shared" si="72"/>
        <v>0.33690633690272859</v>
      </c>
      <c r="S197" s="30">
        <f t="shared" si="73"/>
        <v>1.1230211230090954</v>
      </c>
      <c r="T197" s="37">
        <f t="shared" si="74"/>
        <v>0.130000114</v>
      </c>
      <c r="U197" s="30">
        <f t="shared" si="75"/>
        <v>1.1314196395094586E-2</v>
      </c>
      <c r="V197" s="38">
        <f t="shared" si="76"/>
        <v>1.4444471217581701E-5</v>
      </c>
      <c r="W197" s="9">
        <f t="shared" si="94"/>
        <v>36703248</v>
      </c>
      <c r="X197" s="12">
        <f t="shared" si="94"/>
        <v>38.420005759999995</v>
      </c>
      <c r="Y197" s="11">
        <f t="shared" si="94"/>
        <v>0.52999997100000007</v>
      </c>
      <c r="Z197" s="7">
        <f t="shared" si="97"/>
        <v>16042496</v>
      </c>
      <c r="AA197" s="7">
        <f t="shared" si="97"/>
        <v>5.9300003000000032</v>
      </c>
      <c r="AB197" s="7">
        <f t="shared" si="97"/>
        <v>0</v>
      </c>
    </row>
    <row r="198" spans="1:28" x14ac:dyDescent="0.25">
      <c r="A198" s="2">
        <v>194</v>
      </c>
      <c r="B198">
        <v>2</v>
      </c>
      <c r="C198">
        <v>4</v>
      </c>
      <c r="D198">
        <v>0</v>
      </c>
      <c r="E198">
        <v>4</v>
      </c>
      <c r="G198">
        <v>121580232</v>
      </c>
      <c r="H198">
        <v>101.4800034</v>
      </c>
      <c r="I198">
        <v>3.960000038</v>
      </c>
      <c r="J198" s="9">
        <f t="shared" si="86"/>
        <v>12207752</v>
      </c>
      <c r="L198" s="9">
        <f t="shared" si="99"/>
        <v>5.7099989999999963</v>
      </c>
      <c r="M198" s="9">
        <f t="shared" si="99"/>
        <v>0</v>
      </c>
      <c r="N198" s="29">
        <f t="shared" si="68"/>
        <v>1334020536</v>
      </c>
      <c r="O198" s="30">
        <f t="shared" si="69"/>
        <v>0.30549139693776256</v>
      </c>
      <c r="P198" s="30">
        <f t="shared" si="70"/>
        <v>1.0183046564592084</v>
      </c>
      <c r="Q198" s="29">
        <f t="shared" si="71"/>
        <v>10101.470237400001</v>
      </c>
      <c r="R198" s="30">
        <f t="shared" si="72"/>
        <v>0.33671600341684899</v>
      </c>
      <c r="S198" s="30">
        <f t="shared" si="73"/>
        <v>1.1223866780561631</v>
      </c>
      <c r="T198" s="37">
        <f t="shared" si="74"/>
        <v>0.130000114</v>
      </c>
      <c r="U198" s="30">
        <f t="shared" si="75"/>
        <v>1.1314196395094586E-2</v>
      </c>
      <c r="V198" s="38">
        <f t="shared" si="76"/>
        <v>1.4444471217581701E-5</v>
      </c>
      <c r="W198" s="9">
        <f t="shared" si="94"/>
        <v>32393976</v>
      </c>
      <c r="X198" s="12">
        <f t="shared" si="94"/>
        <v>35.010002180000001</v>
      </c>
      <c r="Y198" s="11">
        <f t="shared" si="94"/>
        <v>0.52999997100000007</v>
      </c>
      <c r="Z198" s="7">
        <f t="shared" si="97"/>
        <v>14683904</v>
      </c>
      <c r="AA198" s="7">
        <f t="shared" si="97"/>
        <v>5.6800003500000003</v>
      </c>
      <c r="AB198" s="7">
        <f t="shared" si="97"/>
        <v>0</v>
      </c>
    </row>
    <row r="199" spans="1:28" x14ac:dyDescent="0.25">
      <c r="A199" s="2">
        <v>195</v>
      </c>
      <c r="B199">
        <v>2</v>
      </c>
      <c r="C199">
        <v>4</v>
      </c>
      <c r="D199">
        <v>0</v>
      </c>
      <c r="E199">
        <v>5</v>
      </c>
      <c r="G199">
        <v>111906368</v>
      </c>
      <c r="H199">
        <v>93.620002749999998</v>
      </c>
      <c r="I199">
        <v>3.960000038</v>
      </c>
      <c r="J199" s="9">
        <f t="shared" si="86"/>
        <v>9673864</v>
      </c>
      <c r="L199" s="9">
        <f t="shared" si="99"/>
        <v>7.8600006500000035</v>
      </c>
      <c r="M199" s="9">
        <f t="shared" si="99"/>
        <v>0</v>
      </c>
      <c r="N199" s="29">
        <f t="shared" si="68"/>
        <v>1244650816</v>
      </c>
      <c r="O199" s="30">
        <f t="shared" si="69"/>
        <v>0.30583569216742529</v>
      </c>
      <c r="P199" s="30">
        <f t="shared" si="70"/>
        <v>1.019452307224751</v>
      </c>
      <c r="Q199" s="29">
        <f t="shared" si="71"/>
        <v>742.98998265</v>
      </c>
      <c r="R199" s="30">
        <f t="shared" si="72"/>
        <v>0.29603200042082595</v>
      </c>
      <c r="S199" s="30">
        <f t="shared" si="73"/>
        <v>0.98677333473608653</v>
      </c>
      <c r="T199" s="37">
        <f t="shared" si="74"/>
        <v>0.130000114</v>
      </c>
      <c r="U199" s="30">
        <f t="shared" si="75"/>
        <v>1.1314196395094586E-2</v>
      </c>
      <c r="V199" s="38">
        <f t="shared" si="76"/>
        <v>1.7265461043003123E-4</v>
      </c>
      <c r="W199" s="9">
        <f t="shared" si="94"/>
        <v>30946608</v>
      </c>
      <c r="X199" s="12">
        <f t="shared" si="94"/>
        <v>32.110004429999996</v>
      </c>
      <c r="Y199" s="11">
        <f t="shared" si="94"/>
        <v>0.52999997100000007</v>
      </c>
      <c r="Z199" s="7">
        <f t="shared" si="97"/>
        <v>13715280</v>
      </c>
      <c r="AA199" s="7">
        <f t="shared" si="97"/>
        <v>5.2900009199999971</v>
      </c>
      <c r="AB199" s="7">
        <f t="shared" si="97"/>
        <v>0</v>
      </c>
    </row>
    <row r="200" spans="1:28" x14ac:dyDescent="0.25">
      <c r="A200" s="2">
        <v>196</v>
      </c>
      <c r="B200">
        <v>2</v>
      </c>
      <c r="C200">
        <v>4</v>
      </c>
      <c r="D200">
        <v>0</v>
      </c>
      <c r="E200">
        <v>6</v>
      </c>
      <c r="G200">
        <v>88705680</v>
      </c>
      <c r="H200">
        <v>79.269996640000002</v>
      </c>
      <c r="I200">
        <v>3.960000038</v>
      </c>
      <c r="J200" s="9">
        <f t="shared" si="86"/>
        <v>23200688</v>
      </c>
      <c r="L200" s="9">
        <f t="shared" si="99"/>
        <v>14.350006109999995</v>
      </c>
      <c r="M200" s="9">
        <f t="shared" si="99"/>
        <v>0</v>
      </c>
      <c r="N200" s="29">
        <f t="shared" si="68"/>
        <v>1022093168</v>
      </c>
      <c r="O200" s="30">
        <f t="shared" si="69"/>
        <v>0.30671414836277061</v>
      </c>
      <c r="P200" s="30">
        <f t="shared" si="70"/>
        <v>1.0223804945425685</v>
      </c>
      <c r="Q200" s="29">
        <f t="shared" si="71"/>
        <v>622.25002285999994</v>
      </c>
      <c r="R200" s="30">
        <f t="shared" si="72"/>
        <v>0.29566750558950605</v>
      </c>
      <c r="S200" s="30">
        <f t="shared" si="73"/>
        <v>0.98555835196502017</v>
      </c>
      <c r="T200" s="37">
        <f t="shared" si="74"/>
        <v>0.130000114</v>
      </c>
      <c r="U200" s="30">
        <f t="shared" si="75"/>
        <v>1.1314196395094586E-2</v>
      </c>
      <c r="V200" s="38">
        <f t="shared" si="76"/>
        <v>2.0590227947316777E-4</v>
      </c>
      <c r="W200" s="9">
        <f t="shared" si="94"/>
        <v>24394084</v>
      </c>
      <c r="X200" s="12">
        <f t="shared" si="94"/>
        <v>25.199996949999999</v>
      </c>
      <c r="Y200" s="11">
        <f t="shared" si="94"/>
        <v>0.52999997100000007</v>
      </c>
      <c r="Z200" s="7">
        <f t="shared" si="97"/>
        <v>11248640</v>
      </c>
      <c r="AA200" s="7">
        <f t="shared" si="97"/>
        <v>4.619995110000005</v>
      </c>
      <c r="AB200" s="7">
        <f t="shared" si="97"/>
        <v>0</v>
      </c>
    </row>
    <row r="201" spans="1:28" x14ac:dyDescent="0.25">
      <c r="A201" s="2">
        <v>197</v>
      </c>
      <c r="B201">
        <v>2</v>
      </c>
      <c r="C201">
        <v>4</v>
      </c>
      <c r="D201">
        <v>1</v>
      </c>
      <c r="E201">
        <v>0</v>
      </c>
      <c r="G201">
        <v>657693120</v>
      </c>
      <c r="H201">
        <v>456.07000729999999</v>
      </c>
      <c r="I201">
        <v>4.0900001530000001</v>
      </c>
      <c r="N201" s="29">
        <f t="shared" si="68"/>
        <v>519613856</v>
      </c>
      <c r="O201" s="30">
        <f t="shared" si="69"/>
        <v>1.2543854424562015</v>
      </c>
      <c r="P201" s="30">
        <f t="shared" si="70"/>
        <v>1.2543854424562015</v>
      </c>
      <c r="Q201" s="29">
        <f t="shared" si="71"/>
        <v>347.98001099999999</v>
      </c>
      <c r="R201" s="30">
        <f t="shared" si="72"/>
        <v>1.0731181512678061</v>
      </c>
      <c r="S201" s="30">
        <f t="shared" si="73"/>
        <v>1.0731181512678061</v>
      </c>
      <c r="T201" s="37">
        <f t="shared" si="74"/>
        <v>0.13000011500000008</v>
      </c>
      <c r="U201" s="30">
        <f t="shared" si="75"/>
        <v>1.0942770517889245E-2</v>
      </c>
      <c r="V201" s="38">
        <f t="shared" si="76"/>
        <v>4.0090085253029743E-4</v>
      </c>
      <c r="W201" s="9">
        <f t="shared" si="94"/>
        <v>113534848</v>
      </c>
      <c r="X201" s="12">
        <f t="shared" si="94"/>
        <v>174.33001709999996</v>
      </c>
      <c r="Y201" s="11">
        <f t="shared" si="94"/>
        <v>0.52000022000000001</v>
      </c>
      <c r="Z201" s="7">
        <f t="shared" si="97"/>
        <v>71164928</v>
      </c>
      <c r="AA201" s="7">
        <f t="shared" si="97"/>
        <v>25.140014599999972</v>
      </c>
      <c r="AB201" s="7">
        <f t="shared" si="97"/>
        <v>1.0000229000000083E-2</v>
      </c>
    </row>
    <row r="202" spans="1:28" x14ac:dyDescent="0.25">
      <c r="A202" s="2">
        <v>198</v>
      </c>
      <c r="B202">
        <v>2</v>
      </c>
      <c r="C202">
        <v>4</v>
      </c>
      <c r="D202">
        <v>1</v>
      </c>
      <c r="E202">
        <v>1</v>
      </c>
      <c r="G202">
        <v>654290176</v>
      </c>
      <c r="H202">
        <v>457.9100037</v>
      </c>
      <c r="I202">
        <v>4.0900001530000001</v>
      </c>
      <c r="J202" s="9">
        <f t="shared" ref="J202" si="100">ABS(G202-G201)</f>
        <v>3402944</v>
      </c>
      <c r="L202" s="9">
        <f t="shared" ref="L202:M207" si="101">ABS(H202-H201)</f>
        <v>1.8399964000000182</v>
      </c>
      <c r="M202" s="9">
        <f t="shared" si="101"/>
        <v>0</v>
      </c>
      <c r="N202" s="29">
        <f t="shared" si="68"/>
        <v>516764384</v>
      </c>
      <c r="O202" s="30">
        <f t="shared" si="69"/>
        <v>1.2525271962561515</v>
      </c>
      <c r="P202" s="30">
        <f t="shared" si="70"/>
        <v>1.2525271962561515</v>
      </c>
      <c r="Q202" s="29">
        <f t="shared" si="71"/>
        <v>349.28000639999999</v>
      </c>
      <c r="R202" s="30">
        <f t="shared" si="72"/>
        <v>1.0717727303119429</v>
      </c>
      <c r="S202" s="30">
        <f t="shared" si="73"/>
        <v>1.0717727303119429</v>
      </c>
      <c r="T202" s="37">
        <f t="shared" si="74"/>
        <v>0.13000011500000008</v>
      </c>
      <c r="U202" s="30">
        <f t="shared" si="75"/>
        <v>1.0942770517889245E-2</v>
      </c>
      <c r="V202" s="38">
        <f t="shared" si="76"/>
        <v>3.9890796965587967E-4</v>
      </c>
      <c r="W202" s="9">
        <f t="shared" ref="W202:Y217" si="102">ABS(G202-G181)</f>
        <v>110781504</v>
      </c>
      <c r="X202" s="12">
        <f t="shared" si="102"/>
        <v>170.42001349999998</v>
      </c>
      <c r="Y202" s="11">
        <f t="shared" si="102"/>
        <v>0.52000022000000001</v>
      </c>
      <c r="Z202" s="7">
        <f t="shared" si="97"/>
        <v>70623552</v>
      </c>
      <c r="AA202" s="7">
        <f t="shared" si="97"/>
        <v>25.190002499999991</v>
      </c>
      <c r="AB202" s="7">
        <f t="shared" si="97"/>
        <v>1.0000229000000083E-2</v>
      </c>
    </row>
    <row r="203" spans="1:28" x14ac:dyDescent="0.25">
      <c r="A203" s="2">
        <v>199</v>
      </c>
      <c r="B203">
        <v>2</v>
      </c>
      <c r="C203">
        <v>4</v>
      </c>
      <c r="D203">
        <v>1</v>
      </c>
      <c r="E203">
        <v>2</v>
      </c>
      <c r="G203">
        <v>656240384</v>
      </c>
      <c r="H203">
        <v>455.72000120000001</v>
      </c>
      <c r="I203">
        <v>4.0900001530000001</v>
      </c>
      <c r="J203" s="9">
        <f t="shared" si="84"/>
        <v>1950208</v>
      </c>
      <c r="L203" s="9">
        <f t="shared" si="101"/>
        <v>2.1900024999999914</v>
      </c>
      <c r="M203" s="9">
        <f t="shared" si="101"/>
        <v>0</v>
      </c>
      <c r="N203" s="29">
        <f t="shared" si="68"/>
        <v>518459584</v>
      </c>
      <c r="O203" s="30">
        <f t="shared" si="69"/>
        <v>1.2543101893248794</v>
      </c>
      <c r="P203" s="30">
        <f t="shared" si="70"/>
        <v>1.2543101893248794</v>
      </c>
      <c r="Q203" s="29">
        <f t="shared" si="71"/>
        <v>347.68000030000002</v>
      </c>
      <c r="R203" s="30">
        <f t="shared" si="72"/>
        <v>1.0726891194734647</v>
      </c>
      <c r="S203" s="30">
        <f t="shared" si="73"/>
        <v>1.0726891194734647</v>
      </c>
      <c r="T203" s="37">
        <f t="shared" si="74"/>
        <v>0.13000011500000008</v>
      </c>
      <c r="U203" s="30">
        <f t="shared" si="75"/>
        <v>1.0942770517889245E-2</v>
      </c>
      <c r="V203" s="38">
        <f t="shared" si="76"/>
        <v>4.0108636899008668E-4</v>
      </c>
      <c r="W203" s="9">
        <f t="shared" si="102"/>
        <v>112843840</v>
      </c>
      <c r="X203" s="12">
        <f t="shared" si="102"/>
        <v>172.94000240000003</v>
      </c>
      <c r="Y203" s="11">
        <f t="shared" si="102"/>
        <v>0.52000022000000001</v>
      </c>
      <c r="Z203" s="7">
        <f t="shared" si="97"/>
        <v>70996864</v>
      </c>
      <c r="AA203" s="7">
        <f t="shared" si="97"/>
        <v>25.11999510000004</v>
      </c>
      <c r="AB203" s="7">
        <f t="shared" si="97"/>
        <v>1.0000229000000083E-2</v>
      </c>
    </row>
    <row r="204" spans="1:28" x14ac:dyDescent="0.25">
      <c r="A204" s="2">
        <v>200</v>
      </c>
      <c r="B204">
        <v>2</v>
      </c>
      <c r="C204">
        <v>4</v>
      </c>
      <c r="D204">
        <v>1</v>
      </c>
      <c r="E204">
        <v>3</v>
      </c>
      <c r="G204">
        <v>636765952</v>
      </c>
      <c r="H204">
        <v>450.88000490000002</v>
      </c>
      <c r="I204">
        <v>4.0900001530000001</v>
      </c>
      <c r="J204" s="9">
        <f t="shared" si="84"/>
        <v>19474432</v>
      </c>
      <c r="L204" s="9">
        <f t="shared" si="101"/>
        <v>4.8399962999999957</v>
      </c>
      <c r="M204" s="9">
        <f t="shared" si="101"/>
        <v>0</v>
      </c>
      <c r="N204" s="29">
        <f t="shared" si="68"/>
        <v>502977968</v>
      </c>
      <c r="O204" s="30">
        <f t="shared" si="69"/>
        <v>1.2531717546970935</v>
      </c>
      <c r="P204" s="30">
        <f t="shared" si="70"/>
        <v>1.2531717546970935</v>
      </c>
      <c r="Q204" s="29">
        <f t="shared" si="71"/>
        <v>343.69000249999999</v>
      </c>
      <c r="R204" s="30">
        <f t="shared" si="72"/>
        <v>1.0687874951168641</v>
      </c>
      <c r="S204" s="30">
        <f t="shared" si="73"/>
        <v>1.0687874951168641</v>
      </c>
      <c r="T204" s="37">
        <f t="shared" si="74"/>
        <v>0.13000011500000008</v>
      </c>
      <c r="U204" s="30">
        <f t="shared" si="75"/>
        <v>1.0942770517889245E-2</v>
      </c>
      <c r="V204" s="38">
        <f t="shared" si="76"/>
        <v>4.0426691572372511E-4</v>
      </c>
      <c r="W204" s="9">
        <f t="shared" si="102"/>
        <v>105467072</v>
      </c>
      <c r="X204" s="12">
        <f t="shared" si="102"/>
        <v>163.35000610000003</v>
      </c>
      <c r="Y204" s="11">
        <f t="shared" si="102"/>
        <v>0.52000022000000001</v>
      </c>
      <c r="Z204" s="7">
        <f t="shared" si="97"/>
        <v>68668480</v>
      </c>
      <c r="AA204" s="7">
        <f t="shared" si="97"/>
        <v>24.779998800000044</v>
      </c>
      <c r="AB204" s="7">
        <f t="shared" si="97"/>
        <v>1.0000229000000083E-2</v>
      </c>
    </row>
    <row r="205" spans="1:28" x14ac:dyDescent="0.25">
      <c r="A205" s="2">
        <v>201</v>
      </c>
      <c r="B205">
        <v>2</v>
      </c>
      <c r="C205">
        <v>4</v>
      </c>
      <c r="D205">
        <v>1</v>
      </c>
      <c r="E205">
        <v>4</v>
      </c>
      <c r="G205">
        <v>581679552</v>
      </c>
      <c r="H205">
        <v>423.25</v>
      </c>
      <c r="I205">
        <v>4.0900001530000001</v>
      </c>
      <c r="J205" s="9">
        <f t="shared" si="84"/>
        <v>55086400</v>
      </c>
      <c r="L205" s="9">
        <f t="shared" si="101"/>
        <v>27.630004900000017</v>
      </c>
      <c r="M205" s="9">
        <f t="shared" si="101"/>
        <v>0</v>
      </c>
      <c r="N205" s="29">
        <f t="shared" ref="N205:N268" si="103">ABS(G205-G198)</f>
        <v>460099320</v>
      </c>
      <c r="O205" s="30">
        <f t="shared" ref="O205:O268" si="104">(N205/ABS(G198))/3</f>
        <v>1.2614422384059936</v>
      </c>
      <c r="P205" s="30">
        <f t="shared" ref="P205:P268" si="105">(N205/ABS(G198))/(IF(AND(D205=1,D198=0),(2400-600)/600,IF(AND(D205=2,D198=1),(6000-2400)/2400,IF(AND(D205=0,D198=2),ABS(600-6000)/6000,"Not Valid"))))</f>
        <v>1.2614422384059936</v>
      </c>
      <c r="Q205" s="29">
        <f t="shared" ref="Q205:Q268" si="106">ABS(H205-H198)</f>
        <v>321.76999660000001</v>
      </c>
      <c r="R205" s="30">
        <f t="shared" ref="R205:R268" si="107">(Q205/ABS(H198))/3</f>
        <v>1.056924142094908</v>
      </c>
      <c r="S205" s="30">
        <f t="shared" ref="S205:S268" si="108">(Q205/ABS(H198))/(IF(AND(D205=1,D198=0),(2400-600)/600,IF(AND(D205=2,D198=1),(6000-2400)/2400,IF(AND(D205=0,D198=2),ABS(600-6000)/6000,"Not Valid"))))</f>
        <v>1.056924142094908</v>
      </c>
      <c r="T205" s="37">
        <f t="shared" ref="T205:T268" si="109">ABS(I205-I198)</f>
        <v>0.13000011500000008</v>
      </c>
      <c r="U205" s="30">
        <f t="shared" ref="U205:U268" si="110">(T205/ABS(I198))/3</f>
        <v>1.0942770517889245E-2</v>
      </c>
      <c r="V205" s="38">
        <f t="shared" ref="V205:V268" si="111">(T205/ABS(H198))/(IF(AND(D205=1,D198=0),(2400-600)/600,IF(AND(D205=2,D198=1),(6000-2400)/2400,IF(AND(D205=0,D198=2),ABS(600-6000)/6000,"Not Valid"))))</f>
        <v>4.2701389648028623E-4</v>
      </c>
      <c r="W205" s="9">
        <f t="shared" si="102"/>
        <v>92046272</v>
      </c>
      <c r="X205" s="12">
        <f t="shared" si="102"/>
        <v>145.75</v>
      </c>
      <c r="Y205" s="11">
        <f t="shared" si="102"/>
        <v>0.52000022000000001</v>
      </c>
      <c r="Z205" s="7">
        <f t="shared" si="97"/>
        <v>62701376</v>
      </c>
      <c r="AA205" s="7">
        <f t="shared" si="97"/>
        <v>23.140014599999972</v>
      </c>
      <c r="AB205" s="7">
        <f t="shared" si="97"/>
        <v>1.0000229000000083E-2</v>
      </c>
    </row>
    <row r="206" spans="1:28" x14ac:dyDescent="0.25">
      <c r="A206" s="2">
        <v>202</v>
      </c>
      <c r="B206">
        <v>2</v>
      </c>
      <c r="C206">
        <v>4</v>
      </c>
      <c r="D206">
        <v>1</v>
      </c>
      <c r="E206">
        <v>5</v>
      </c>
      <c r="G206">
        <v>542394624</v>
      </c>
      <c r="H206">
        <v>389.76998900000001</v>
      </c>
      <c r="I206">
        <v>4.0900001530000001</v>
      </c>
      <c r="J206" s="9">
        <f t="shared" si="84"/>
        <v>39284928</v>
      </c>
      <c r="L206" s="9">
        <f t="shared" si="101"/>
        <v>33.48001099999999</v>
      </c>
      <c r="M206" s="9">
        <f t="shared" si="101"/>
        <v>0</v>
      </c>
      <c r="N206" s="29">
        <f t="shared" si="103"/>
        <v>430488256</v>
      </c>
      <c r="O206" s="30">
        <f t="shared" si="104"/>
        <v>1.2822870395841399</v>
      </c>
      <c r="P206" s="30">
        <f t="shared" si="105"/>
        <v>1.2822870395841399</v>
      </c>
      <c r="Q206" s="29">
        <f t="shared" si="106"/>
        <v>296.14998624999998</v>
      </c>
      <c r="R206" s="30">
        <f t="shared" si="107"/>
        <v>1.054439854556972</v>
      </c>
      <c r="S206" s="30">
        <f t="shared" si="108"/>
        <v>1.054439854556972</v>
      </c>
      <c r="T206" s="37">
        <f t="shared" si="109"/>
        <v>0.13000011500000008</v>
      </c>
      <c r="U206" s="30">
        <f t="shared" si="110"/>
        <v>1.0942770517889245E-2</v>
      </c>
      <c r="V206" s="38">
        <f t="shared" si="111"/>
        <v>4.6286445624641576E-4</v>
      </c>
      <c r="W206" s="9">
        <f t="shared" si="102"/>
        <v>89633888</v>
      </c>
      <c r="X206" s="12">
        <f t="shared" si="102"/>
        <v>138.06999210000001</v>
      </c>
      <c r="Y206" s="11">
        <f t="shared" si="102"/>
        <v>0.52000022000000001</v>
      </c>
      <c r="Z206" s="7">
        <f t="shared" ref="Z206:AB221" si="112">ABS(G206-G101)</f>
        <v>58769824</v>
      </c>
      <c r="AA206" s="7">
        <f t="shared" si="112"/>
        <v>21.529998799999987</v>
      </c>
      <c r="AB206" s="7">
        <f t="shared" si="112"/>
        <v>1.0000229000000083E-2</v>
      </c>
    </row>
    <row r="207" spans="1:28" x14ac:dyDescent="0.25">
      <c r="A207" s="2">
        <v>203</v>
      </c>
      <c r="B207">
        <v>2</v>
      </c>
      <c r="C207">
        <v>4</v>
      </c>
      <c r="D207">
        <v>1</v>
      </c>
      <c r="E207">
        <v>6</v>
      </c>
      <c r="G207">
        <v>441444672</v>
      </c>
      <c r="H207">
        <v>324.2000122</v>
      </c>
      <c r="I207">
        <v>4.0900001530000001</v>
      </c>
      <c r="J207" s="9">
        <f t="shared" si="84"/>
        <v>100949952</v>
      </c>
      <c r="L207" s="9">
        <f t="shared" si="101"/>
        <v>65.569976800000006</v>
      </c>
      <c r="M207" s="9">
        <f t="shared" si="101"/>
        <v>0</v>
      </c>
      <c r="N207" s="29">
        <f t="shared" si="103"/>
        <v>352738992</v>
      </c>
      <c r="O207" s="30">
        <f t="shared" si="104"/>
        <v>1.3255032146757684</v>
      </c>
      <c r="P207" s="30">
        <f t="shared" si="105"/>
        <v>1.3255032146757684</v>
      </c>
      <c r="Q207" s="29">
        <f t="shared" si="106"/>
        <v>244.93001556000002</v>
      </c>
      <c r="R207" s="30">
        <f t="shared" si="107"/>
        <v>1.0299399770480424</v>
      </c>
      <c r="S207" s="30">
        <f t="shared" si="108"/>
        <v>1.0299399770480424</v>
      </c>
      <c r="T207" s="37">
        <f t="shared" si="109"/>
        <v>0.13000011500000008</v>
      </c>
      <c r="U207" s="30">
        <f t="shared" si="110"/>
        <v>1.0942770517889245E-2</v>
      </c>
      <c r="V207" s="38">
        <f t="shared" si="111"/>
        <v>5.4665539931157854E-4</v>
      </c>
      <c r="W207" s="9">
        <f t="shared" si="102"/>
        <v>70674528</v>
      </c>
      <c r="X207" s="12">
        <f t="shared" si="102"/>
        <v>106.3900146</v>
      </c>
      <c r="Y207" s="11">
        <f t="shared" si="102"/>
        <v>0.52000022000000001</v>
      </c>
      <c r="Z207" s="7">
        <f t="shared" si="112"/>
        <v>48110304</v>
      </c>
      <c r="AA207" s="7">
        <f t="shared" si="112"/>
        <v>17.920013400000016</v>
      </c>
      <c r="AB207" s="7">
        <f t="shared" si="112"/>
        <v>0</v>
      </c>
    </row>
    <row r="208" spans="1:28" x14ac:dyDescent="0.25">
      <c r="A208" s="2">
        <v>204</v>
      </c>
      <c r="B208">
        <v>2</v>
      </c>
      <c r="C208">
        <v>4</v>
      </c>
      <c r="D208">
        <v>2</v>
      </c>
      <c r="E208">
        <v>0</v>
      </c>
      <c r="G208">
        <v>1800963840</v>
      </c>
      <c r="H208">
        <v>-9999.9902340000008</v>
      </c>
      <c r="I208">
        <v>4.3499999049999998</v>
      </c>
      <c r="N208" s="29">
        <f t="shared" si="103"/>
        <v>1143270720</v>
      </c>
      <c r="O208" s="30">
        <f t="shared" si="104"/>
        <v>0.57943473697885117</v>
      </c>
      <c r="P208" s="30">
        <f t="shared" si="105"/>
        <v>1.1588694739577023</v>
      </c>
      <c r="Q208" s="29">
        <f t="shared" si="106"/>
        <v>10456.060241300002</v>
      </c>
      <c r="R208" s="30">
        <f t="shared" si="107"/>
        <v>7.6421456311070761</v>
      </c>
      <c r="S208" s="30">
        <f t="shared" si="108"/>
        <v>15.284291262214152</v>
      </c>
      <c r="T208" s="37">
        <f t="shared" si="109"/>
        <v>0.2599997519999997</v>
      </c>
      <c r="U208" s="30">
        <f t="shared" si="110"/>
        <v>2.1189873045953378E-2</v>
      </c>
      <c r="V208" s="38">
        <f t="shared" si="111"/>
        <v>3.8005824813202926E-4</v>
      </c>
      <c r="W208" s="9">
        <f t="shared" si="102"/>
        <v>161768576</v>
      </c>
      <c r="X208" s="12">
        <f t="shared" si="102"/>
        <v>0</v>
      </c>
      <c r="Y208" s="11">
        <f t="shared" si="102"/>
        <v>0.52999997199999971</v>
      </c>
      <c r="Z208" s="7">
        <f t="shared" si="112"/>
        <v>183336320</v>
      </c>
      <c r="AA208" s="7">
        <f t="shared" si="112"/>
        <v>0</v>
      </c>
      <c r="AB208" s="7">
        <f t="shared" si="112"/>
        <v>1.9999980999999778E-2</v>
      </c>
    </row>
    <row r="209" spans="1:28" x14ac:dyDescent="0.25">
      <c r="A209" s="2">
        <v>205</v>
      </c>
      <c r="B209">
        <v>2</v>
      </c>
      <c r="C209">
        <v>4</v>
      </c>
      <c r="D209">
        <v>2</v>
      </c>
      <c r="E209">
        <v>1</v>
      </c>
      <c r="G209">
        <v>1788862336</v>
      </c>
      <c r="H209">
        <v>-9999.9902340000008</v>
      </c>
      <c r="I209">
        <v>4.3499999049999998</v>
      </c>
      <c r="J209" s="9">
        <f t="shared" ref="J209" si="113">ABS(G209-G208)</f>
        <v>12101504</v>
      </c>
      <c r="L209" s="9">
        <f t="shared" ref="L209:M214" si="114">ABS(H209-H208)</f>
        <v>0</v>
      </c>
      <c r="M209" s="9">
        <f t="shared" si="114"/>
        <v>0</v>
      </c>
      <c r="N209" s="29">
        <f t="shared" si="103"/>
        <v>1134572160</v>
      </c>
      <c r="O209" s="30">
        <f t="shared" si="104"/>
        <v>0.57801680947139877</v>
      </c>
      <c r="P209" s="30">
        <f t="shared" si="105"/>
        <v>1.1560336189427975</v>
      </c>
      <c r="Q209" s="29">
        <f t="shared" si="106"/>
        <v>10457.900237700002</v>
      </c>
      <c r="R209" s="30">
        <f t="shared" si="107"/>
        <v>7.6127770036311189</v>
      </c>
      <c r="S209" s="30">
        <f t="shared" si="108"/>
        <v>15.225554007262238</v>
      </c>
      <c r="T209" s="37">
        <f t="shared" si="109"/>
        <v>0.2599997519999997</v>
      </c>
      <c r="U209" s="30">
        <f t="shared" si="110"/>
        <v>2.1189873045953378E-2</v>
      </c>
      <c r="V209" s="38">
        <f t="shared" si="111"/>
        <v>3.7853107946853054E-4</v>
      </c>
      <c r="W209" s="9">
        <f t="shared" si="102"/>
        <v>157865344</v>
      </c>
      <c r="X209" s="12">
        <f t="shared" si="102"/>
        <v>0</v>
      </c>
      <c r="Y209" s="11">
        <f t="shared" si="102"/>
        <v>0.52999997199999971</v>
      </c>
      <c r="Z209" s="7">
        <f t="shared" si="112"/>
        <v>181835264</v>
      </c>
      <c r="AA209" s="7">
        <f t="shared" si="112"/>
        <v>0</v>
      </c>
      <c r="AB209" s="7">
        <f t="shared" si="112"/>
        <v>1.9999980999999778E-2</v>
      </c>
    </row>
    <row r="210" spans="1:28" x14ac:dyDescent="0.25">
      <c r="A210" s="2">
        <v>206</v>
      </c>
      <c r="B210">
        <v>2</v>
      </c>
      <c r="C210">
        <v>4</v>
      </c>
      <c r="D210">
        <v>2</v>
      </c>
      <c r="E210">
        <v>2</v>
      </c>
      <c r="G210">
        <v>1796587392</v>
      </c>
      <c r="H210">
        <v>-9999.9902340000008</v>
      </c>
      <c r="I210">
        <v>4.3499999049999998</v>
      </c>
      <c r="J210" s="9">
        <f t="shared" si="86"/>
        <v>7725056</v>
      </c>
      <c r="L210" s="9">
        <f t="shared" si="114"/>
        <v>0</v>
      </c>
      <c r="M210" s="9">
        <f t="shared" si="114"/>
        <v>0</v>
      </c>
      <c r="N210" s="29">
        <f t="shared" si="103"/>
        <v>1140347008</v>
      </c>
      <c r="O210" s="30">
        <f t="shared" si="104"/>
        <v>0.57923236454362026</v>
      </c>
      <c r="P210" s="30">
        <f t="shared" si="105"/>
        <v>1.1584647290872405</v>
      </c>
      <c r="Q210" s="29">
        <f t="shared" si="106"/>
        <v>10455.7102352</v>
      </c>
      <c r="R210" s="30">
        <f t="shared" si="107"/>
        <v>7.647759009675581</v>
      </c>
      <c r="S210" s="30">
        <f t="shared" si="108"/>
        <v>15.295518019351162</v>
      </c>
      <c r="T210" s="37">
        <f t="shared" si="109"/>
        <v>0.2599997519999997</v>
      </c>
      <c r="U210" s="30">
        <f t="shared" si="110"/>
        <v>2.1189873045953378E-2</v>
      </c>
      <c r="V210" s="38">
        <f t="shared" si="111"/>
        <v>3.8035014382423334E-4</v>
      </c>
      <c r="W210" s="9">
        <f t="shared" si="102"/>
        <v>160866816</v>
      </c>
      <c r="X210" s="12">
        <f t="shared" si="102"/>
        <v>0</v>
      </c>
      <c r="Y210" s="11">
        <f t="shared" si="102"/>
        <v>0.52999997199999971</v>
      </c>
      <c r="Z210" s="7">
        <f t="shared" si="112"/>
        <v>182861440</v>
      </c>
      <c r="AA210" s="7">
        <f t="shared" si="112"/>
        <v>0</v>
      </c>
      <c r="AB210" s="7">
        <f t="shared" si="112"/>
        <v>1.9999980999999778E-2</v>
      </c>
    </row>
    <row r="211" spans="1:28" x14ac:dyDescent="0.25">
      <c r="A211" s="2">
        <v>207</v>
      </c>
      <c r="B211">
        <v>2</v>
      </c>
      <c r="C211">
        <v>4</v>
      </c>
      <c r="D211">
        <v>2</v>
      </c>
      <c r="E211">
        <v>3</v>
      </c>
      <c r="G211">
        <v>1738099968</v>
      </c>
      <c r="H211">
        <v>-9999.9902340000008</v>
      </c>
      <c r="I211">
        <v>4.3499999049999998</v>
      </c>
      <c r="J211" s="9">
        <f t="shared" si="86"/>
        <v>58487424</v>
      </c>
      <c r="L211" s="9">
        <f t="shared" si="114"/>
        <v>0</v>
      </c>
      <c r="M211" s="9">
        <f t="shared" si="114"/>
        <v>0</v>
      </c>
      <c r="N211" s="29">
        <f t="shared" si="103"/>
        <v>1101334016</v>
      </c>
      <c r="O211" s="30">
        <f t="shared" si="104"/>
        <v>0.5765247615919431</v>
      </c>
      <c r="P211" s="30">
        <f t="shared" si="105"/>
        <v>1.1530495231838862</v>
      </c>
      <c r="Q211" s="29">
        <f t="shared" si="106"/>
        <v>10450.870238900001</v>
      </c>
      <c r="R211" s="30">
        <f t="shared" si="107"/>
        <v>7.7262761158355078</v>
      </c>
      <c r="S211" s="30">
        <f t="shared" si="108"/>
        <v>15.452552231671016</v>
      </c>
      <c r="T211" s="37">
        <f t="shared" si="109"/>
        <v>0.2599997519999997</v>
      </c>
      <c r="U211" s="30">
        <f t="shared" si="110"/>
        <v>2.1189873045953378E-2</v>
      </c>
      <c r="V211" s="38">
        <f t="shared" si="111"/>
        <v>3.8443303343745099E-4</v>
      </c>
      <c r="W211" s="9">
        <f t="shared" si="102"/>
        <v>149736576</v>
      </c>
      <c r="X211" s="12">
        <f t="shared" si="102"/>
        <v>0</v>
      </c>
      <c r="Y211" s="11">
        <f t="shared" si="102"/>
        <v>0.51999998099999978</v>
      </c>
      <c r="Z211" s="7">
        <f t="shared" si="112"/>
        <v>176465152</v>
      </c>
      <c r="AA211" s="7">
        <f t="shared" si="112"/>
        <v>0</v>
      </c>
      <c r="AB211" s="7">
        <f t="shared" si="112"/>
        <v>1.9999980999999778E-2</v>
      </c>
    </row>
    <row r="212" spans="1:28" x14ac:dyDescent="0.25">
      <c r="A212" s="2">
        <v>208</v>
      </c>
      <c r="B212">
        <v>2</v>
      </c>
      <c r="C212">
        <v>4</v>
      </c>
      <c r="D212">
        <v>2</v>
      </c>
      <c r="E212">
        <v>4</v>
      </c>
      <c r="G212">
        <v>1584833920</v>
      </c>
      <c r="H212">
        <v>-9999.9902340000008</v>
      </c>
      <c r="I212">
        <v>4.3499999049999998</v>
      </c>
      <c r="J212" s="9">
        <f t="shared" si="86"/>
        <v>153266048</v>
      </c>
      <c r="L212" s="9">
        <f t="shared" si="114"/>
        <v>0</v>
      </c>
      <c r="M212" s="9">
        <f t="shared" si="114"/>
        <v>0</v>
      </c>
      <c r="N212" s="29">
        <f t="shared" si="103"/>
        <v>1003154368</v>
      </c>
      <c r="O212" s="30">
        <f t="shared" si="104"/>
        <v>0.57486082875633449</v>
      </c>
      <c r="P212" s="30">
        <f t="shared" si="105"/>
        <v>1.149721657512669</v>
      </c>
      <c r="Q212" s="29">
        <f t="shared" si="106"/>
        <v>10423.240234000001</v>
      </c>
      <c r="R212" s="30">
        <f t="shared" si="107"/>
        <v>8.2088916983658198</v>
      </c>
      <c r="S212" s="30">
        <f t="shared" si="108"/>
        <v>16.41778339673164</v>
      </c>
      <c r="T212" s="37">
        <f t="shared" si="109"/>
        <v>0.2599997519999997</v>
      </c>
      <c r="U212" s="30">
        <f t="shared" si="110"/>
        <v>2.1189873045953378E-2</v>
      </c>
      <c r="V212" s="38">
        <f t="shared" si="111"/>
        <v>4.0952904430005863E-4</v>
      </c>
      <c r="W212" s="9">
        <f t="shared" si="102"/>
        <v>129233152</v>
      </c>
      <c r="X212" s="12">
        <f t="shared" si="102"/>
        <v>0</v>
      </c>
      <c r="Y212" s="11">
        <f t="shared" si="102"/>
        <v>0.51999998099999978</v>
      </c>
      <c r="Z212" s="7">
        <f t="shared" si="112"/>
        <v>160899072</v>
      </c>
      <c r="AA212" s="7">
        <f t="shared" si="112"/>
        <v>0</v>
      </c>
      <c r="AB212" s="7">
        <f t="shared" si="112"/>
        <v>1.9999980999999778E-2</v>
      </c>
    </row>
    <row r="213" spans="1:28" x14ac:dyDescent="0.25">
      <c r="A213" s="2">
        <v>209</v>
      </c>
      <c r="B213">
        <v>2</v>
      </c>
      <c r="C213">
        <v>4</v>
      </c>
      <c r="D213">
        <v>2</v>
      </c>
      <c r="E213">
        <v>5</v>
      </c>
      <c r="G213">
        <v>1483684736</v>
      </c>
      <c r="H213">
        <v>-9999.9902340000008</v>
      </c>
      <c r="I213">
        <v>4.3499999049999998</v>
      </c>
      <c r="J213" s="9">
        <f t="shared" si="86"/>
        <v>101149184</v>
      </c>
      <c r="L213" s="9">
        <f t="shared" si="114"/>
        <v>0</v>
      </c>
      <c r="M213" s="9">
        <f t="shared" si="114"/>
        <v>0</v>
      </c>
      <c r="N213" s="29">
        <f t="shared" si="103"/>
        <v>941290112</v>
      </c>
      <c r="O213" s="30">
        <f t="shared" si="104"/>
        <v>0.57847802463961495</v>
      </c>
      <c r="P213" s="30">
        <f t="shared" si="105"/>
        <v>1.1569560492792299</v>
      </c>
      <c r="Q213" s="29">
        <f t="shared" si="106"/>
        <v>10389.760223000001</v>
      </c>
      <c r="R213" s="30">
        <f t="shared" si="107"/>
        <v>8.8853772876460919</v>
      </c>
      <c r="S213" s="30">
        <f t="shared" si="108"/>
        <v>17.770754575292184</v>
      </c>
      <c r="T213" s="37">
        <f t="shared" si="109"/>
        <v>0.2599997519999997</v>
      </c>
      <c r="U213" s="30">
        <f t="shared" si="110"/>
        <v>2.1189873045953378E-2</v>
      </c>
      <c r="V213" s="38">
        <f t="shared" si="111"/>
        <v>4.4470629574305115E-4</v>
      </c>
      <c r="W213" s="9">
        <f t="shared" si="102"/>
        <v>127127552</v>
      </c>
      <c r="X213" s="12">
        <f t="shared" si="102"/>
        <v>10836.600219400001</v>
      </c>
      <c r="Y213" s="11">
        <f t="shared" si="102"/>
        <v>0.51999998099999978</v>
      </c>
      <c r="Z213" s="7">
        <f t="shared" si="112"/>
        <v>150807168</v>
      </c>
      <c r="AA213" s="7">
        <f t="shared" si="112"/>
        <v>0</v>
      </c>
      <c r="AB213" s="7">
        <f t="shared" si="112"/>
        <v>1.9999980999999778E-2</v>
      </c>
    </row>
    <row r="214" spans="1:28" x14ac:dyDescent="0.25">
      <c r="A214" s="2">
        <v>210</v>
      </c>
      <c r="B214">
        <v>2</v>
      </c>
      <c r="C214">
        <v>4</v>
      </c>
      <c r="D214">
        <v>2</v>
      </c>
      <c r="E214">
        <v>6</v>
      </c>
      <c r="G214">
        <v>1212364800</v>
      </c>
      <c r="H214">
        <v>-9999.9902340000008</v>
      </c>
      <c r="I214">
        <v>4.3499999049999998</v>
      </c>
      <c r="J214" s="9">
        <f t="shared" si="86"/>
        <v>271319936</v>
      </c>
      <c r="L214" s="9">
        <f t="shared" si="114"/>
        <v>0</v>
      </c>
      <c r="M214" s="9">
        <f t="shared" si="114"/>
        <v>0</v>
      </c>
      <c r="N214" s="29">
        <f t="shared" si="103"/>
        <v>770920128</v>
      </c>
      <c r="O214" s="30">
        <f t="shared" si="104"/>
        <v>0.58211910189279614</v>
      </c>
      <c r="P214" s="30">
        <f t="shared" si="105"/>
        <v>1.1642382037855923</v>
      </c>
      <c r="Q214" s="29">
        <f t="shared" si="106"/>
        <v>10324.190246200002</v>
      </c>
      <c r="R214" s="30">
        <f t="shared" si="107"/>
        <v>10.615042008728627</v>
      </c>
      <c r="S214" s="30">
        <f t="shared" si="108"/>
        <v>21.230084017457255</v>
      </c>
      <c r="T214" s="37">
        <f t="shared" si="109"/>
        <v>0.2599997519999997</v>
      </c>
      <c r="U214" s="30">
        <f t="shared" si="110"/>
        <v>2.1189873045953378E-2</v>
      </c>
      <c r="V214" s="38">
        <f t="shared" si="111"/>
        <v>5.3464886328588427E-4</v>
      </c>
      <c r="W214" s="9">
        <f t="shared" si="102"/>
        <v>101565952</v>
      </c>
      <c r="X214" s="12">
        <f t="shared" si="102"/>
        <v>10701.510253500001</v>
      </c>
      <c r="Y214" s="11">
        <f t="shared" si="102"/>
        <v>0.51999998099999978</v>
      </c>
      <c r="Z214" s="7">
        <f t="shared" si="112"/>
        <v>123436416</v>
      </c>
      <c r="AA214" s="7">
        <f t="shared" si="112"/>
        <v>0</v>
      </c>
      <c r="AB214" s="7">
        <f t="shared" si="112"/>
        <v>1.9999980999999778E-2</v>
      </c>
    </row>
    <row r="215" spans="1:28" x14ac:dyDescent="0.25">
      <c r="A215" s="2">
        <v>211</v>
      </c>
      <c r="B215">
        <v>3</v>
      </c>
      <c r="C215">
        <v>0</v>
      </c>
      <c r="D215">
        <v>0</v>
      </c>
      <c r="E215">
        <v>0</v>
      </c>
      <c r="G215">
        <v>4384027.5</v>
      </c>
      <c r="H215">
        <v>14.89000034</v>
      </c>
      <c r="I215">
        <v>2.3399999139999998</v>
      </c>
      <c r="N215" s="29">
        <f t="shared" si="103"/>
        <v>1796579812.5</v>
      </c>
      <c r="O215" s="30">
        <f t="shared" si="104"/>
        <v>0.33252191087856603</v>
      </c>
      <c r="P215" s="30">
        <f t="shared" si="105"/>
        <v>1.10840636959522</v>
      </c>
      <c r="Q215" s="29">
        <f t="shared" si="106"/>
        <v>10014.88023434</v>
      </c>
      <c r="R215" s="30">
        <f t="shared" si="107"/>
        <v>0.33382966716271961</v>
      </c>
      <c r="S215" s="30">
        <f t="shared" si="108"/>
        <v>1.1127655572090653</v>
      </c>
      <c r="T215" s="37">
        <f t="shared" si="109"/>
        <v>2.0099999909999999</v>
      </c>
      <c r="U215" s="30">
        <f t="shared" si="110"/>
        <v>0.15402299117981247</v>
      </c>
      <c r="V215" s="38">
        <f t="shared" si="111"/>
        <v>2.2333355044087865E-4</v>
      </c>
      <c r="W215" s="9">
        <f t="shared" si="102"/>
        <v>133695236.5</v>
      </c>
      <c r="X215" s="12">
        <f t="shared" si="102"/>
        <v>93.199995959999995</v>
      </c>
      <c r="Y215" s="11">
        <f t="shared" si="102"/>
        <v>1.6200001240000002</v>
      </c>
      <c r="Z215" s="7">
        <f t="shared" si="112"/>
        <v>6593735</v>
      </c>
      <c r="AA215" s="7">
        <f t="shared" si="112"/>
        <v>4.6800002999999997</v>
      </c>
      <c r="AB215" s="7">
        <f t="shared" si="112"/>
        <v>9.9999899999998476E-3</v>
      </c>
    </row>
    <row r="216" spans="1:28" x14ac:dyDescent="0.25">
      <c r="A216" s="2">
        <v>212</v>
      </c>
      <c r="B216">
        <v>3</v>
      </c>
      <c r="C216">
        <v>0</v>
      </c>
      <c r="D216">
        <v>0</v>
      </c>
      <c r="E216">
        <v>1</v>
      </c>
      <c r="G216">
        <v>5383668.5</v>
      </c>
      <c r="H216">
        <v>15.5</v>
      </c>
      <c r="I216">
        <v>2.3399999139999998</v>
      </c>
      <c r="J216" s="9">
        <f t="shared" ref="J216" si="115">ABS(G216-G215)</f>
        <v>999641</v>
      </c>
      <c r="L216" s="9">
        <f t="shared" ref="L216:M221" si="116">ABS(H216-H215)</f>
        <v>0.60999965999999972</v>
      </c>
      <c r="M216" s="9">
        <f t="shared" si="116"/>
        <v>0</v>
      </c>
      <c r="N216" s="29">
        <f t="shared" si="103"/>
        <v>1783478667.5</v>
      </c>
      <c r="O216" s="30">
        <f t="shared" si="104"/>
        <v>0.33233015039938024</v>
      </c>
      <c r="P216" s="30">
        <f t="shared" si="105"/>
        <v>1.107767167997934</v>
      </c>
      <c r="Q216" s="29">
        <f t="shared" si="106"/>
        <v>10015.490234000001</v>
      </c>
      <c r="R216" s="30">
        <f t="shared" si="107"/>
        <v>0.33385000050457719</v>
      </c>
      <c r="S216" s="30">
        <f t="shared" si="108"/>
        <v>1.1128333350152573</v>
      </c>
      <c r="T216" s="37">
        <f t="shared" si="109"/>
        <v>2.0099999909999999</v>
      </c>
      <c r="U216" s="30">
        <f t="shared" si="110"/>
        <v>0.15402299117981247</v>
      </c>
      <c r="V216" s="38">
        <f t="shared" si="111"/>
        <v>2.2333355044087865E-4</v>
      </c>
      <c r="W216" s="9">
        <f t="shared" si="102"/>
        <v>132142123.5</v>
      </c>
      <c r="X216" s="12">
        <f t="shared" si="102"/>
        <v>93.129997299999999</v>
      </c>
      <c r="Y216" s="11">
        <f t="shared" si="102"/>
        <v>1.6200001240000002</v>
      </c>
      <c r="Z216" s="7">
        <f t="shared" si="112"/>
        <v>6854433.1299999999</v>
      </c>
      <c r="AA216" s="7">
        <f t="shared" si="112"/>
        <v>4.6599998500000002</v>
      </c>
      <c r="AB216" s="7">
        <f t="shared" si="112"/>
        <v>9.9999899999998476E-3</v>
      </c>
    </row>
    <row r="217" spans="1:28" x14ac:dyDescent="0.25">
      <c r="A217" s="2">
        <v>213</v>
      </c>
      <c r="B217">
        <v>3</v>
      </c>
      <c r="C217">
        <v>0</v>
      </c>
      <c r="D217">
        <v>0</v>
      </c>
      <c r="E217">
        <v>2</v>
      </c>
      <c r="G217">
        <v>4857349</v>
      </c>
      <c r="H217">
        <v>15.18000031</v>
      </c>
      <c r="I217">
        <v>2.3399999139999998</v>
      </c>
      <c r="J217" s="9">
        <f t="shared" si="84"/>
        <v>526319.5</v>
      </c>
      <c r="L217" s="9">
        <f t="shared" si="116"/>
        <v>0.3199996899999995</v>
      </c>
      <c r="M217" s="9">
        <f t="shared" si="116"/>
        <v>0</v>
      </c>
      <c r="N217" s="29">
        <f t="shared" si="103"/>
        <v>1791730043</v>
      </c>
      <c r="O217" s="30">
        <f t="shared" si="104"/>
        <v>0.3324321156466552</v>
      </c>
      <c r="P217" s="30">
        <f t="shared" si="105"/>
        <v>1.1081070521555174</v>
      </c>
      <c r="Q217" s="29">
        <f t="shared" si="106"/>
        <v>10015.170234310001</v>
      </c>
      <c r="R217" s="30">
        <f t="shared" si="107"/>
        <v>0.33383933383782677</v>
      </c>
      <c r="S217" s="30">
        <f t="shared" si="108"/>
        <v>1.1127977794594226</v>
      </c>
      <c r="T217" s="37">
        <f t="shared" si="109"/>
        <v>2.0099999909999999</v>
      </c>
      <c r="U217" s="30">
        <f t="shared" si="110"/>
        <v>0.15402299117981247</v>
      </c>
      <c r="V217" s="38">
        <f t="shared" si="111"/>
        <v>2.2333355044087865E-4</v>
      </c>
      <c r="W217" s="9">
        <f t="shared" si="102"/>
        <v>132923451</v>
      </c>
      <c r="X217" s="12">
        <f t="shared" si="102"/>
        <v>92.860000589999999</v>
      </c>
      <c r="Y217" s="11">
        <f t="shared" si="102"/>
        <v>1.6200001240000002</v>
      </c>
      <c r="Z217" s="7">
        <f t="shared" si="112"/>
        <v>6705628.3799999999</v>
      </c>
      <c r="AA217" s="7">
        <f t="shared" si="112"/>
        <v>4.6500005800000004</v>
      </c>
      <c r="AB217" s="7">
        <f t="shared" si="112"/>
        <v>9.9999899999998476E-3</v>
      </c>
    </row>
    <row r="218" spans="1:28" x14ac:dyDescent="0.25">
      <c r="A218" s="2">
        <v>214</v>
      </c>
      <c r="B218">
        <v>3</v>
      </c>
      <c r="C218">
        <v>0</v>
      </c>
      <c r="D218">
        <v>0</v>
      </c>
      <c r="E218">
        <v>3</v>
      </c>
      <c r="G218">
        <v>6212419</v>
      </c>
      <c r="H218">
        <v>15.960000040000001</v>
      </c>
      <c r="I218">
        <v>2.3399999139999998</v>
      </c>
      <c r="J218" s="9">
        <f t="shared" si="84"/>
        <v>1355070</v>
      </c>
      <c r="L218" s="9">
        <f t="shared" si="116"/>
        <v>0.77999973000000011</v>
      </c>
      <c r="M218" s="9">
        <f t="shared" si="116"/>
        <v>0</v>
      </c>
      <c r="N218" s="29">
        <f t="shared" si="103"/>
        <v>1731887549</v>
      </c>
      <c r="O218" s="30">
        <f t="shared" si="104"/>
        <v>0.3321419137536436</v>
      </c>
      <c r="P218" s="30">
        <f t="shared" si="105"/>
        <v>1.1071397125121452</v>
      </c>
      <c r="Q218" s="29">
        <f t="shared" si="106"/>
        <v>10015.950234040001</v>
      </c>
      <c r="R218" s="30">
        <f t="shared" si="107"/>
        <v>0.3338653338542184</v>
      </c>
      <c r="S218" s="30">
        <f t="shared" si="108"/>
        <v>1.1128844461807281</v>
      </c>
      <c r="T218" s="37">
        <f t="shared" si="109"/>
        <v>2.0099999909999999</v>
      </c>
      <c r="U218" s="30">
        <f t="shared" si="110"/>
        <v>0.15402299117981247</v>
      </c>
      <c r="V218" s="38">
        <f t="shared" si="111"/>
        <v>2.2333355044087865E-4</v>
      </c>
      <c r="W218" s="9">
        <f t="shared" ref="W218:Y233" si="117">ABS(G218-G197)</f>
        <v>127575565</v>
      </c>
      <c r="X218" s="12">
        <f t="shared" si="117"/>
        <v>91.23000236</v>
      </c>
      <c r="Y218" s="11">
        <f t="shared" si="117"/>
        <v>1.6200001240000002</v>
      </c>
      <c r="Z218" s="7">
        <f t="shared" si="112"/>
        <v>7049719.3100000005</v>
      </c>
      <c r="AA218" s="7">
        <f t="shared" si="112"/>
        <v>4.6000003800000009</v>
      </c>
      <c r="AB218" s="7">
        <f t="shared" si="112"/>
        <v>9.9999899999998476E-3</v>
      </c>
    </row>
    <row r="219" spans="1:28" x14ac:dyDescent="0.25">
      <c r="A219" s="2">
        <v>215</v>
      </c>
      <c r="B219">
        <v>3</v>
      </c>
      <c r="C219">
        <v>0</v>
      </c>
      <c r="D219">
        <v>0</v>
      </c>
      <c r="E219">
        <v>4</v>
      </c>
      <c r="G219">
        <v>5112136</v>
      </c>
      <c r="H219">
        <v>15.31999969</v>
      </c>
      <c r="I219">
        <v>2.3399999139999998</v>
      </c>
      <c r="J219" s="9">
        <f t="shared" si="84"/>
        <v>1100283</v>
      </c>
      <c r="L219" s="9">
        <f t="shared" si="116"/>
        <v>0.64000035000000111</v>
      </c>
      <c r="M219" s="9">
        <f t="shared" si="116"/>
        <v>0</v>
      </c>
      <c r="N219" s="29">
        <f t="shared" si="103"/>
        <v>1579721784</v>
      </c>
      <c r="O219" s="30">
        <f t="shared" si="104"/>
        <v>0.33225811320343268</v>
      </c>
      <c r="P219" s="30">
        <f t="shared" si="105"/>
        <v>1.1075270440114422</v>
      </c>
      <c r="Q219" s="29">
        <f t="shared" si="106"/>
        <v>10015.310233690001</v>
      </c>
      <c r="R219" s="30">
        <f t="shared" si="107"/>
        <v>0.33384400048838425</v>
      </c>
      <c r="S219" s="30">
        <f t="shared" si="108"/>
        <v>1.1128133349612808</v>
      </c>
      <c r="T219" s="37">
        <f t="shared" si="109"/>
        <v>2.0099999909999999</v>
      </c>
      <c r="U219" s="30">
        <f t="shared" si="110"/>
        <v>0.15402299117981247</v>
      </c>
      <c r="V219" s="38">
        <f t="shared" si="111"/>
        <v>2.2333355044087865E-4</v>
      </c>
      <c r="W219" s="9">
        <f t="shared" si="117"/>
        <v>116468096</v>
      </c>
      <c r="X219" s="12">
        <f t="shared" si="117"/>
        <v>86.160003709999998</v>
      </c>
      <c r="Y219" s="11">
        <f t="shared" si="117"/>
        <v>1.6200001240000002</v>
      </c>
      <c r="Z219" s="7">
        <f t="shared" si="112"/>
        <v>6774995.25</v>
      </c>
      <c r="AA219" s="7">
        <f t="shared" si="112"/>
        <v>4.6199998799999999</v>
      </c>
      <c r="AB219" s="7">
        <f t="shared" si="112"/>
        <v>9.9999899999998476E-3</v>
      </c>
    </row>
    <row r="220" spans="1:28" x14ac:dyDescent="0.25">
      <c r="A220" s="2">
        <v>216</v>
      </c>
      <c r="B220">
        <v>3</v>
      </c>
      <c r="C220">
        <v>0</v>
      </c>
      <c r="D220">
        <v>0</v>
      </c>
      <c r="E220">
        <v>5</v>
      </c>
      <c r="G220">
        <v>4109120.5</v>
      </c>
      <c r="H220">
        <v>14.77000046</v>
      </c>
      <c r="I220">
        <v>2.3399999139999998</v>
      </c>
      <c r="J220" s="9">
        <f t="shared" si="84"/>
        <v>1003015.5</v>
      </c>
      <c r="L220" s="9">
        <f t="shared" si="116"/>
        <v>0.54999922999999917</v>
      </c>
      <c r="M220" s="9">
        <f t="shared" si="116"/>
        <v>0</v>
      </c>
      <c r="N220" s="29">
        <f t="shared" si="103"/>
        <v>1479575615.5</v>
      </c>
      <c r="O220" s="30">
        <f t="shared" si="104"/>
        <v>0.33241015416993097</v>
      </c>
      <c r="P220" s="30">
        <f t="shared" si="105"/>
        <v>1.1080338472331033</v>
      </c>
      <c r="Q220" s="29">
        <f t="shared" si="106"/>
        <v>10014.76023446</v>
      </c>
      <c r="R220" s="30">
        <f t="shared" si="107"/>
        <v>0.3338256671628132</v>
      </c>
      <c r="S220" s="30">
        <f t="shared" si="108"/>
        <v>1.1127522238760439</v>
      </c>
      <c r="T220" s="37">
        <f t="shared" si="109"/>
        <v>2.0099999909999999</v>
      </c>
      <c r="U220" s="30">
        <f t="shared" si="110"/>
        <v>0.15402299117981247</v>
      </c>
      <c r="V220" s="38">
        <f t="shared" si="111"/>
        <v>2.2333355044087865E-4</v>
      </c>
      <c r="W220" s="9">
        <f t="shared" si="117"/>
        <v>107797247.5</v>
      </c>
      <c r="X220" s="12">
        <f t="shared" si="117"/>
        <v>78.850002289999992</v>
      </c>
      <c r="Y220" s="11">
        <f t="shared" si="117"/>
        <v>1.6200001240000002</v>
      </c>
      <c r="Z220" s="7">
        <f t="shared" si="112"/>
        <v>6364814.75</v>
      </c>
      <c r="AA220" s="7">
        <f t="shared" si="112"/>
        <v>4.6200008400000012</v>
      </c>
      <c r="AB220" s="7">
        <f t="shared" si="112"/>
        <v>9.9999899999998476E-3</v>
      </c>
    </row>
    <row r="221" spans="1:28" x14ac:dyDescent="0.25">
      <c r="A221" s="2">
        <v>217</v>
      </c>
      <c r="B221">
        <v>3</v>
      </c>
      <c r="C221">
        <v>0</v>
      </c>
      <c r="D221">
        <v>0</v>
      </c>
      <c r="E221">
        <v>6</v>
      </c>
      <c r="G221">
        <v>1186834.3799999999</v>
      </c>
      <c r="H221">
        <v>12.85999966</v>
      </c>
      <c r="I221">
        <v>2.3399999139999998</v>
      </c>
      <c r="J221" s="9">
        <f t="shared" si="84"/>
        <v>2922286.12</v>
      </c>
      <c r="L221" s="9">
        <f t="shared" si="116"/>
        <v>1.9100008000000006</v>
      </c>
      <c r="M221" s="9">
        <f t="shared" si="116"/>
        <v>0</v>
      </c>
      <c r="N221" s="29">
        <f t="shared" si="103"/>
        <v>1211177965.6199999</v>
      </c>
      <c r="O221" s="30">
        <f t="shared" si="104"/>
        <v>0.33300701945487032</v>
      </c>
      <c r="P221" s="30">
        <f t="shared" si="105"/>
        <v>1.1100233981829011</v>
      </c>
      <c r="Q221" s="29">
        <f t="shared" si="106"/>
        <v>10012.850233660001</v>
      </c>
      <c r="R221" s="30">
        <f t="shared" si="107"/>
        <v>0.33376200040730297</v>
      </c>
      <c r="S221" s="30">
        <f t="shared" si="108"/>
        <v>1.1125400013576765</v>
      </c>
      <c r="T221" s="37">
        <f t="shared" si="109"/>
        <v>2.0099999909999999</v>
      </c>
      <c r="U221" s="30">
        <f t="shared" si="110"/>
        <v>0.15402299117981247</v>
      </c>
      <c r="V221" s="38">
        <f t="shared" si="111"/>
        <v>2.2333355044087865E-4</v>
      </c>
      <c r="W221" s="9">
        <f t="shared" si="117"/>
        <v>87518845.620000005</v>
      </c>
      <c r="X221" s="12">
        <f t="shared" si="117"/>
        <v>66.409996980000003</v>
      </c>
      <c r="Y221" s="11">
        <f t="shared" si="117"/>
        <v>1.6200001240000002</v>
      </c>
      <c r="Z221" s="7">
        <f t="shared" si="112"/>
        <v>5537787.3799999999</v>
      </c>
      <c r="AA221" s="7">
        <f t="shared" si="112"/>
        <v>4.6599998510000002</v>
      </c>
      <c r="AB221" s="7">
        <f t="shared" si="112"/>
        <v>9.9999899999998476E-3</v>
      </c>
    </row>
    <row r="222" spans="1:28" x14ac:dyDescent="0.25">
      <c r="A222" s="2">
        <v>218</v>
      </c>
      <c r="B222">
        <v>3</v>
      </c>
      <c r="C222">
        <v>0</v>
      </c>
      <c r="D222">
        <v>1</v>
      </c>
      <c r="E222">
        <v>0</v>
      </c>
      <c r="G222">
        <v>136792720</v>
      </c>
      <c r="H222">
        <v>40.909999849999998</v>
      </c>
      <c r="I222">
        <v>2.3900001049999999</v>
      </c>
      <c r="N222" s="29">
        <f t="shared" si="103"/>
        <v>132408692.5</v>
      </c>
      <c r="O222" s="30">
        <f t="shared" si="104"/>
        <v>10.067507750198496</v>
      </c>
      <c r="P222" s="30">
        <f t="shared" si="105"/>
        <v>10.067507750198496</v>
      </c>
      <c r="Q222" s="29">
        <f t="shared" si="106"/>
        <v>26.019999509999998</v>
      </c>
      <c r="R222" s="30">
        <f t="shared" si="107"/>
        <v>0.58249381947294154</v>
      </c>
      <c r="S222" s="30">
        <f t="shared" si="108"/>
        <v>0.58249381947294154</v>
      </c>
      <c r="T222" s="37">
        <f t="shared" si="109"/>
        <v>5.0000191000000083E-2</v>
      </c>
      <c r="U222" s="30">
        <f t="shared" si="110"/>
        <v>7.1225345922527085E-3</v>
      </c>
      <c r="V222" s="38">
        <f t="shared" si="111"/>
        <v>1.1193237040136536E-3</v>
      </c>
      <c r="W222" s="9">
        <f t="shared" si="117"/>
        <v>520900400</v>
      </c>
      <c r="X222" s="12">
        <f t="shared" si="117"/>
        <v>415.16000744999997</v>
      </c>
      <c r="Y222" s="11">
        <f t="shared" si="117"/>
        <v>1.7000000480000002</v>
      </c>
      <c r="Z222" s="7">
        <f t="shared" ref="Z222:AB237" si="118">ABS(G222-G117)</f>
        <v>58080304</v>
      </c>
      <c r="AA222" s="7">
        <f t="shared" si="118"/>
        <v>5.8299980199999979</v>
      </c>
      <c r="AB222" s="7">
        <f t="shared" si="118"/>
        <v>2.000021899999993E-2</v>
      </c>
    </row>
    <row r="223" spans="1:28" x14ac:dyDescent="0.25">
      <c r="A223" s="2">
        <v>219</v>
      </c>
      <c r="B223">
        <v>3</v>
      </c>
      <c r="C223">
        <v>0</v>
      </c>
      <c r="D223">
        <v>1</v>
      </c>
      <c r="E223">
        <v>1</v>
      </c>
      <c r="G223">
        <v>140309520</v>
      </c>
      <c r="H223">
        <v>41.689998629999998</v>
      </c>
      <c r="I223">
        <v>2.3900001049999999</v>
      </c>
      <c r="J223" s="9">
        <f t="shared" ref="J223" si="119">ABS(G223-G222)</f>
        <v>3516800</v>
      </c>
      <c r="L223" s="9">
        <f t="shared" ref="L223:M228" si="120">ABS(H223-H222)</f>
        <v>0.77999877999999967</v>
      </c>
      <c r="M223" s="9">
        <f t="shared" si="120"/>
        <v>0</v>
      </c>
      <c r="N223" s="29">
        <f t="shared" si="103"/>
        <v>134925851.5</v>
      </c>
      <c r="O223" s="30">
        <f t="shared" si="104"/>
        <v>8.3540217666324246</v>
      </c>
      <c r="P223" s="30">
        <f t="shared" si="105"/>
        <v>8.3540217666324246</v>
      </c>
      <c r="Q223" s="29">
        <f t="shared" si="106"/>
        <v>26.189998629999998</v>
      </c>
      <c r="R223" s="30">
        <f t="shared" si="107"/>
        <v>0.56322577698924725</v>
      </c>
      <c r="S223" s="30">
        <f t="shared" si="108"/>
        <v>0.56322577698924725</v>
      </c>
      <c r="T223" s="37">
        <f t="shared" si="109"/>
        <v>5.0000191000000083E-2</v>
      </c>
      <c r="U223" s="30">
        <f t="shared" si="110"/>
        <v>7.1225345922527085E-3</v>
      </c>
      <c r="V223" s="38">
        <f t="shared" si="111"/>
        <v>1.0752729247311846E-3</v>
      </c>
      <c r="W223" s="9">
        <f t="shared" si="117"/>
        <v>513980656</v>
      </c>
      <c r="X223" s="12">
        <f t="shared" si="117"/>
        <v>416.22000507000001</v>
      </c>
      <c r="Y223" s="11">
        <f t="shared" si="117"/>
        <v>1.7000000480000002</v>
      </c>
      <c r="Z223" s="7">
        <f t="shared" si="118"/>
        <v>58608216</v>
      </c>
      <c r="AA223" s="7">
        <f t="shared" si="118"/>
        <v>5.8400001599999953</v>
      </c>
      <c r="AB223" s="7">
        <f t="shared" si="118"/>
        <v>2.000021899999993E-2</v>
      </c>
    </row>
    <row r="224" spans="1:28" x14ac:dyDescent="0.25">
      <c r="A224" s="2">
        <v>220</v>
      </c>
      <c r="B224">
        <v>3</v>
      </c>
      <c r="C224">
        <v>0</v>
      </c>
      <c r="D224">
        <v>1</v>
      </c>
      <c r="E224">
        <v>2</v>
      </c>
      <c r="G224">
        <v>138367792</v>
      </c>
      <c r="H224">
        <v>41.27999878</v>
      </c>
      <c r="I224">
        <v>2.3900001049999999</v>
      </c>
      <c r="J224" s="9">
        <f t="shared" si="86"/>
        <v>1941728</v>
      </c>
      <c r="L224" s="9">
        <f t="shared" si="120"/>
        <v>0.40999984999999839</v>
      </c>
      <c r="M224" s="9">
        <f t="shared" si="120"/>
        <v>0</v>
      </c>
      <c r="N224" s="29">
        <f t="shared" si="103"/>
        <v>133510443</v>
      </c>
      <c r="O224" s="30">
        <f t="shared" si="104"/>
        <v>9.1620925323669358</v>
      </c>
      <c r="P224" s="30">
        <f t="shared" si="105"/>
        <v>9.1620925323669358</v>
      </c>
      <c r="Q224" s="29">
        <f t="shared" si="106"/>
        <v>26.099998469999999</v>
      </c>
      <c r="R224" s="30">
        <f t="shared" si="107"/>
        <v>0.57312248434334845</v>
      </c>
      <c r="S224" s="30">
        <f t="shared" si="108"/>
        <v>0.57312248434334845</v>
      </c>
      <c r="T224" s="37">
        <f t="shared" si="109"/>
        <v>5.0000191000000083E-2</v>
      </c>
      <c r="U224" s="30">
        <f t="shared" si="110"/>
        <v>7.1225345922527085E-3</v>
      </c>
      <c r="V224" s="38">
        <f t="shared" si="111"/>
        <v>1.0979400522379411E-3</v>
      </c>
      <c r="W224" s="9">
        <f t="shared" si="117"/>
        <v>517872592</v>
      </c>
      <c r="X224" s="12">
        <f t="shared" si="117"/>
        <v>414.44000242000004</v>
      </c>
      <c r="Y224" s="11">
        <f t="shared" si="117"/>
        <v>1.7000000480000002</v>
      </c>
      <c r="Z224" s="7">
        <f t="shared" si="118"/>
        <v>58360864</v>
      </c>
      <c r="AA224" s="7">
        <f t="shared" si="118"/>
        <v>5.8299980199999979</v>
      </c>
      <c r="AB224" s="7">
        <f t="shared" si="118"/>
        <v>2.000021899999993E-2</v>
      </c>
    </row>
    <row r="225" spans="1:28" x14ac:dyDescent="0.25">
      <c r="A225" s="2">
        <v>221</v>
      </c>
      <c r="B225">
        <v>3</v>
      </c>
      <c r="C225">
        <v>0</v>
      </c>
      <c r="D225">
        <v>1</v>
      </c>
      <c r="E225">
        <v>3</v>
      </c>
      <c r="G225">
        <v>142044416</v>
      </c>
      <c r="H225">
        <v>42.299999239999998</v>
      </c>
      <c r="I225">
        <v>2.3900001049999999</v>
      </c>
      <c r="J225" s="9">
        <f t="shared" si="86"/>
        <v>3676624</v>
      </c>
      <c r="L225" s="9">
        <f t="shared" si="120"/>
        <v>1.0200004599999986</v>
      </c>
      <c r="M225" s="9">
        <f t="shared" si="120"/>
        <v>0</v>
      </c>
      <c r="N225" s="29">
        <f t="shared" si="103"/>
        <v>135831997</v>
      </c>
      <c r="O225" s="30">
        <f t="shared" si="104"/>
        <v>7.288196809219297</v>
      </c>
      <c r="P225" s="30">
        <f t="shared" si="105"/>
        <v>7.288196809219297</v>
      </c>
      <c r="Q225" s="29">
        <f t="shared" si="106"/>
        <v>26.339999199999998</v>
      </c>
      <c r="R225" s="30">
        <f t="shared" si="107"/>
        <v>0.55012529519601006</v>
      </c>
      <c r="S225" s="30">
        <f t="shared" si="108"/>
        <v>0.55012529519601006</v>
      </c>
      <c r="T225" s="37">
        <f t="shared" si="109"/>
        <v>5.0000191000000083E-2</v>
      </c>
      <c r="U225" s="30">
        <f t="shared" si="110"/>
        <v>7.1225345922527085E-3</v>
      </c>
      <c r="V225" s="38">
        <f t="shared" si="111"/>
        <v>1.0442813465891044E-3</v>
      </c>
      <c r="W225" s="9">
        <f t="shared" si="117"/>
        <v>494721536</v>
      </c>
      <c r="X225" s="12">
        <f t="shared" si="117"/>
        <v>408.58000566000004</v>
      </c>
      <c r="Y225" s="11">
        <f t="shared" si="117"/>
        <v>1.7000000480000002</v>
      </c>
      <c r="Z225" s="7">
        <f t="shared" si="118"/>
        <v>58308752</v>
      </c>
      <c r="AA225" s="7">
        <f t="shared" si="118"/>
        <v>5.8199996999999968</v>
      </c>
      <c r="AB225" s="7">
        <f t="shared" si="118"/>
        <v>2.000021899999993E-2</v>
      </c>
    </row>
    <row r="226" spans="1:28" x14ac:dyDescent="0.25">
      <c r="A226" s="2">
        <v>222</v>
      </c>
      <c r="B226">
        <v>3</v>
      </c>
      <c r="C226">
        <v>0</v>
      </c>
      <c r="D226">
        <v>1</v>
      </c>
      <c r="E226">
        <v>4</v>
      </c>
      <c r="G226">
        <v>133478896</v>
      </c>
      <c r="H226">
        <v>41.229999540000001</v>
      </c>
      <c r="I226">
        <v>2.3900001049999999</v>
      </c>
      <c r="J226" s="9">
        <f t="shared" si="86"/>
        <v>8565520</v>
      </c>
      <c r="L226" s="9">
        <f t="shared" si="120"/>
        <v>1.0699996999999968</v>
      </c>
      <c r="M226" s="9">
        <f t="shared" si="120"/>
        <v>0</v>
      </c>
      <c r="N226" s="29">
        <f t="shared" si="103"/>
        <v>128366760</v>
      </c>
      <c r="O226" s="30">
        <f t="shared" si="104"/>
        <v>8.3700668370325051</v>
      </c>
      <c r="P226" s="30">
        <f t="shared" si="105"/>
        <v>8.3700668370325051</v>
      </c>
      <c r="Q226" s="29">
        <f t="shared" si="106"/>
        <v>25.909999850000002</v>
      </c>
      <c r="R226" s="30">
        <f t="shared" si="107"/>
        <v>0.56375109604631246</v>
      </c>
      <c r="S226" s="30">
        <f t="shared" si="108"/>
        <v>0.56375109604631246</v>
      </c>
      <c r="T226" s="37">
        <f t="shared" si="109"/>
        <v>5.0000191000000083E-2</v>
      </c>
      <c r="U226" s="30">
        <f t="shared" si="110"/>
        <v>7.1225345922527085E-3</v>
      </c>
      <c r="V226" s="38">
        <f t="shared" si="111"/>
        <v>1.0879067017352767E-3</v>
      </c>
      <c r="W226" s="9">
        <f t="shared" si="117"/>
        <v>448200656</v>
      </c>
      <c r="X226" s="12">
        <f t="shared" si="117"/>
        <v>382.02000046000001</v>
      </c>
      <c r="Y226" s="11">
        <f t="shared" si="117"/>
        <v>1.7000000480000002</v>
      </c>
      <c r="Z226" s="7">
        <f t="shared" si="118"/>
        <v>54455024</v>
      </c>
      <c r="AA226" s="7">
        <f t="shared" si="118"/>
        <v>5.7399978600000026</v>
      </c>
      <c r="AB226" s="7">
        <f t="shared" si="118"/>
        <v>9.9999909999999304E-3</v>
      </c>
    </row>
    <row r="227" spans="1:28" x14ac:dyDescent="0.25">
      <c r="A227" s="2">
        <v>223</v>
      </c>
      <c r="B227">
        <v>3</v>
      </c>
      <c r="C227">
        <v>0</v>
      </c>
      <c r="D227">
        <v>1</v>
      </c>
      <c r="E227">
        <v>5</v>
      </c>
      <c r="G227">
        <v>124794880</v>
      </c>
      <c r="H227">
        <v>40.709999080000003</v>
      </c>
      <c r="I227">
        <v>2.3900001049999999</v>
      </c>
      <c r="J227" s="9">
        <f t="shared" si="86"/>
        <v>8684016</v>
      </c>
      <c r="L227" s="9">
        <f t="shared" si="120"/>
        <v>0.52000045999999855</v>
      </c>
      <c r="M227" s="9">
        <f t="shared" si="120"/>
        <v>0</v>
      </c>
      <c r="N227" s="29">
        <f t="shared" si="103"/>
        <v>120685759.5</v>
      </c>
      <c r="O227" s="30">
        <f t="shared" si="104"/>
        <v>9.7900722307851513</v>
      </c>
      <c r="P227" s="30">
        <f t="shared" si="105"/>
        <v>9.7900722307851513</v>
      </c>
      <c r="Q227" s="29">
        <f t="shared" si="106"/>
        <v>25.939998620000004</v>
      </c>
      <c r="R227" s="30">
        <f t="shared" si="107"/>
        <v>0.585420848840425</v>
      </c>
      <c r="S227" s="30">
        <f t="shared" si="108"/>
        <v>0.585420848840425</v>
      </c>
      <c r="T227" s="37">
        <f t="shared" si="109"/>
        <v>5.0000191000000083E-2</v>
      </c>
      <c r="U227" s="30">
        <f t="shared" si="110"/>
        <v>7.1225345922527085E-3</v>
      </c>
      <c r="V227" s="38">
        <f t="shared" si="111"/>
        <v>1.1284177260840356E-3</v>
      </c>
      <c r="W227" s="9">
        <f t="shared" si="117"/>
        <v>417599744</v>
      </c>
      <c r="X227" s="12">
        <f t="shared" si="117"/>
        <v>349.05998992000002</v>
      </c>
      <c r="Y227" s="11">
        <f t="shared" si="117"/>
        <v>1.7000000480000002</v>
      </c>
      <c r="Z227" s="7">
        <f t="shared" si="118"/>
        <v>51160624</v>
      </c>
      <c r="AA227" s="7">
        <f t="shared" si="118"/>
        <v>5.7399978600000026</v>
      </c>
      <c r="AB227" s="7">
        <f t="shared" si="118"/>
        <v>9.9999909999999304E-3</v>
      </c>
    </row>
    <row r="228" spans="1:28" x14ac:dyDescent="0.25">
      <c r="A228" s="2">
        <v>224</v>
      </c>
      <c r="B228">
        <v>3</v>
      </c>
      <c r="C228">
        <v>0</v>
      </c>
      <c r="D228">
        <v>1</v>
      </c>
      <c r="E228">
        <v>6</v>
      </c>
      <c r="G228">
        <v>104231256</v>
      </c>
      <c r="H228">
        <v>38.02999878</v>
      </c>
      <c r="I228">
        <v>2.3900001049999999</v>
      </c>
      <c r="J228" s="9">
        <f t="shared" si="86"/>
        <v>20563624</v>
      </c>
      <c r="L228" s="9">
        <f t="shared" si="120"/>
        <v>2.6800003000000032</v>
      </c>
      <c r="M228" s="9">
        <f t="shared" si="120"/>
        <v>0</v>
      </c>
      <c r="N228" s="29">
        <f t="shared" si="103"/>
        <v>103044421.62</v>
      </c>
      <c r="O228" s="30">
        <f t="shared" si="104"/>
        <v>28.940971982965308</v>
      </c>
      <c r="P228" s="30">
        <f t="shared" si="105"/>
        <v>28.940971982965308</v>
      </c>
      <c r="Q228" s="29">
        <f t="shared" si="106"/>
        <v>25.16999912</v>
      </c>
      <c r="R228" s="30">
        <f t="shared" si="107"/>
        <v>0.65241056986673873</v>
      </c>
      <c r="S228" s="30">
        <f t="shared" si="108"/>
        <v>0.65241056986673873</v>
      </c>
      <c r="T228" s="37">
        <f t="shared" si="109"/>
        <v>5.0000191000000083E-2</v>
      </c>
      <c r="U228" s="30">
        <f t="shared" si="110"/>
        <v>7.1225345922527085E-3</v>
      </c>
      <c r="V228" s="38">
        <f t="shared" si="111"/>
        <v>1.2960132794695082E-3</v>
      </c>
      <c r="W228" s="9">
        <f t="shared" si="117"/>
        <v>337213416</v>
      </c>
      <c r="X228" s="12">
        <f t="shared" si="117"/>
        <v>286.17001342000003</v>
      </c>
      <c r="Y228" s="11">
        <f t="shared" si="117"/>
        <v>1.7000000480000002</v>
      </c>
      <c r="Z228" s="7">
        <f t="shared" si="118"/>
        <v>43179192</v>
      </c>
      <c r="AA228" s="7">
        <f t="shared" si="118"/>
        <v>5.5599975599999993</v>
      </c>
      <c r="AB228" s="7">
        <f t="shared" si="118"/>
        <v>9.9999909999999304E-3</v>
      </c>
    </row>
    <row r="229" spans="1:28" x14ac:dyDescent="0.25">
      <c r="A229" s="2">
        <v>225</v>
      </c>
      <c r="B229">
        <v>3</v>
      </c>
      <c r="C229">
        <v>0</v>
      </c>
      <c r="D229">
        <v>2</v>
      </c>
      <c r="E229">
        <v>0</v>
      </c>
      <c r="G229">
        <v>546507136</v>
      </c>
      <c r="H229">
        <v>74.620002749999998</v>
      </c>
      <c r="I229">
        <v>2.539999962</v>
      </c>
      <c r="N229" s="29">
        <f t="shared" si="103"/>
        <v>409714416</v>
      </c>
      <c r="O229" s="30">
        <f t="shared" si="104"/>
        <v>0.99838260398652789</v>
      </c>
      <c r="P229" s="30">
        <f t="shared" si="105"/>
        <v>1.9967652079730558</v>
      </c>
      <c r="Q229" s="29">
        <f t="shared" si="106"/>
        <v>33.710002899999999</v>
      </c>
      <c r="R229" s="30">
        <f t="shared" si="107"/>
        <v>0.27466799497759797</v>
      </c>
      <c r="S229" s="30">
        <f t="shared" si="108"/>
        <v>0.54933598995519595</v>
      </c>
      <c r="T229" s="37">
        <f t="shared" si="109"/>
        <v>0.14999985700000007</v>
      </c>
      <c r="U229" s="30">
        <f t="shared" si="110"/>
        <v>2.0920481228737586E-2</v>
      </c>
      <c r="V229" s="38">
        <f t="shared" si="111"/>
        <v>2.4443878033078683E-3</v>
      </c>
      <c r="W229" s="9">
        <f t="shared" si="117"/>
        <v>1254456704</v>
      </c>
      <c r="X229" s="12">
        <f t="shared" si="117"/>
        <v>10074.610236750001</v>
      </c>
      <c r="Y229" s="11">
        <f t="shared" si="117"/>
        <v>1.8099999429999998</v>
      </c>
      <c r="Z229" s="7">
        <f t="shared" si="118"/>
        <v>211787328</v>
      </c>
      <c r="AA229" s="7">
        <f t="shared" si="118"/>
        <v>9.2099990899999966</v>
      </c>
      <c r="AB229" s="7">
        <f t="shared" si="118"/>
        <v>4.9999951999999848E-2</v>
      </c>
    </row>
    <row r="230" spans="1:28" x14ac:dyDescent="0.25">
      <c r="A230" s="2">
        <v>226</v>
      </c>
      <c r="B230">
        <v>3</v>
      </c>
      <c r="C230">
        <v>0</v>
      </c>
      <c r="D230">
        <v>2</v>
      </c>
      <c r="E230">
        <v>1</v>
      </c>
      <c r="G230">
        <v>555939840</v>
      </c>
      <c r="H230">
        <v>76.980003359999998</v>
      </c>
      <c r="I230">
        <v>2.539999962</v>
      </c>
      <c r="J230" s="9">
        <f t="shared" ref="J230:J291" si="121">ABS(G230-G229)</f>
        <v>9432704</v>
      </c>
      <c r="L230" s="9">
        <f t="shared" ref="L230:M235" si="122">ABS(H230-H229)</f>
        <v>2.3600006100000002</v>
      </c>
      <c r="M230" s="9">
        <f t="shared" si="122"/>
        <v>0</v>
      </c>
      <c r="N230" s="29">
        <f t="shared" si="103"/>
        <v>415630320</v>
      </c>
      <c r="O230" s="30">
        <f t="shared" si="104"/>
        <v>0.98741297098015879</v>
      </c>
      <c r="P230" s="30">
        <f t="shared" si="105"/>
        <v>1.9748259419603176</v>
      </c>
      <c r="Q230" s="29">
        <f t="shared" si="106"/>
        <v>35.29000473</v>
      </c>
      <c r="R230" s="30">
        <f t="shared" si="107"/>
        <v>0.28216203637711657</v>
      </c>
      <c r="S230" s="30">
        <f t="shared" si="108"/>
        <v>0.56432407275423313</v>
      </c>
      <c r="T230" s="37">
        <f t="shared" si="109"/>
        <v>0.14999985700000007</v>
      </c>
      <c r="U230" s="30">
        <f t="shared" si="110"/>
        <v>2.0920481228737586E-2</v>
      </c>
      <c r="V230" s="38">
        <f t="shared" si="111"/>
        <v>2.3986545443229418E-3</v>
      </c>
      <c r="W230" s="9">
        <f t="shared" si="117"/>
        <v>1232922496</v>
      </c>
      <c r="X230" s="12">
        <f t="shared" si="117"/>
        <v>10076.970237360001</v>
      </c>
      <c r="Y230" s="11">
        <f t="shared" si="117"/>
        <v>1.8099999429999998</v>
      </c>
      <c r="Z230" s="7">
        <f t="shared" si="118"/>
        <v>212689600</v>
      </c>
      <c r="AA230" s="7">
        <f t="shared" si="118"/>
        <v>9.4200057999999984</v>
      </c>
      <c r="AB230" s="7">
        <f t="shared" si="118"/>
        <v>4.9999951999999848E-2</v>
      </c>
    </row>
    <row r="231" spans="1:28" x14ac:dyDescent="0.25">
      <c r="A231" s="2">
        <v>227</v>
      </c>
      <c r="B231">
        <v>3</v>
      </c>
      <c r="C231">
        <v>0</v>
      </c>
      <c r="D231">
        <v>2</v>
      </c>
      <c r="E231">
        <v>2</v>
      </c>
      <c r="G231">
        <v>551011712</v>
      </c>
      <c r="H231">
        <v>75.739997860000003</v>
      </c>
      <c r="I231">
        <v>2.539999962</v>
      </c>
      <c r="J231" s="9">
        <f t="shared" si="121"/>
        <v>4928128</v>
      </c>
      <c r="L231" s="9">
        <f t="shared" si="122"/>
        <v>1.2400054999999952</v>
      </c>
      <c r="M231" s="9">
        <f t="shared" si="122"/>
        <v>0</v>
      </c>
      <c r="N231" s="29">
        <f t="shared" si="103"/>
        <v>412643920</v>
      </c>
      <c r="O231" s="30">
        <f t="shared" si="104"/>
        <v>0.99407507589145705</v>
      </c>
      <c r="P231" s="30">
        <f t="shared" si="105"/>
        <v>1.9881501517829141</v>
      </c>
      <c r="Q231" s="29">
        <f t="shared" si="106"/>
        <v>34.459999080000003</v>
      </c>
      <c r="R231" s="30">
        <f t="shared" si="107"/>
        <v>0.27826227469670484</v>
      </c>
      <c r="S231" s="30">
        <f t="shared" si="108"/>
        <v>0.55652454939340967</v>
      </c>
      <c r="T231" s="37">
        <f t="shared" si="109"/>
        <v>0.14999985700000007</v>
      </c>
      <c r="U231" s="30">
        <f t="shared" si="110"/>
        <v>2.0920481228737586E-2</v>
      </c>
      <c r="V231" s="38">
        <f t="shared" si="111"/>
        <v>2.42247838231808E-3</v>
      </c>
      <c r="W231" s="9">
        <f t="shared" si="117"/>
        <v>1245575680</v>
      </c>
      <c r="X231" s="12">
        <f t="shared" si="117"/>
        <v>10075.730231860001</v>
      </c>
      <c r="Y231" s="11">
        <f t="shared" si="117"/>
        <v>1.8099999429999998</v>
      </c>
      <c r="Z231" s="7">
        <f t="shared" si="118"/>
        <v>212255200</v>
      </c>
      <c r="AA231" s="7">
        <f t="shared" si="118"/>
        <v>9.3099975500000056</v>
      </c>
      <c r="AB231" s="7">
        <f t="shared" si="118"/>
        <v>4.9999951999999848E-2</v>
      </c>
    </row>
    <row r="232" spans="1:28" x14ac:dyDescent="0.25">
      <c r="A232" s="2">
        <v>228</v>
      </c>
      <c r="B232">
        <v>3</v>
      </c>
      <c r="C232">
        <v>0</v>
      </c>
      <c r="D232">
        <v>2</v>
      </c>
      <c r="E232">
        <v>3</v>
      </c>
      <c r="G232">
        <v>559498752</v>
      </c>
      <c r="H232">
        <v>79.599998470000003</v>
      </c>
      <c r="I232">
        <v>2.539999962</v>
      </c>
      <c r="J232" s="9">
        <f t="shared" si="121"/>
        <v>8487040</v>
      </c>
      <c r="L232" s="9">
        <f t="shared" si="122"/>
        <v>3.8600006100000002</v>
      </c>
      <c r="M232" s="9">
        <f t="shared" si="122"/>
        <v>0</v>
      </c>
      <c r="N232" s="29">
        <f t="shared" si="103"/>
        <v>417454336</v>
      </c>
      <c r="O232" s="30">
        <f t="shared" si="104"/>
        <v>0.97963333759866578</v>
      </c>
      <c r="P232" s="30">
        <f t="shared" si="105"/>
        <v>1.9592666751973316</v>
      </c>
      <c r="Q232" s="29">
        <f t="shared" si="106"/>
        <v>37.299999230000005</v>
      </c>
      <c r="R232" s="30">
        <f t="shared" si="107"/>
        <v>0.29393222931572488</v>
      </c>
      <c r="S232" s="30">
        <f t="shared" si="108"/>
        <v>0.58786445863144976</v>
      </c>
      <c r="T232" s="37">
        <f t="shared" si="109"/>
        <v>0.14999985700000007</v>
      </c>
      <c r="U232" s="30">
        <f t="shared" si="110"/>
        <v>2.0920481228737586E-2</v>
      </c>
      <c r="V232" s="38">
        <f t="shared" si="111"/>
        <v>2.3640639825852328E-3</v>
      </c>
      <c r="W232" s="9">
        <f t="shared" si="117"/>
        <v>1178601216</v>
      </c>
      <c r="X232" s="12">
        <f t="shared" si="117"/>
        <v>10079.59023247</v>
      </c>
      <c r="Y232" s="11">
        <f t="shared" si="117"/>
        <v>1.8099999429999998</v>
      </c>
      <c r="Z232" s="7">
        <f t="shared" si="118"/>
        <v>210326944</v>
      </c>
      <c r="AA232" s="7">
        <f t="shared" si="118"/>
        <v>9.7200012200000003</v>
      </c>
      <c r="AB232" s="7">
        <f t="shared" si="118"/>
        <v>4.9999951999999848E-2</v>
      </c>
    </row>
    <row r="233" spans="1:28" x14ac:dyDescent="0.25">
      <c r="A233" s="2">
        <v>229</v>
      </c>
      <c r="B233">
        <v>3</v>
      </c>
      <c r="C233">
        <v>0</v>
      </c>
      <c r="D233">
        <v>2</v>
      </c>
      <c r="E233">
        <v>4</v>
      </c>
      <c r="G233">
        <v>528083552</v>
      </c>
      <c r="H233">
        <v>78.25</v>
      </c>
      <c r="I233">
        <v>2.539999962</v>
      </c>
      <c r="J233" s="9">
        <f t="shared" si="121"/>
        <v>31415200</v>
      </c>
      <c r="L233" s="9">
        <f t="shared" si="122"/>
        <v>1.3499984700000027</v>
      </c>
      <c r="M233" s="9">
        <f t="shared" si="122"/>
        <v>0</v>
      </c>
      <c r="N233" s="29">
        <f t="shared" si="103"/>
        <v>394604656</v>
      </c>
      <c r="O233" s="30">
        <f t="shared" si="104"/>
        <v>0.98543582000658247</v>
      </c>
      <c r="P233" s="30">
        <f t="shared" si="105"/>
        <v>1.9708716400131649</v>
      </c>
      <c r="Q233" s="29">
        <f t="shared" si="106"/>
        <v>37.020000459999999</v>
      </c>
      <c r="R233" s="30">
        <f t="shared" si="107"/>
        <v>0.29929663572665016</v>
      </c>
      <c r="S233" s="30">
        <f t="shared" si="108"/>
        <v>0.59859327145330032</v>
      </c>
      <c r="T233" s="37">
        <f t="shared" si="109"/>
        <v>0.14999985700000007</v>
      </c>
      <c r="U233" s="30">
        <f t="shared" si="110"/>
        <v>2.0920481228737586E-2</v>
      </c>
      <c r="V233" s="38">
        <f t="shared" si="111"/>
        <v>2.4254160994993481E-3</v>
      </c>
      <c r="W233" s="9">
        <f t="shared" si="117"/>
        <v>1056750368</v>
      </c>
      <c r="X233" s="12">
        <f t="shared" si="117"/>
        <v>10078.240234000001</v>
      </c>
      <c r="Y233" s="11">
        <f t="shared" si="117"/>
        <v>1.8099999429999998</v>
      </c>
      <c r="Z233" s="7">
        <f t="shared" si="118"/>
        <v>195668384</v>
      </c>
      <c r="AA233" s="7">
        <f t="shared" si="118"/>
        <v>9.6399993899999998</v>
      </c>
      <c r="AB233" s="7">
        <f t="shared" si="118"/>
        <v>4.9999951999999848E-2</v>
      </c>
    </row>
    <row r="234" spans="1:28" x14ac:dyDescent="0.25">
      <c r="A234" s="2">
        <v>230</v>
      </c>
      <c r="B234">
        <v>3</v>
      </c>
      <c r="C234">
        <v>0</v>
      </c>
      <c r="D234">
        <v>2</v>
      </c>
      <c r="E234">
        <v>5</v>
      </c>
      <c r="G234">
        <v>496761280</v>
      </c>
      <c r="H234">
        <v>78.230003359999998</v>
      </c>
      <c r="I234">
        <v>2.539999962</v>
      </c>
      <c r="J234" s="9">
        <f t="shared" si="121"/>
        <v>31322272</v>
      </c>
      <c r="L234" s="9">
        <f t="shared" si="122"/>
        <v>1.999664000000223E-2</v>
      </c>
      <c r="M234" s="9">
        <f t="shared" si="122"/>
        <v>0</v>
      </c>
      <c r="N234" s="29">
        <f t="shared" si="103"/>
        <v>371966400</v>
      </c>
      <c r="O234" s="30">
        <f t="shared" si="104"/>
        <v>0.99354076064659058</v>
      </c>
      <c r="P234" s="30">
        <f t="shared" si="105"/>
        <v>1.9870815212931812</v>
      </c>
      <c r="Q234" s="29">
        <f t="shared" si="106"/>
        <v>37.520004279999995</v>
      </c>
      <c r="R234" s="30">
        <f t="shared" si="107"/>
        <v>0.30721366681331136</v>
      </c>
      <c r="S234" s="30">
        <f t="shared" si="108"/>
        <v>0.61442733362662272</v>
      </c>
      <c r="T234" s="37">
        <f t="shared" si="109"/>
        <v>0.14999985700000007</v>
      </c>
      <c r="U234" s="30">
        <f t="shared" si="110"/>
        <v>2.0920481228737586E-2</v>
      </c>
      <c r="V234" s="38">
        <f t="shared" si="111"/>
        <v>2.4563966329292954E-3</v>
      </c>
      <c r="W234" s="9">
        <f t="shared" ref="W234:Y249" si="123">ABS(G234-G213)</f>
        <v>986923456</v>
      </c>
      <c r="X234" s="12">
        <f t="shared" si="123"/>
        <v>10078.220237360001</v>
      </c>
      <c r="Y234" s="11">
        <f t="shared" si="123"/>
        <v>1.8099999429999998</v>
      </c>
      <c r="Z234" s="7">
        <f t="shared" si="118"/>
        <v>183425376</v>
      </c>
      <c r="AA234" s="7">
        <f t="shared" si="118"/>
        <v>9.6400070199999988</v>
      </c>
      <c r="AB234" s="7">
        <f t="shared" si="118"/>
        <v>4.9999951999999848E-2</v>
      </c>
    </row>
    <row r="235" spans="1:28" x14ac:dyDescent="0.25">
      <c r="A235" s="2">
        <v>231</v>
      </c>
      <c r="B235">
        <v>3</v>
      </c>
      <c r="C235">
        <v>0</v>
      </c>
      <c r="D235">
        <v>2</v>
      </c>
      <c r="E235">
        <v>6</v>
      </c>
      <c r="G235">
        <v>423282688</v>
      </c>
      <c r="H235">
        <v>74.059997559999999</v>
      </c>
      <c r="I235">
        <v>2.5499999519999998</v>
      </c>
      <c r="J235" s="9">
        <f t="shared" si="121"/>
        <v>73478592</v>
      </c>
      <c r="L235" s="9">
        <f t="shared" si="122"/>
        <v>4.1700057999999984</v>
      </c>
      <c r="M235" s="9">
        <f t="shared" si="122"/>
        <v>9.9999899999998476E-3</v>
      </c>
      <c r="N235" s="29">
        <f t="shared" si="103"/>
        <v>319051432</v>
      </c>
      <c r="O235" s="30">
        <f t="shared" si="104"/>
        <v>1.0203319178398209</v>
      </c>
      <c r="P235" s="30">
        <f t="shared" si="105"/>
        <v>2.0406638356796418</v>
      </c>
      <c r="Q235" s="29">
        <f t="shared" si="106"/>
        <v>36.02999878</v>
      </c>
      <c r="R235" s="30">
        <f t="shared" si="107"/>
        <v>0.31580331261144817</v>
      </c>
      <c r="S235" s="30">
        <f t="shared" si="108"/>
        <v>0.63160662522289635</v>
      </c>
      <c r="T235" s="37">
        <f t="shared" si="109"/>
        <v>0.15999984699999992</v>
      </c>
      <c r="U235" s="30">
        <f t="shared" si="110"/>
        <v>2.2315179912234067E-2</v>
      </c>
      <c r="V235" s="38">
        <f t="shared" si="111"/>
        <v>2.8048006334084508E-3</v>
      </c>
      <c r="W235" s="9">
        <f t="shared" si="123"/>
        <v>789082112</v>
      </c>
      <c r="X235" s="12">
        <f t="shared" si="123"/>
        <v>10074.050231560001</v>
      </c>
      <c r="Y235" s="11">
        <f t="shared" si="123"/>
        <v>1.7999999529999999</v>
      </c>
      <c r="Z235" s="7">
        <f t="shared" si="118"/>
        <v>153999488</v>
      </c>
      <c r="AA235" s="7">
        <f t="shared" si="118"/>
        <v>9.2599945099999985</v>
      </c>
      <c r="AB235" s="7">
        <f t="shared" si="118"/>
        <v>4.9999951999999848E-2</v>
      </c>
    </row>
    <row r="236" spans="1:28" x14ac:dyDescent="0.25">
      <c r="A236" s="2">
        <v>232</v>
      </c>
      <c r="B236">
        <v>3</v>
      </c>
      <c r="C236">
        <v>1</v>
      </c>
      <c r="D236">
        <v>0</v>
      </c>
      <c r="E236">
        <v>0</v>
      </c>
      <c r="G236">
        <v>4985023</v>
      </c>
      <c r="H236">
        <v>15.22999954</v>
      </c>
      <c r="I236">
        <v>2.3399999139999998</v>
      </c>
      <c r="N236" s="29">
        <f t="shared" si="103"/>
        <v>541522113</v>
      </c>
      <c r="O236" s="30">
        <f t="shared" si="104"/>
        <v>0.33029279786019117</v>
      </c>
      <c r="P236" s="30">
        <f t="shared" si="105"/>
        <v>1.100975992867304</v>
      </c>
      <c r="Q236" s="29">
        <f t="shared" si="106"/>
        <v>59.390003209999996</v>
      </c>
      <c r="R236" s="30">
        <f t="shared" si="107"/>
        <v>0.26529974547162111</v>
      </c>
      <c r="S236" s="30">
        <f t="shared" si="108"/>
        <v>0.88433248490540362</v>
      </c>
      <c r="T236" s="37">
        <f t="shared" si="109"/>
        <v>0.20000004800000015</v>
      </c>
      <c r="U236" s="30">
        <f t="shared" si="110"/>
        <v>2.6246725851985158E-2</v>
      </c>
      <c r="V236" s="38">
        <f t="shared" si="111"/>
        <v>2.9780523635206608E-3</v>
      </c>
      <c r="W236" s="9">
        <f t="shared" si="123"/>
        <v>600995.5</v>
      </c>
      <c r="X236" s="12">
        <f t="shared" si="123"/>
        <v>0.33999919999999939</v>
      </c>
      <c r="Y236" s="11">
        <f t="shared" si="123"/>
        <v>0</v>
      </c>
      <c r="Z236" s="7">
        <f t="shared" si="118"/>
        <v>6866361</v>
      </c>
      <c r="AA236" s="7">
        <f t="shared" si="118"/>
        <v>4.7199993100000004</v>
      </c>
      <c r="AB236" s="7">
        <f t="shared" si="118"/>
        <v>9.9999899999998476E-3</v>
      </c>
    </row>
    <row r="237" spans="1:28" x14ac:dyDescent="0.25">
      <c r="A237" s="2">
        <v>233</v>
      </c>
      <c r="B237">
        <v>3</v>
      </c>
      <c r="C237">
        <v>1</v>
      </c>
      <c r="D237">
        <v>0</v>
      </c>
      <c r="E237">
        <v>1</v>
      </c>
      <c r="G237">
        <v>5992328</v>
      </c>
      <c r="H237">
        <v>15.81999969</v>
      </c>
      <c r="I237">
        <v>2.3399999139999998</v>
      </c>
      <c r="J237" s="9">
        <f t="shared" ref="J237:J298" si="124">ABS(G237-G236)</f>
        <v>1007305</v>
      </c>
      <c r="L237" s="9">
        <f t="shared" ref="L237:M242" si="125">ABS(H237-H236)</f>
        <v>0.59000014999999983</v>
      </c>
      <c r="M237" s="9">
        <f t="shared" si="125"/>
        <v>0</v>
      </c>
      <c r="N237" s="29">
        <f t="shared" si="103"/>
        <v>549947512</v>
      </c>
      <c r="O237" s="30">
        <f t="shared" si="104"/>
        <v>0.32974042179336044</v>
      </c>
      <c r="P237" s="30">
        <f t="shared" si="105"/>
        <v>1.0991347393112014</v>
      </c>
      <c r="Q237" s="29">
        <f t="shared" si="106"/>
        <v>61.160003669999995</v>
      </c>
      <c r="R237" s="30">
        <f t="shared" si="107"/>
        <v>0.26483069628694283</v>
      </c>
      <c r="S237" s="30">
        <f t="shared" si="108"/>
        <v>0.88276898762314271</v>
      </c>
      <c r="T237" s="37">
        <f t="shared" si="109"/>
        <v>0.20000004800000015</v>
      </c>
      <c r="U237" s="30">
        <f t="shared" si="110"/>
        <v>2.6246725851985158E-2</v>
      </c>
      <c r="V237" s="38">
        <f t="shared" si="111"/>
        <v>2.8867532587173914E-3</v>
      </c>
      <c r="W237" s="9">
        <f t="shared" si="123"/>
        <v>608659.5</v>
      </c>
      <c r="X237" s="12">
        <f t="shared" si="123"/>
        <v>0.3199996899999995</v>
      </c>
      <c r="Y237" s="11">
        <f t="shared" si="123"/>
        <v>0</v>
      </c>
      <c r="Z237" s="7">
        <f t="shared" si="118"/>
        <v>7130444.5</v>
      </c>
      <c r="AA237" s="7">
        <f t="shared" si="118"/>
        <v>4.7100000299999998</v>
      </c>
      <c r="AB237" s="7">
        <f t="shared" si="118"/>
        <v>9.9999899999998476E-3</v>
      </c>
    </row>
    <row r="238" spans="1:28" x14ac:dyDescent="0.25">
      <c r="A238" s="2">
        <v>234</v>
      </c>
      <c r="B238">
        <v>3</v>
      </c>
      <c r="C238">
        <v>1</v>
      </c>
      <c r="D238">
        <v>0</v>
      </c>
      <c r="E238">
        <v>2</v>
      </c>
      <c r="G238">
        <v>5456690</v>
      </c>
      <c r="H238">
        <v>15.52000046</v>
      </c>
      <c r="I238">
        <v>2.3399999139999998</v>
      </c>
      <c r="J238" s="9">
        <f t="shared" si="124"/>
        <v>535638</v>
      </c>
      <c r="L238" s="9">
        <f t="shared" si="125"/>
        <v>0.29999922999999917</v>
      </c>
      <c r="M238" s="9">
        <f t="shared" si="125"/>
        <v>0</v>
      </c>
      <c r="N238" s="29">
        <f t="shared" si="103"/>
        <v>545555022</v>
      </c>
      <c r="O238" s="30">
        <f t="shared" si="104"/>
        <v>0.33003232061971127</v>
      </c>
      <c r="P238" s="30">
        <f t="shared" si="105"/>
        <v>1.1001077353990374</v>
      </c>
      <c r="Q238" s="29">
        <f t="shared" si="106"/>
        <v>60.219997400000004</v>
      </c>
      <c r="R238" s="30">
        <f t="shared" si="107"/>
        <v>0.26502948288658251</v>
      </c>
      <c r="S238" s="30">
        <f t="shared" si="108"/>
        <v>0.88343160962194178</v>
      </c>
      <c r="T238" s="37">
        <f t="shared" si="109"/>
        <v>0.20000004800000015</v>
      </c>
      <c r="U238" s="30">
        <f t="shared" si="110"/>
        <v>2.6246725851985158E-2</v>
      </c>
      <c r="V238" s="38">
        <f t="shared" si="111"/>
        <v>2.9340148116496888E-3</v>
      </c>
      <c r="W238" s="9">
        <f t="shared" si="123"/>
        <v>599341</v>
      </c>
      <c r="X238" s="12">
        <f t="shared" si="123"/>
        <v>0.34000014999999983</v>
      </c>
      <c r="Y238" s="11">
        <f t="shared" si="123"/>
        <v>0</v>
      </c>
      <c r="Z238" s="7">
        <f t="shared" ref="Z238:AB253" si="126">ABS(G238-G133)</f>
        <v>6977737</v>
      </c>
      <c r="AA238" s="7">
        <f t="shared" si="126"/>
        <v>4.7200002699999999</v>
      </c>
      <c r="AB238" s="7">
        <f t="shared" si="126"/>
        <v>9.9999899999998476E-3</v>
      </c>
    </row>
    <row r="239" spans="1:28" x14ac:dyDescent="0.25">
      <c r="A239" s="2">
        <v>235</v>
      </c>
      <c r="B239">
        <v>3</v>
      </c>
      <c r="C239">
        <v>1</v>
      </c>
      <c r="D239">
        <v>0</v>
      </c>
      <c r="E239">
        <v>3</v>
      </c>
      <c r="G239">
        <v>6811232.5</v>
      </c>
      <c r="H239">
        <v>16.290000920000001</v>
      </c>
      <c r="I239">
        <v>2.3399999139999998</v>
      </c>
      <c r="J239" s="9">
        <f t="shared" si="124"/>
        <v>1354542.5</v>
      </c>
      <c r="L239" s="9">
        <f t="shared" si="125"/>
        <v>0.77000046000000033</v>
      </c>
      <c r="M239" s="9">
        <f t="shared" si="125"/>
        <v>0</v>
      </c>
      <c r="N239" s="29">
        <f t="shared" si="103"/>
        <v>552687519.5</v>
      </c>
      <c r="O239" s="30">
        <f t="shared" si="104"/>
        <v>0.32927539607213757</v>
      </c>
      <c r="P239" s="30">
        <f t="shared" si="105"/>
        <v>1.0975846535737919</v>
      </c>
      <c r="Q239" s="29">
        <f t="shared" si="106"/>
        <v>63.309997550000006</v>
      </c>
      <c r="R239" s="30">
        <f t="shared" si="107"/>
        <v>0.26511724776753837</v>
      </c>
      <c r="S239" s="30">
        <f t="shared" si="108"/>
        <v>0.88372415922512793</v>
      </c>
      <c r="T239" s="37">
        <f t="shared" si="109"/>
        <v>0.20000004800000015</v>
      </c>
      <c r="U239" s="30">
        <f t="shared" si="110"/>
        <v>2.6246725851985158E-2</v>
      </c>
      <c r="V239" s="38">
        <f t="shared" si="111"/>
        <v>2.7917371837551958E-3</v>
      </c>
      <c r="W239" s="9">
        <f t="shared" si="123"/>
        <v>598813.5</v>
      </c>
      <c r="X239" s="12">
        <f t="shared" si="123"/>
        <v>0.33000088000000005</v>
      </c>
      <c r="Y239" s="11">
        <f t="shared" si="123"/>
        <v>0</v>
      </c>
      <c r="Z239" s="7">
        <f t="shared" si="126"/>
        <v>7321645.4400000004</v>
      </c>
      <c r="AA239" s="7">
        <f t="shared" si="126"/>
        <v>4.6600008100000014</v>
      </c>
      <c r="AB239" s="7">
        <f t="shared" si="126"/>
        <v>9.9999899999998476E-3</v>
      </c>
    </row>
    <row r="240" spans="1:28" x14ac:dyDescent="0.25">
      <c r="A240" s="2">
        <v>236</v>
      </c>
      <c r="B240">
        <v>3</v>
      </c>
      <c r="C240">
        <v>1</v>
      </c>
      <c r="D240">
        <v>0</v>
      </c>
      <c r="E240">
        <v>4</v>
      </c>
      <c r="G240">
        <v>5686381</v>
      </c>
      <c r="H240">
        <v>15.630000109999999</v>
      </c>
      <c r="I240">
        <v>2.3399999139999998</v>
      </c>
      <c r="J240" s="9">
        <f t="shared" si="124"/>
        <v>1124851.5</v>
      </c>
      <c r="L240" s="9">
        <f t="shared" si="125"/>
        <v>0.66000081000000144</v>
      </c>
      <c r="M240" s="9">
        <f t="shared" si="125"/>
        <v>0</v>
      </c>
      <c r="N240" s="29">
        <f t="shared" si="103"/>
        <v>522397171</v>
      </c>
      <c r="O240" s="30">
        <f t="shared" si="104"/>
        <v>0.32974401432092576</v>
      </c>
      <c r="P240" s="30">
        <f t="shared" si="105"/>
        <v>1.0991467144030858</v>
      </c>
      <c r="Q240" s="29">
        <f t="shared" si="106"/>
        <v>62.619999890000003</v>
      </c>
      <c r="R240" s="30">
        <f t="shared" si="107"/>
        <v>0.26675186321618743</v>
      </c>
      <c r="S240" s="30">
        <f t="shared" si="108"/>
        <v>0.88917287738729145</v>
      </c>
      <c r="T240" s="37">
        <f t="shared" si="109"/>
        <v>0.20000004800000015</v>
      </c>
      <c r="U240" s="30">
        <f t="shared" si="110"/>
        <v>2.6246725851985158E-2</v>
      </c>
      <c r="V240" s="38">
        <f t="shared" si="111"/>
        <v>2.8399012850550249E-3</v>
      </c>
      <c r="W240" s="9">
        <f t="shared" si="123"/>
        <v>574245</v>
      </c>
      <c r="X240" s="12">
        <f t="shared" si="123"/>
        <v>0.31000041999999972</v>
      </c>
      <c r="Y240" s="11">
        <f t="shared" si="123"/>
        <v>0</v>
      </c>
      <c r="Z240" s="7">
        <f t="shared" si="126"/>
        <v>7036055.25</v>
      </c>
      <c r="AA240" s="7">
        <f t="shared" si="126"/>
        <v>4.6900005299999989</v>
      </c>
      <c r="AB240" s="7">
        <f t="shared" si="126"/>
        <v>9.9999899999998476E-3</v>
      </c>
    </row>
    <row r="241" spans="1:28" x14ac:dyDescent="0.25">
      <c r="A241" s="2">
        <v>237</v>
      </c>
      <c r="B241">
        <v>3</v>
      </c>
      <c r="C241">
        <v>1</v>
      </c>
      <c r="D241">
        <v>0</v>
      </c>
      <c r="E241">
        <v>5</v>
      </c>
      <c r="G241">
        <v>4610972</v>
      </c>
      <c r="H241">
        <v>15.05000019</v>
      </c>
      <c r="I241">
        <v>2.3399999139999998</v>
      </c>
      <c r="J241" s="9">
        <f t="shared" si="124"/>
        <v>1075409</v>
      </c>
      <c r="L241" s="9">
        <f t="shared" si="125"/>
        <v>0.57999991999999878</v>
      </c>
      <c r="M241" s="9">
        <f t="shared" si="125"/>
        <v>0</v>
      </c>
      <c r="N241" s="29">
        <f t="shared" si="103"/>
        <v>492150308</v>
      </c>
      <c r="O241" s="30">
        <f t="shared" si="104"/>
        <v>0.33023931065373424</v>
      </c>
      <c r="P241" s="30">
        <f t="shared" si="105"/>
        <v>1.1007977021791142</v>
      </c>
      <c r="Q241" s="29">
        <f t="shared" si="106"/>
        <v>63.180003169999999</v>
      </c>
      <c r="R241" s="30">
        <f t="shared" si="107"/>
        <v>0.26920618882952668</v>
      </c>
      <c r="S241" s="30">
        <f t="shared" si="108"/>
        <v>0.89735396276508894</v>
      </c>
      <c r="T241" s="37">
        <f t="shared" si="109"/>
        <v>0.20000004800000015</v>
      </c>
      <c r="U241" s="30">
        <f t="shared" si="110"/>
        <v>2.6246725851985158E-2</v>
      </c>
      <c r="V241" s="38">
        <f t="shared" si="111"/>
        <v>2.8406272019819551E-3</v>
      </c>
      <c r="W241" s="9">
        <f t="shared" si="123"/>
        <v>501851.5</v>
      </c>
      <c r="X241" s="12">
        <f t="shared" si="123"/>
        <v>0.27999973000000011</v>
      </c>
      <c r="Y241" s="11">
        <f t="shared" si="123"/>
        <v>0</v>
      </c>
      <c r="Z241" s="7">
        <f t="shared" si="126"/>
        <v>6593459.8799999999</v>
      </c>
      <c r="AA241" s="7">
        <f t="shared" si="126"/>
        <v>4.6400003400000003</v>
      </c>
      <c r="AB241" s="7">
        <f t="shared" si="126"/>
        <v>9.9999899999998476E-3</v>
      </c>
    </row>
    <row r="242" spans="1:28" x14ac:dyDescent="0.25">
      <c r="A242" s="2">
        <v>238</v>
      </c>
      <c r="B242">
        <v>3</v>
      </c>
      <c r="C242">
        <v>1</v>
      </c>
      <c r="D242">
        <v>0</v>
      </c>
      <c r="E242">
        <v>6</v>
      </c>
      <c r="G242">
        <v>1607035.38</v>
      </c>
      <c r="H242">
        <v>13.14000034</v>
      </c>
      <c r="I242">
        <v>2.3399999139999998</v>
      </c>
      <c r="J242" s="9">
        <f t="shared" si="124"/>
        <v>3003936.62</v>
      </c>
      <c r="L242" s="9">
        <f t="shared" si="125"/>
        <v>1.9099998500000002</v>
      </c>
      <c r="M242" s="9">
        <f t="shared" si="125"/>
        <v>0</v>
      </c>
      <c r="N242" s="29">
        <f t="shared" si="103"/>
        <v>421675652.62</v>
      </c>
      <c r="O242" s="30">
        <f t="shared" si="104"/>
        <v>0.33206779974269424</v>
      </c>
      <c r="P242" s="30">
        <f t="shared" si="105"/>
        <v>1.1068926658089808</v>
      </c>
      <c r="Q242" s="29">
        <f t="shared" si="106"/>
        <v>60.919997219999999</v>
      </c>
      <c r="R242" s="30">
        <f t="shared" si="107"/>
        <v>0.27419209301956127</v>
      </c>
      <c r="S242" s="30">
        <f t="shared" si="108"/>
        <v>0.91397364339853748</v>
      </c>
      <c r="T242" s="37">
        <f t="shared" si="109"/>
        <v>0.210000038</v>
      </c>
      <c r="U242" s="30">
        <f t="shared" si="110"/>
        <v>2.7450985876201567E-2</v>
      </c>
      <c r="V242" s="38">
        <f t="shared" si="111"/>
        <v>3.1505992876453932E-3</v>
      </c>
      <c r="W242" s="9">
        <f t="shared" si="123"/>
        <v>420201</v>
      </c>
      <c r="X242" s="12">
        <f t="shared" si="123"/>
        <v>0.28000068000000056</v>
      </c>
      <c r="Y242" s="11">
        <f t="shared" si="123"/>
        <v>0</v>
      </c>
      <c r="Z242" s="7">
        <f t="shared" si="126"/>
        <v>5729165.8799999999</v>
      </c>
      <c r="AA242" s="7">
        <f t="shared" si="126"/>
        <v>4.6900005310000008</v>
      </c>
      <c r="AB242" s="7">
        <f t="shared" si="126"/>
        <v>9.9999899999998476E-3</v>
      </c>
    </row>
    <row r="243" spans="1:28" x14ac:dyDescent="0.25">
      <c r="A243" s="2">
        <v>239</v>
      </c>
      <c r="B243">
        <v>3</v>
      </c>
      <c r="C243">
        <v>1</v>
      </c>
      <c r="D243">
        <v>1</v>
      </c>
      <c r="E243">
        <v>0</v>
      </c>
      <c r="G243">
        <v>148294144</v>
      </c>
      <c r="H243">
        <v>43.02999878</v>
      </c>
      <c r="I243">
        <v>2.3900001049999999</v>
      </c>
      <c r="N243" s="29">
        <f t="shared" si="103"/>
        <v>143309121</v>
      </c>
      <c r="O243" s="30">
        <f t="shared" si="104"/>
        <v>9.582645255598619</v>
      </c>
      <c r="P243" s="30">
        <f t="shared" si="105"/>
        <v>9.582645255598619</v>
      </c>
      <c r="Q243" s="29">
        <f t="shared" si="106"/>
        <v>27.799999239999998</v>
      </c>
      <c r="R243" s="30">
        <f t="shared" si="107"/>
        <v>0.6084482398699621</v>
      </c>
      <c r="S243" s="30">
        <f t="shared" si="108"/>
        <v>0.6084482398699621</v>
      </c>
      <c r="T243" s="37">
        <f t="shared" si="109"/>
        <v>5.0000191000000083E-2</v>
      </c>
      <c r="U243" s="30">
        <f t="shared" si="110"/>
        <v>7.1225345922527085E-3</v>
      </c>
      <c r="V243" s="38">
        <f t="shared" si="111"/>
        <v>1.094335576935504E-3</v>
      </c>
      <c r="W243" s="9">
        <f t="shared" si="123"/>
        <v>11501424</v>
      </c>
      <c r="X243" s="12">
        <f t="shared" si="123"/>
        <v>2.1199989300000013</v>
      </c>
      <c r="Y243" s="11">
        <f t="shared" si="123"/>
        <v>0</v>
      </c>
      <c r="Z243" s="7">
        <f t="shared" si="126"/>
        <v>61771776</v>
      </c>
      <c r="AA243" s="7">
        <f t="shared" si="126"/>
        <v>6.1999969499999992</v>
      </c>
      <c r="AB243" s="7">
        <f t="shared" si="126"/>
        <v>2.000021899999993E-2</v>
      </c>
    </row>
    <row r="244" spans="1:28" x14ac:dyDescent="0.25">
      <c r="A244" s="2">
        <v>240</v>
      </c>
      <c r="B244">
        <v>3</v>
      </c>
      <c r="C244">
        <v>1</v>
      </c>
      <c r="D244">
        <v>1</v>
      </c>
      <c r="E244">
        <v>1</v>
      </c>
      <c r="G244">
        <v>151893408</v>
      </c>
      <c r="H244">
        <v>43.86000061</v>
      </c>
      <c r="I244">
        <v>2.3900001049999999</v>
      </c>
      <c r="J244" s="9">
        <f t="shared" ref="J244" si="127">ABS(G244-G243)</f>
        <v>3599264</v>
      </c>
      <c r="L244" s="9">
        <f t="shared" ref="L244:M249" si="128">ABS(H244-H243)</f>
        <v>0.8300018300000005</v>
      </c>
      <c r="M244" s="9">
        <f t="shared" si="128"/>
        <v>0</v>
      </c>
      <c r="N244" s="29">
        <f t="shared" si="103"/>
        <v>145901080</v>
      </c>
      <c r="O244" s="30">
        <f t="shared" si="104"/>
        <v>8.115993205534366</v>
      </c>
      <c r="P244" s="30">
        <f t="shared" si="105"/>
        <v>8.115993205534366</v>
      </c>
      <c r="Q244" s="29">
        <f t="shared" si="106"/>
        <v>28.040000920000001</v>
      </c>
      <c r="R244" s="30">
        <f t="shared" si="107"/>
        <v>0.59081334743903102</v>
      </c>
      <c r="S244" s="30">
        <f t="shared" si="108"/>
        <v>0.59081334743903102</v>
      </c>
      <c r="T244" s="37">
        <f t="shared" si="109"/>
        <v>5.0000191000000083E-2</v>
      </c>
      <c r="U244" s="30">
        <f t="shared" si="110"/>
        <v>7.1225345922527085E-3</v>
      </c>
      <c r="V244" s="38">
        <f t="shared" si="111"/>
        <v>1.0535227977196858E-3</v>
      </c>
      <c r="W244" s="9">
        <f t="shared" si="123"/>
        <v>11583888</v>
      </c>
      <c r="X244" s="12">
        <f t="shared" si="123"/>
        <v>2.1700019800000021</v>
      </c>
      <c r="Y244" s="11">
        <f t="shared" si="123"/>
        <v>0</v>
      </c>
      <c r="Z244" s="7">
        <f t="shared" si="126"/>
        <v>62344136</v>
      </c>
      <c r="AA244" s="7">
        <f t="shared" si="126"/>
        <v>6.2400016799999989</v>
      </c>
      <c r="AB244" s="7">
        <f t="shared" si="126"/>
        <v>2.000021899999993E-2</v>
      </c>
    </row>
    <row r="245" spans="1:28" x14ac:dyDescent="0.25">
      <c r="A245" s="2">
        <v>241</v>
      </c>
      <c r="B245">
        <v>3</v>
      </c>
      <c r="C245">
        <v>1</v>
      </c>
      <c r="D245">
        <v>1</v>
      </c>
      <c r="E245">
        <v>2</v>
      </c>
      <c r="G245">
        <v>149891136</v>
      </c>
      <c r="H245">
        <v>43.439998629999998</v>
      </c>
      <c r="I245">
        <v>2.3900001049999999</v>
      </c>
      <c r="J245" s="9">
        <f t="shared" si="121"/>
        <v>2002272</v>
      </c>
      <c r="L245" s="9">
        <f t="shared" si="128"/>
        <v>0.42000198000000211</v>
      </c>
      <c r="M245" s="9">
        <f t="shared" si="128"/>
        <v>0</v>
      </c>
      <c r="N245" s="29">
        <f t="shared" si="103"/>
        <v>144434446</v>
      </c>
      <c r="O245" s="30">
        <f t="shared" si="104"/>
        <v>8.8230805366134657</v>
      </c>
      <c r="P245" s="30">
        <f t="shared" si="105"/>
        <v>8.8230805366134657</v>
      </c>
      <c r="Q245" s="29">
        <f t="shared" si="106"/>
        <v>27.91999817</v>
      </c>
      <c r="R245" s="30">
        <f t="shared" si="107"/>
        <v>0.59965630031087425</v>
      </c>
      <c r="S245" s="30">
        <f t="shared" si="108"/>
        <v>0.59965630031087425</v>
      </c>
      <c r="T245" s="37">
        <f t="shared" si="109"/>
        <v>5.0000191000000083E-2</v>
      </c>
      <c r="U245" s="30">
        <f t="shared" si="110"/>
        <v>7.1225345922527085E-3</v>
      </c>
      <c r="V245" s="38">
        <f t="shared" si="111"/>
        <v>1.0738872319165742E-3</v>
      </c>
      <c r="W245" s="9">
        <f t="shared" si="123"/>
        <v>11523344</v>
      </c>
      <c r="X245" s="12">
        <f t="shared" si="123"/>
        <v>2.1599998499999984</v>
      </c>
      <c r="Y245" s="11">
        <f t="shared" si="123"/>
        <v>0</v>
      </c>
      <c r="Z245" s="7">
        <f t="shared" si="126"/>
        <v>62056800</v>
      </c>
      <c r="AA245" s="7">
        <f t="shared" si="126"/>
        <v>6.2399978699999963</v>
      </c>
      <c r="AB245" s="7">
        <f t="shared" si="126"/>
        <v>2.000021899999993E-2</v>
      </c>
    </row>
    <row r="246" spans="1:28" x14ac:dyDescent="0.25">
      <c r="A246" s="2">
        <v>242</v>
      </c>
      <c r="B246">
        <v>3</v>
      </c>
      <c r="C246">
        <v>1</v>
      </c>
      <c r="D246">
        <v>1</v>
      </c>
      <c r="E246">
        <v>3</v>
      </c>
      <c r="G246">
        <v>153482608</v>
      </c>
      <c r="H246">
        <v>44.520000459999999</v>
      </c>
      <c r="I246">
        <v>2.3900001049999999</v>
      </c>
      <c r="J246" s="9">
        <f t="shared" si="121"/>
        <v>3591472</v>
      </c>
      <c r="L246" s="9">
        <f t="shared" si="128"/>
        <v>1.0800018300000005</v>
      </c>
      <c r="M246" s="9">
        <f t="shared" si="128"/>
        <v>0</v>
      </c>
      <c r="N246" s="29">
        <f t="shared" si="103"/>
        <v>146671375.5</v>
      </c>
      <c r="O246" s="30">
        <f t="shared" si="104"/>
        <v>7.1779165518134933</v>
      </c>
      <c r="P246" s="30">
        <f t="shared" si="105"/>
        <v>7.1779165518134933</v>
      </c>
      <c r="Q246" s="29">
        <f t="shared" si="106"/>
        <v>28.229999539999998</v>
      </c>
      <c r="R246" s="30">
        <f t="shared" si="107"/>
        <v>0.57765496103278713</v>
      </c>
      <c r="S246" s="30">
        <f t="shared" si="108"/>
        <v>0.57765496103278713</v>
      </c>
      <c r="T246" s="37">
        <f t="shared" si="109"/>
        <v>5.0000191000000083E-2</v>
      </c>
      <c r="U246" s="30">
        <f t="shared" si="110"/>
        <v>7.1225345922527085E-3</v>
      </c>
      <c r="V246" s="38">
        <f t="shared" si="111"/>
        <v>1.0231264206296534E-3</v>
      </c>
      <c r="W246" s="9">
        <f t="shared" si="123"/>
        <v>11438192</v>
      </c>
      <c r="X246" s="12">
        <f t="shared" si="123"/>
        <v>2.2200012200000003</v>
      </c>
      <c r="Y246" s="11">
        <f t="shared" si="123"/>
        <v>0</v>
      </c>
      <c r="Z246" s="7">
        <f t="shared" si="126"/>
        <v>62015392</v>
      </c>
      <c r="AA246" s="7">
        <f t="shared" si="126"/>
        <v>6.2700004599999986</v>
      </c>
      <c r="AB246" s="7">
        <f t="shared" si="126"/>
        <v>2.000021899999993E-2</v>
      </c>
    </row>
    <row r="247" spans="1:28" x14ac:dyDescent="0.25">
      <c r="A247" s="2">
        <v>243</v>
      </c>
      <c r="B247">
        <v>3</v>
      </c>
      <c r="C247">
        <v>1</v>
      </c>
      <c r="D247">
        <v>1</v>
      </c>
      <c r="E247">
        <v>4</v>
      </c>
      <c r="G247">
        <v>143966096</v>
      </c>
      <c r="H247">
        <v>43.340000150000002</v>
      </c>
      <c r="I247">
        <v>2.3900001049999999</v>
      </c>
      <c r="J247" s="9">
        <f t="shared" si="121"/>
        <v>9516512</v>
      </c>
      <c r="L247" s="9">
        <f t="shared" si="128"/>
        <v>1.1800003099999969</v>
      </c>
      <c r="M247" s="9">
        <f t="shared" si="128"/>
        <v>0</v>
      </c>
      <c r="N247" s="29">
        <f t="shared" si="103"/>
        <v>138279715</v>
      </c>
      <c r="O247" s="30">
        <f t="shared" si="104"/>
        <v>8.10590045467114</v>
      </c>
      <c r="P247" s="30">
        <f t="shared" si="105"/>
        <v>8.10590045467114</v>
      </c>
      <c r="Q247" s="29">
        <f t="shared" si="106"/>
        <v>27.710000040000004</v>
      </c>
      <c r="R247" s="30">
        <f t="shared" si="107"/>
        <v>0.5909575569414377</v>
      </c>
      <c r="S247" s="30">
        <f t="shared" si="108"/>
        <v>0.5909575569414377</v>
      </c>
      <c r="T247" s="37">
        <f t="shared" si="109"/>
        <v>5.0000191000000083E-2</v>
      </c>
      <c r="U247" s="30">
        <f t="shared" si="110"/>
        <v>7.1225345922527085E-3</v>
      </c>
      <c r="V247" s="38">
        <f t="shared" si="111"/>
        <v>1.0663295083836925E-3</v>
      </c>
      <c r="W247" s="9">
        <f t="shared" si="123"/>
        <v>10487200</v>
      </c>
      <c r="X247" s="12">
        <f t="shared" si="123"/>
        <v>2.1100006100000002</v>
      </c>
      <c r="Y247" s="11">
        <f t="shared" si="123"/>
        <v>0</v>
      </c>
      <c r="Z247" s="7">
        <f t="shared" si="126"/>
        <v>57853632</v>
      </c>
      <c r="AA247" s="7">
        <f t="shared" si="126"/>
        <v>6.1599998400000047</v>
      </c>
      <c r="AB247" s="7">
        <f t="shared" si="126"/>
        <v>9.9999909999999304E-3</v>
      </c>
    </row>
    <row r="248" spans="1:28" x14ac:dyDescent="0.25">
      <c r="A248" s="2">
        <v>244</v>
      </c>
      <c r="B248">
        <v>3</v>
      </c>
      <c r="C248">
        <v>1</v>
      </c>
      <c r="D248">
        <v>1</v>
      </c>
      <c r="E248">
        <v>5</v>
      </c>
      <c r="G248">
        <v>134636976</v>
      </c>
      <c r="H248">
        <v>42.799999239999998</v>
      </c>
      <c r="I248">
        <v>2.3900001049999999</v>
      </c>
      <c r="J248" s="9">
        <f t="shared" si="121"/>
        <v>9329120</v>
      </c>
      <c r="L248" s="9">
        <f t="shared" si="128"/>
        <v>0.54000091000000339</v>
      </c>
      <c r="M248" s="9">
        <f t="shared" si="128"/>
        <v>0</v>
      </c>
      <c r="N248" s="29">
        <f t="shared" si="103"/>
        <v>130026004</v>
      </c>
      <c r="O248" s="30">
        <f t="shared" si="104"/>
        <v>9.3997537467877343</v>
      </c>
      <c r="P248" s="30">
        <f t="shared" si="105"/>
        <v>9.3997537467877343</v>
      </c>
      <c r="Q248" s="29">
        <f t="shared" si="106"/>
        <v>27.74999905</v>
      </c>
      <c r="R248" s="30">
        <f t="shared" si="107"/>
        <v>0.61461791139906508</v>
      </c>
      <c r="S248" s="30">
        <f t="shared" si="108"/>
        <v>0.61461791139906508</v>
      </c>
      <c r="T248" s="37">
        <f t="shared" si="109"/>
        <v>5.0000191000000083E-2</v>
      </c>
      <c r="U248" s="30">
        <f t="shared" si="110"/>
        <v>7.1225345922527085E-3</v>
      </c>
      <c r="V248" s="38">
        <f t="shared" si="111"/>
        <v>1.1074239284334095E-3</v>
      </c>
      <c r="W248" s="9">
        <f t="shared" si="123"/>
        <v>9842096</v>
      </c>
      <c r="X248" s="12">
        <f t="shared" si="123"/>
        <v>2.0900001599999953</v>
      </c>
      <c r="Y248" s="11">
        <f t="shared" si="123"/>
        <v>0</v>
      </c>
      <c r="Z248" s="7">
        <f t="shared" si="126"/>
        <v>54360912</v>
      </c>
      <c r="AA248" s="7">
        <f t="shared" si="126"/>
        <v>6.1399993899999998</v>
      </c>
      <c r="AB248" s="7">
        <f t="shared" si="126"/>
        <v>9.9999909999999304E-3</v>
      </c>
    </row>
    <row r="249" spans="1:28" x14ac:dyDescent="0.25">
      <c r="A249" s="2">
        <v>245</v>
      </c>
      <c r="B249">
        <v>3</v>
      </c>
      <c r="C249">
        <v>1</v>
      </c>
      <c r="D249">
        <v>1</v>
      </c>
      <c r="E249">
        <v>6</v>
      </c>
      <c r="G249">
        <v>112334760</v>
      </c>
      <c r="H249">
        <v>39.91999817</v>
      </c>
      <c r="I249">
        <v>2.3900001049999999</v>
      </c>
      <c r="J249" s="9">
        <f t="shared" si="121"/>
        <v>22302216</v>
      </c>
      <c r="L249" s="9">
        <f t="shared" si="128"/>
        <v>2.8800010699999987</v>
      </c>
      <c r="M249" s="9">
        <f t="shared" si="128"/>
        <v>0</v>
      </c>
      <c r="N249" s="29">
        <f t="shared" si="103"/>
        <v>110727724.62</v>
      </c>
      <c r="O249" s="30">
        <f t="shared" si="104"/>
        <v>22.967286221165836</v>
      </c>
      <c r="P249" s="30">
        <f t="shared" si="105"/>
        <v>22.967286221165836</v>
      </c>
      <c r="Q249" s="29">
        <f t="shared" si="106"/>
        <v>26.779997829999999</v>
      </c>
      <c r="R249" s="30">
        <f t="shared" si="107"/>
        <v>0.67935051083364983</v>
      </c>
      <c r="S249" s="30">
        <f t="shared" si="108"/>
        <v>0.67935051083364983</v>
      </c>
      <c r="T249" s="37">
        <f t="shared" si="109"/>
        <v>5.0000191000000083E-2</v>
      </c>
      <c r="U249" s="30">
        <f t="shared" si="110"/>
        <v>7.1225345922527085E-3</v>
      </c>
      <c r="V249" s="38">
        <f t="shared" si="111"/>
        <v>1.2683964917868001E-3</v>
      </c>
      <c r="W249" s="9">
        <f t="shared" si="123"/>
        <v>8103504</v>
      </c>
      <c r="X249" s="12">
        <f t="shared" si="123"/>
        <v>1.8899993899999998</v>
      </c>
      <c r="Y249" s="11">
        <f t="shared" si="123"/>
        <v>0</v>
      </c>
      <c r="Z249" s="7">
        <f t="shared" si="126"/>
        <v>45793780</v>
      </c>
      <c r="AA249" s="7">
        <f t="shared" si="126"/>
        <v>5.9499969499999992</v>
      </c>
      <c r="AB249" s="7">
        <f t="shared" si="126"/>
        <v>9.9999909999999304E-3</v>
      </c>
    </row>
    <row r="250" spans="1:28" x14ac:dyDescent="0.25">
      <c r="A250" s="2">
        <v>246</v>
      </c>
      <c r="B250">
        <v>3</v>
      </c>
      <c r="C250">
        <v>1</v>
      </c>
      <c r="D250">
        <v>2</v>
      </c>
      <c r="E250">
        <v>0</v>
      </c>
      <c r="G250">
        <v>561935232</v>
      </c>
      <c r="H250">
        <v>78.739997860000003</v>
      </c>
      <c r="I250">
        <v>2.5299999710000001</v>
      </c>
      <c r="N250" s="29">
        <f t="shared" si="103"/>
        <v>413641088</v>
      </c>
      <c r="O250" s="30">
        <f t="shared" si="104"/>
        <v>0.9297761796087286</v>
      </c>
      <c r="P250" s="30">
        <f t="shared" si="105"/>
        <v>1.8595523592174572</v>
      </c>
      <c r="Q250" s="29">
        <f t="shared" si="106"/>
        <v>35.709999080000003</v>
      </c>
      <c r="R250" s="30">
        <f t="shared" si="107"/>
        <v>0.2766287093691307</v>
      </c>
      <c r="S250" s="30">
        <f t="shared" si="108"/>
        <v>0.5532574187382614</v>
      </c>
      <c r="T250" s="37">
        <f t="shared" si="109"/>
        <v>0.13999986600000014</v>
      </c>
      <c r="U250" s="30">
        <f t="shared" si="110"/>
        <v>1.9525782405771085E-2</v>
      </c>
      <c r="V250" s="38">
        <f t="shared" si="111"/>
        <v>2.1690273447876702E-3</v>
      </c>
      <c r="W250" s="9">
        <f t="shared" ref="W250:Y265" si="129">ABS(G250-G229)</f>
        <v>15428096</v>
      </c>
      <c r="X250" s="12">
        <f t="shared" si="129"/>
        <v>4.119995110000005</v>
      </c>
      <c r="Y250" s="11">
        <f t="shared" si="129"/>
        <v>9.9999909999999304E-3</v>
      </c>
      <c r="Z250" s="7">
        <f t="shared" si="126"/>
        <v>194800192</v>
      </c>
      <c r="AA250" s="7">
        <f t="shared" si="126"/>
        <v>6.1399993899999998</v>
      </c>
      <c r="AB250" s="7">
        <f t="shared" si="126"/>
        <v>3.9999960999999917E-2</v>
      </c>
    </row>
    <row r="251" spans="1:28" x14ac:dyDescent="0.25">
      <c r="A251" s="2">
        <v>247</v>
      </c>
      <c r="B251">
        <v>3</v>
      </c>
      <c r="C251">
        <v>1</v>
      </c>
      <c r="D251">
        <v>2</v>
      </c>
      <c r="E251">
        <v>1</v>
      </c>
      <c r="G251">
        <v>571076288</v>
      </c>
      <c r="H251">
        <v>81.269996640000002</v>
      </c>
      <c r="I251">
        <v>2.5299999710000001</v>
      </c>
      <c r="J251" s="9">
        <f t="shared" ref="J251" si="130">ABS(G251-G250)</f>
        <v>9141056</v>
      </c>
      <c r="L251" s="9">
        <f t="shared" ref="L251:M256" si="131">ABS(H251-H250)</f>
        <v>2.5299987799999997</v>
      </c>
      <c r="M251" s="9">
        <f t="shared" si="131"/>
        <v>0</v>
      </c>
      <c r="N251" s="29">
        <f t="shared" si="103"/>
        <v>419182880</v>
      </c>
      <c r="O251" s="30">
        <f t="shared" si="104"/>
        <v>0.91990579779911619</v>
      </c>
      <c r="P251" s="30">
        <f t="shared" si="105"/>
        <v>1.8398115955982324</v>
      </c>
      <c r="Q251" s="29">
        <f t="shared" si="106"/>
        <v>37.409996030000002</v>
      </c>
      <c r="R251" s="30">
        <f t="shared" si="107"/>
        <v>0.28431369136423429</v>
      </c>
      <c r="S251" s="30">
        <f t="shared" si="108"/>
        <v>0.56862738272846858</v>
      </c>
      <c r="T251" s="37">
        <f t="shared" si="109"/>
        <v>0.13999986600000014</v>
      </c>
      <c r="U251" s="30">
        <f t="shared" si="110"/>
        <v>1.9525782405771085E-2</v>
      </c>
      <c r="V251" s="38">
        <f t="shared" si="111"/>
        <v>2.1279809097567658E-3</v>
      </c>
      <c r="W251" s="9">
        <f t="shared" si="129"/>
        <v>15136448</v>
      </c>
      <c r="X251" s="12">
        <f t="shared" si="129"/>
        <v>4.2899932800000045</v>
      </c>
      <c r="Y251" s="11">
        <f t="shared" si="129"/>
        <v>9.9999909999999304E-3</v>
      </c>
      <c r="Z251" s="7">
        <f t="shared" si="126"/>
        <v>195323584</v>
      </c>
      <c r="AA251" s="7">
        <f t="shared" si="126"/>
        <v>6.2699966400000022</v>
      </c>
      <c r="AB251" s="7">
        <f t="shared" si="126"/>
        <v>3.9999960999999917E-2</v>
      </c>
    </row>
    <row r="252" spans="1:28" x14ac:dyDescent="0.25">
      <c r="A252" s="2">
        <v>248</v>
      </c>
      <c r="B252">
        <v>3</v>
      </c>
      <c r="C252">
        <v>1</v>
      </c>
      <c r="D252">
        <v>2</v>
      </c>
      <c r="E252">
        <v>2</v>
      </c>
      <c r="G252">
        <v>566304192</v>
      </c>
      <c r="H252">
        <v>79.949996949999999</v>
      </c>
      <c r="I252">
        <v>2.5299999710000001</v>
      </c>
      <c r="J252" s="9">
        <f t="shared" si="124"/>
        <v>4772096</v>
      </c>
      <c r="L252" s="9">
        <f t="shared" si="131"/>
        <v>1.3199996900000031</v>
      </c>
      <c r="M252" s="9">
        <f t="shared" si="131"/>
        <v>0</v>
      </c>
      <c r="N252" s="29">
        <f t="shared" si="103"/>
        <v>416413056</v>
      </c>
      <c r="O252" s="30">
        <f t="shared" si="104"/>
        <v>0.92603442541125325</v>
      </c>
      <c r="P252" s="30">
        <f t="shared" si="105"/>
        <v>1.8520688508225065</v>
      </c>
      <c r="Q252" s="29">
        <f t="shared" si="106"/>
        <v>36.509998320000001</v>
      </c>
      <c r="R252" s="30">
        <f t="shared" si="107"/>
        <v>0.28015653369738608</v>
      </c>
      <c r="S252" s="30">
        <f t="shared" si="108"/>
        <v>0.56031306739477216</v>
      </c>
      <c r="T252" s="37">
        <f t="shared" si="109"/>
        <v>0.13999986600000014</v>
      </c>
      <c r="U252" s="30">
        <f t="shared" si="110"/>
        <v>1.9525782405771085E-2</v>
      </c>
      <c r="V252" s="38">
        <f t="shared" si="111"/>
        <v>2.1485554084604282E-3</v>
      </c>
      <c r="W252" s="9">
        <f t="shared" si="129"/>
        <v>15292480</v>
      </c>
      <c r="X252" s="12">
        <f t="shared" si="129"/>
        <v>4.2099990899999966</v>
      </c>
      <c r="Y252" s="11">
        <f t="shared" si="129"/>
        <v>9.9999909999999304E-3</v>
      </c>
      <c r="Z252" s="7">
        <f t="shared" si="126"/>
        <v>195121504</v>
      </c>
      <c r="AA252" s="7">
        <f t="shared" si="126"/>
        <v>6.1899948100000017</v>
      </c>
      <c r="AB252" s="7">
        <f t="shared" si="126"/>
        <v>3.9999960999999917E-2</v>
      </c>
    </row>
    <row r="253" spans="1:28" x14ac:dyDescent="0.25">
      <c r="A253" s="2">
        <v>249</v>
      </c>
      <c r="B253">
        <v>3</v>
      </c>
      <c r="C253">
        <v>1</v>
      </c>
      <c r="D253">
        <v>2</v>
      </c>
      <c r="E253">
        <v>3</v>
      </c>
      <c r="G253">
        <v>573674880</v>
      </c>
      <c r="H253">
        <v>83.940002440000001</v>
      </c>
      <c r="I253">
        <v>2.539999962</v>
      </c>
      <c r="J253" s="9">
        <f t="shared" si="124"/>
        <v>7370688</v>
      </c>
      <c r="L253" s="9">
        <f t="shared" si="131"/>
        <v>3.9900054900000015</v>
      </c>
      <c r="M253" s="9">
        <f t="shared" si="131"/>
        <v>9.9999909999999304E-3</v>
      </c>
      <c r="N253" s="29">
        <f t="shared" si="103"/>
        <v>420192272</v>
      </c>
      <c r="O253" s="30">
        <f t="shared" si="104"/>
        <v>0.91257304323801092</v>
      </c>
      <c r="P253" s="30">
        <f t="shared" si="105"/>
        <v>1.8251460864760218</v>
      </c>
      <c r="Q253" s="29">
        <f t="shared" si="106"/>
        <v>39.420001980000002</v>
      </c>
      <c r="R253" s="30">
        <f t="shared" si="107"/>
        <v>0.29514825975363435</v>
      </c>
      <c r="S253" s="30">
        <f t="shared" si="108"/>
        <v>0.59029651950726869</v>
      </c>
      <c r="T253" s="37">
        <f t="shared" si="109"/>
        <v>0.14999985700000007</v>
      </c>
      <c r="U253" s="30">
        <f t="shared" si="110"/>
        <v>2.0920481228737586E-2</v>
      </c>
      <c r="V253" s="38">
        <f t="shared" si="111"/>
        <v>2.2461793268963213E-3</v>
      </c>
      <c r="W253" s="9">
        <f t="shared" si="129"/>
        <v>14176128</v>
      </c>
      <c r="X253" s="12">
        <f t="shared" si="129"/>
        <v>4.3400039699999979</v>
      </c>
      <c r="Y253" s="11">
        <f t="shared" si="129"/>
        <v>0</v>
      </c>
      <c r="Z253" s="7">
        <f t="shared" si="126"/>
        <v>192669120</v>
      </c>
      <c r="AA253" s="7">
        <f t="shared" si="126"/>
        <v>6.4000015200000036</v>
      </c>
      <c r="AB253" s="7">
        <f t="shared" si="126"/>
        <v>4.9999951999999848E-2</v>
      </c>
    </row>
    <row r="254" spans="1:28" x14ac:dyDescent="0.25">
      <c r="A254" s="2">
        <v>250</v>
      </c>
      <c r="B254">
        <v>3</v>
      </c>
      <c r="C254">
        <v>1</v>
      </c>
      <c r="D254">
        <v>2</v>
      </c>
      <c r="E254">
        <v>4</v>
      </c>
      <c r="G254">
        <v>540134400</v>
      </c>
      <c r="H254">
        <v>82.120002749999998</v>
      </c>
      <c r="I254">
        <v>2.539999962</v>
      </c>
      <c r="J254" s="9">
        <f t="shared" si="124"/>
        <v>33540480</v>
      </c>
      <c r="L254" s="9">
        <f t="shared" si="131"/>
        <v>1.8199996900000031</v>
      </c>
      <c r="M254" s="9">
        <f t="shared" si="131"/>
        <v>0</v>
      </c>
      <c r="N254" s="29">
        <f t="shared" si="103"/>
        <v>396168304</v>
      </c>
      <c r="O254" s="30">
        <f t="shared" si="104"/>
        <v>0.91727222590889268</v>
      </c>
      <c r="P254" s="30">
        <f t="shared" si="105"/>
        <v>1.8345444518177854</v>
      </c>
      <c r="Q254" s="29">
        <f t="shared" si="106"/>
        <v>38.780002599999996</v>
      </c>
      <c r="R254" s="30">
        <f t="shared" si="107"/>
        <v>0.29826182484065661</v>
      </c>
      <c r="S254" s="30">
        <f t="shared" si="108"/>
        <v>0.59652364968131322</v>
      </c>
      <c r="T254" s="37">
        <f t="shared" si="109"/>
        <v>0.14999985700000007</v>
      </c>
      <c r="U254" s="30">
        <f t="shared" si="110"/>
        <v>2.0920481228737586E-2</v>
      </c>
      <c r="V254" s="38">
        <f t="shared" si="111"/>
        <v>2.307335125070753E-3</v>
      </c>
      <c r="W254" s="9">
        <f t="shared" si="129"/>
        <v>12050848</v>
      </c>
      <c r="X254" s="12">
        <f t="shared" si="129"/>
        <v>3.8700027499999976</v>
      </c>
      <c r="Y254" s="11">
        <f t="shared" si="129"/>
        <v>0</v>
      </c>
      <c r="Z254" s="7">
        <f t="shared" ref="Z254:AB269" si="132">ABS(G254-G149)</f>
        <v>178918720</v>
      </c>
      <c r="AA254" s="7">
        <f t="shared" si="132"/>
        <v>6.3899993899999998</v>
      </c>
      <c r="AB254" s="7">
        <f t="shared" si="132"/>
        <v>4.9999951999999848E-2</v>
      </c>
    </row>
    <row r="255" spans="1:28" x14ac:dyDescent="0.25">
      <c r="A255" s="2">
        <v>251</v>
      </c>
      <c r="B255">
        <v>3</v>
      </c>
      <c r="C255">
        <v>1</v>
      </c>
      <c r="D255">
        <v>2</v>
      </c>
      <c r="E255">
        <v>5</v>
      </c>
      <c r="G255">
        <v>507736928</v>
      </c>
      <c r="H255">
        <v>82.059997559999999</v>
      </c>
      <c r="I255">
        <v>2.539999962</v>
      </c>
      <c r="J255" s="9">
        <f t="shared" si="124"/>
        <v>32397472</v>
      </c>
      <c r="L255" s="9">
        <f t="shared" si="131"/>
        <v>6.0005189999998265E-2</v>
      </c>
      <c r="M255" s="9">
        <f t="shared" si="131"/>
        <v>0</v>
      </c>
      <c r="N255" s="29">
        <f t="shared" si="103"/>
        <v>373099952</v>
      </c>
      <c r="O255" s="30">
        <f t="shared" si="104"/>
        <v>0.92371838971388265</v>
      </c>
      <c r="P255" s="30">
        <f t="shared" si="105"/>
        <v>1.8474367794277653</v>
      </c>
      <c r="Q255" s="29">
        <f t="shared" si="106"/>
        <v>39.259998320000001</v>
      </c>
      <c r="R255" s="30">
        <f t="shared" si="107"/>
        <v>0.30576323222071783</v>
      </c>
      <c r="S255" s="30">
        <f t="shared" si="108"/>
        <v>0.61152646444143566</v>
      </c>
      <c r="T255" s="37">
        <f t="shared" si="109"/>
        <v>0.14999985700000007</v>
      </c>
      <c r="U255" s="30">
        <f t="shared" si="110"/>
        <v>2.0920481228737586E-2</v>
      </c>
      <c r="V255" s="38">
        <f t="shared" si="111"/>
        <v>2.3364464122048131E-3</v>
      </c>
      <c r="W255" s="9">
        <f t="shared" si="129"/>
        <v>10975648</v>
      </c>
      <c r="X255" s="12">
        <f t="shared" si="129"/>
        <v>3.8299942000000016</v>
      </c>
      <c r="Y255" s="11">
        <f t="shared" si="129"/>
        <v>0</v>
      </c>
      <c r="Z255" s="7">
        <f t="shared" si="132"/>
        <v>167545184</v>
      </c>
      <c r="AA255" s="7">
        <f t="shared" si="132"/>
        <v>6.3799972500000024</v>
      </c>
      <c r="AB255" s="7">
        <f t="shared" si="132"/>
        <v>4.9999951999999848E-2</v>
      </c>
    </row>
    <row r="256" spans="1:28" x14ac:dyDescent="0.25">
      <c r="A256" s="2">
        <v>252</v>
      </c>
      <c r="B256">
        <v>3</v>
      </c>
      <c r="C256">
        <v>1</v>
      </c>
      <c r="D256">
        <v>2</v>
      </c>
      <c r="E256">
        <v>6</v>
      </c>
      <c r="G256">
        <v>431467008</v>
      </c>
      <c r="H256">
        <v>77.11000061</v>
      </c>
      <c r="I256">
        <v>2.539999962</v>
      </c>
      <c r="J256" s="9">
        <f t="shared" si="124"/>
        <v>76269920</v>
      </c>
      <c r="L256" s="9">
        <f t="shared" si="131"/>
        <v>4.9499969499999992</v>
      </c>
      <c r="M256" s="9">
        <f t="shared" si="131"/>
        <v>0</v>
      </c>
      <c r="N256" s="29">
        <f t="shared" si="103"/>
        <v>319132248</v>
      </c>
      <c r="O256" s="30">
        <f t="shared" si="104"/>
        <v>0.94696793761788423</v>
      </c>
      <c r="P256" s="30">
        <f t="shared" si="105"/>
        <v>1.8939358752357685</v>
      </c>
      <c r="Q256" s="29">
        <f t="shared" si="106"/>
        <v>37.190002440000001</v>
      </c>
      <c r="R256" s="30">
        <f t="shared" si="107"/>
        <v>0.31053777676062455</v>
      </c>
      <c r="S256" s="30">
        <f t="shared" si="108"/>
        <v>0.6210755535212491</v>
      </c>
      <c r="T256" s="37">
        <f t="shared" si="109"/>
        <v>0.14999985700000007</v>
      </c>
      <c r="U256" s="30">
        <f t="shared" si="110"/>
        <v>2.0920481228737586E-2</v>
      </c>
      <c r="V256" s="38">
        <f t="shared" si="111"/>
        <v>2.5050077467643011E-3</v>
      </c>
      <c r="W256" s="9">
        <f t="shared" si="129"/>
        <v>8184320</v>
      </c>
      <c r="X256" s="12">
        <f t="shared" si="129"/>
        <v>3.0500030500000008</v>
      </c>
      <c r="Y256" s="11">
        <f t="shared" si="129"/>
        <v>9.9999899999998476E-3</v>
      </c>
      <c r="Z256" s="7">
        <f t="shared" si="132"/>
        <v>140419520</v>
      </c>
      <c r="AA256" s="7">
        <f t="shared" si="132"/>
        <v>6.25</v>
      </c>
      <c r="AB256" s="7">
        <f t="shared" si="132"/>
        <v>3.9999962E-2</v>
      </c>
    </row>
    <row r="257" spans="1:28" x14ac:dyDescent="0.25">
      <c r="A257" s="2">
        <v>253</v>
      </c>
      <c r="B257">
        <v>3</v>
      </c>
      <c r="C257">
        <v>2</v>
      </c>
      <c r="D257">
        <v>0</v>
      </c>
      <c r="E257">
        <v>0</v>
      </c>
      <c r="G257">
        <v>60288588</v>
      </c>
      <c r="H257">
        <v>39.810001370000002</v>
      </c>
      <c r="I257">
        <v>2.880000114</v>
      </c>
      <c r="N257" s="29">
        <f t="shared" si="103"/>
        <v>501646644</v>
      </c>
      <c r="O257" s="30">
        <f t="shared" si="104"/>
        <v>0.2975708559950197</v>
      </c>
      <c r="P257" s="30">
        <f t="shared" si="105"/>
        <v>0.99190285331673234</v>
      </c>
      <c r="Q257" s="29">
        <f t="shared" si="106"/>
        <v>38.929996490000001</v>
      </c>
      <c r="R257" s="30">
        <f t="shared" si="107"/>
        <v>0.16480398589468118</v>
      </c>
      <c r="S257" s="30">
        <f t="shared" si="108"/>
        <v>0.54934661964893727</v>
      </c>
      <c r="T257" s="37">
        <f t="shared" si="109"/>
        <v>0.35000014299999993</v>
      </c>
      <c r="U257" s="30">
        <f t="shared" si="110"/>
        <v>4.6113326352023622E-2</v>
      </c>
      <c r="V257" s="38">
        <f t="shared" si="111"/>
        <v>4.9389009188090631E-3</v>
      </c>
      <c r="W257" s="9">
        <f t="shared" si="129"/>
        <v>55303565</v>
      </c>
      <c r="X257" s="12">
        <f t="shared" si="129"/>
        <v>24.58000183</v>
      </c>
      <c r="Y257" s="11">
        <f t="shared" si="129"/>
        <v>0.54000020000000015</v>
      </c>
      <c r="Z257" s="7">
        <f t="shared" si="132"/>
        <v>19432132</v>
      </c>
      <c r="AA257" s="7">
        <f t="shared" si="132"/>
        <v>5.2000007600000018</v>
      </c>
      <c r="AB257" s="7">
        <f t="shared" si="132"/>
        <v>0</v>
      </c>
    </row>
    <row r="258" spans="1:28" x14ac:dyDescent="0.25">
      <c r="A258" s="2">
        <v>254</v>
      </c>
      <c r="B258">
        <v>3</v>
      </c>
      <c r="C258">
        <v>2</v>
      </c>
      <c r="D258">
        <v>0</v>
      </c>
      <c r="E258">
        <v>1</v>
      </c>
      <c r="G258">
        <v>61856180</v>
      </c>
      <c r="H258">
        <v>40.91999817</v>
      </c>
      <c r="I258">
        <v>2.880000114</v>
      </c>
      <c r="J258" s="9">
        <f t="shared" ref="J258" si="133">ABS(G258-G257)</f>
        <v>1567592</v>
      </c>
      <c r="L258" s="9">
        <f t="shared" ref="L258:M263" si="134">ABS(H258-H257)</f>
        <v>1.1099967999999976</v>
      </c>
      <c r="M258" s="9">
        <f t="shared" si="134"/>
        <v>0</v>
      </c>
      <c r="N258" s="29">
        <f t="shared" si="103"/>
        <v>509220108</v>
      </c>
      <c r="O258" s="30">
        <f t="shared" si="104"/>
        <v>0.29722830305992326</v>
      </c>
      <c r="P258" s="30">
        <f t="shared" si="105"/>
        <v>0.99076101019974416</v>
      </c>
      <c r="Q258" s="29">
        <f t="shared" si="106"/>
        <v>40.349998470000003</v>
      </c>
      <c r="R258" s="30">
        <f t="shared" si="107"/>
        <v>0.16549772420416334</v>
      </c>
      <c r="S258" s="30">
        <f t="shared" si="108"/>
        <v>0.55165908068054437</v>
      </c>
      <c r="T258" s="37">
        <f t="shared" si="109"/>
        <v>0.35000014299999993</v>
      </c>
      <c r="U258" s="30">
        <f t="shared" si="110"/>
        <v>4.6113326352023622E-2</v>
      </c>
      <c r="V258" s="38">
        <f t="shared" si="111"/>
        <v>4.7851490569198784E-3</v>
      </c>
      <c r="W258" s="9">
        <f t="shared" si="129"/>
        <v>55863852</v>
      </c>
      <c r="X258" s="12">
        <f t="shared" si="129"/>
        <v>25.09999848</v>
      </c>
      <c r="Y258" s="11">
        <f t="shared" si="129"/>
        <v>0.54000020000000015</v>
      </c>
      <c r="Z258" s="7">
        <f t="shared" si="132"/>
        <v>19671004</v>
      </c>
      <c r="AA258" s="7">
        <f t="shared" si="132"/>
        <v>5.2899971000000008</v>
      </c>
      <c r="AB258" s="7">
        <f t="shared" si="132"/>
        <v>0</v>
      </c>
    </row>
    <row r="259" spans="1:28" x14ac:dyDescent="0.25">
      <c r="A259" s="2">
        <v>255</v>
      </c>
      <c r="B259">
        <v>3</v>
      </c>
      <c r="C259">
        <v>2</v>
      </c>
      <c r="D259">
        <v>0</v>
      </c>
      <c r="E259">
        <v>2</v>
      </c>
      <c r="G259">
        <v>60899132</v>
      </c>
      <c r="H259">
        <v>40.380001069999999</v>
      </c>
      <c r="I259">
        <v>2.880000114</v>
      </c>
      <c r="J259" s="9">
        <f t="shared" si="121"/>
        <v>957048</v>
      </c>
      <c r="L259" s="9">
        <f t="shared" si="134"/>
        <v>0.53999710000000078</v>
      </c>
      <c r="M259" s="9">
        <f t="shared" si="134"/>
        <v>0</v>
      </c>
      <c r="N259" s="29">
        <f t="shared" si="103"/>
        <v>505405060</v>
      </c>
      <c r="O259" s="30">
        <f t="shared" si="104"/>
        <v>0.29748738524848023</v>
      </c>
      <c r="P259" s="30">
        <f t="shared" si="105"/>
        <v>0.99162461749493414</v>
      </c>
      <c r="Q259" s="29">
        <f t="shared" si="106"/>
        <v>39.56999588</v>
      </c>
      <c r="R259" s="30">
        <f t="shared" si="107"/>
        <v>0.16497810043589586</v>
      </c>
      <c r="S259" s="30">
        <f t="shared" si="108"/>
        <v>0.54992700145298612</v>
      </c>
      <c r="T259" s="37">
        <f t="shared" si="109"/>
        <v>0.35000014299999993</v>
      </c>
      <c r="U259" s="30">
        <f t="shared" si="110"/>
        <v>4.6113326352023622E-2</v>
      </c>
      <c r="V259" s="38">
        <f t="shared" si="111"/>
        <v>4.8641533785296499E-3</v>
      </c>
      <c r="W259" s="9">
        <f t="shared" si="129"/>
        <v>55442442</v>
      </c>
      <c r="X259" s="12">
        <f t="shared" si="129"/>
        <v>24.86000061</v>
      </c>
      <c r="Y259" s="11">
        <f t="shared" si="129"/>
        <v>0.54000020000000015</v>
      </c>
      <c r="Z259" s="7">
        <f t="shared" si="132"/>
        <v>19503760</v>
      </c>
      <c r="AA259" s="7">
        <f t="shared" si="132"/>
        <v>5.2700004599999986</v>
      </c>
      <c r="AB259" s="7">
        <f t="shared" si="132"/>
        <v>0</v>
      </c>
    </row>
    <row r="260" spans="1:28" x14ac:dyDescent="0.25">
      <c r="A260" s="2">
        <v>256</v>
      </c>
      <c r="B260">
        <v>3</v>
      </c>
      <c r="C260">
        <v>2</v>
      </c>
      <c r="D260">
        <v>0</v>
      </c>
      <c r="E260">
        <v>3</v>
      </c>
      <c r="G260">
        <v>62254964</v>
      </c>
      <c r="H260">
        <v>41.930000309999997</v>
      </c>
      <c r="I260">
        <v>2.880000114</v>
      </c>
      <c r="J260" s="9">
        <f t="shared" si="121"/>
        <v>1355832</v>
      </c>
      <c r="L260" s="9">
        <f t="shared" si="134"/>
        <v>1.5499992399999982</v>
      </c>
      <c r="M260" s="9">
        <f t="shared" si="134"/>
        <v>0</v>
      </c>
      <c r="N260" s="29">
        <f t="shared" si="103"/>
        <v>511419916</v>
      </c>
      <c r="O260" s="30">
        <f t="shared" si="104"/>
        <v>0.29716013595249863</v>
      </c>
      <c r="P260" s="30">
        <f t="shared" si="105"/>
        <v>0.99053378650832868</v>
      </c>
      <c r="Q260" s="29">
        <f t="shared" si="106"/>
        <v>42.010002130000004</v>
      </c>
      <c r="R260" s="30">
        <f t="shared" si="107"/>
        <v>0.1668255138941992</v>
      </c>
      <c r="S260" s="30">
        <f t="shared" si="108"/>
        <v>0.55608504631399736</v>
      </c>
      <c r="T260" s="37">
        <f t="shared" si="109"/>
        <v>0.340000152</v>
      </c>
      <c r="U260" s="30">
        <f t="shared" si="110"/>
        <v>4.4619443187220019E-2</v>
      </c>
      <c r="V260" s="38">
        <f t="shared" si="111"/>
        <v>4.5005710708276537E-3</v>
      </c>
      <c r="W260" s="9">
        <f t="shared" si="129"/>
        <v>55443731.5</v>
      </c>
      <c r="X260" s="12">
        <f t="shared" si="129"/>
        <v>25.639999389999996</v>
      </c>
      <c r="Y260" s="11">
        <f t="shared" si="129"/>
        <v>0.54000020000000015</v>
      </c>
      <c r="Z260" s="7">
        <f t="shared" si="132"/>
        <v>19554420</v>
      </c>
      <c r="AA260" s="7">
        <f t="shared" si="132"/>
        <v>5.3899993899999998</v>
      </c>
      <c r="AB260" s="7">
        <f t="shared" si="132"/>
        <v>0</v>
      </c>
    </row>
    <row r="261" spans="1:28" x14ac:dyDescent="0.25">
      <c r="A261" s="2">
        <v>257</v>
      </c>
      <c r="B261">
        <v>3</v>
      </c>
      <c r="C261">
        <v>2</v>
      </c>
      <c r="D261">
        <v>0</v>
      </c>
      <c r="E261">
        <v>4</v>
      </c>
      <c r="G261">
        <v>57900328</v>
      </c>
      <c r="H261">
        <v>40.709999080000003</v>
      </c>
      <c r="I261">
        <v>2.880000114</v>
      </c>
      <c r="J261" s="9">
        <f t="shared" si="121"/>
        <v>4354636</v>
      </c>
      <c r="L261" s="9">
        <f t="shared" si="134"/>
        <v>1.2200012299999941</v>
      </c>
      <c r="M261" s="9">
        <f t="shared" si="134"/>
        <v>0</v>
      </c>
      <c r="N261" s="29">
        <f t="shared" si="103"/>
        <v>482234072</v>
      </c>
      <c r="O261" s="30">
        <f t="shared" si="104"/>
        <v>0.29760128343365405</v>
      </c>
      <c r="P261" s="30">
        <f t="shared" si="105"/>
        <v>0.99200427811218006</v>
      </c>
      <c r="Q261" s="29">
        <f t="shared" si="106"/>
        <v>41.410003669999995</v>
      </c>
      <c r="R261" s="30">
        <f t="shared" si="107"/>
        <v>0.16808736111089165</v>
      </c>
      <c r="S261" s="30">
        <f t="shared" si="108"/>
        <v>0.56029120370297214</v>
      </c>
      <c r="T261" s="37">
        <f t="shared" si="109"/>
        <v>0.340000152</v>
      </c>
      <c r="U261" s="30">
        <f t="shared" si="110"/>
        <v>4.4619443187220019E-2</v>
      </c>
      <c r="V261" s="38">
        <f t="shared" si="111"/>
        <v>4.6003158063297389E-3</v>
      </c>
      <c r="W261" s="9">
        <f t="shared" si="129"/>
        <v>52213947</v>
      </c>
      <c r="X261" s="12">
        <f t="shared" si="129"/>
        <v>25.079998970000005</v>
      </c>
      <c r="Y261" s="11">
        <f t="shared" si="129"/>
        <v>0.54000020000000015</v>
      </c>
      <c r="Z261" s="7">
        <f t="shared" si="132"/>
        <v>18350228</v>
      </c>
      <c r="AA261" s="7">
        <f t="shared" si="132"/>
        <v>5.3199996900000031</v>
      </c>
      <c r="AB261" s="7">
        <f t="shared" si="132"/>
        <v>0</v>
      </c>
    </row>
    <row r="262" spans="1:28" x14ac:dyDescent="0.25">
      <c r="A262" s="2">
        <v>258</v>
      </c>
      <c r="B262">
        <v>3</v>
      </c>
      <c r="C262">
        <v>2</v>
      </c>
      <c r="D262">
        <v>0</v>
      </c>
      <c r="E262">
        <v>5</v>
      </c>
      <c r="G262">
        <v>52556840</v>
      </c>
      <c r="H262">
        <v>39.200000760000002</v>
      </c>
      <c r="I262">
        <v>2.880000114</v>
      </c>
      <c r="J262" s="9">
        <f t="shared" si="121"/>
        <v>5343488</v>
      </c>
      <c r="L262" s="9">
        <f t="shared" si="134"/>
        <v>1.5099983200000011</v>
      </c>
      <c r="M262" s="9">
        <f t="shared" si="134"/>
        <v>0</v>
      </c>
      <c r="N262" s="29">
        <f t="shared" si="103"/>
        <v>455180088</v>
      </c>
      <c r="O262" s="30">
        <f t="shared" si="104"/>
        <v>0.29882934967456215</v>
      </c>
      <c r="P262" s="30">
        <f t="shared" si="105"/>
        <v>0.99609783224854054</v>
      </c>
      <c r="Q262" s="29">
        <f t="shared" si="106"/>
        <v>42.859996799999998</v>
      </c>
      <c r="R262" s="30">
        <f t="shared" si="107"/>
        <v>0.17410024402637822</v>
      </c>
      <c r="S262" s="30">
        <f t="shared" si="108"/>
        <v>0.58033414675459405</v>
      </c>
      <c r="T262" s="37">
        <f t="shared" si="109"/>
        <v>0.340000152</v>
      </c>
      <c r="U262" s="30">
        <f t="shared" si="110"/>
        <v>4.4619443187220019E-2</v>
      </c>
      <c r="V262" s="38">
        <f t="shared" si="111"/>
        <v>4.6036797209315769E-3</v>
      </c>
      <c r="W262" s="9">
        <f t="shared" si="129"/>
        <v>47945868</v>
      </c>
      <c r="X262" s="12">
        <f t="shared" si="129"/>
        <v>24.150000570000003</v>
      </c>
      <c r="Y262" s="11">
        <f t="shared" si="129"/>
        <v>0.54000020000000015</v>
      </c>
      <c r="Z262" s="7">
        <f t="shared" si="132"/>
        <v>17001400</v>
      </c>
      <c r="AA262" s="7">
        <f t="shared" si="132"/>
        <v>5.2700004500000048</v>
      </c>
      <c r="AB262" s="7">
        <f t="shared" si="132"/>
        <v>0</v>
      </c>
    </row>
    <row r="263" spans="1:28" x14ac:dyDescent="0.25">
      <c r="A263" s="2">
        <v>259</v>
      </c>
      <c r="B263">
        <v>3</v>
      </c>
      <c r="C263">
        <v>2</v>
      </c>
      <c r="D263">
        <v>0</v>
      </c>
      <c r="E263">
        <v>6</v>
      </c>
      <c r="G263">
        <v>41933536</v>
      </c>
      <c r="H263">
        <v>35.409999849999998</v>
      </c>
      <c r="I263">
        <v>2.880000114</v>
      </c>
      <c r="J263" s="9">
        <f t="shared" si="121"/>
        <v>10623304</v>
      </c>
      <c r="L263" s="9">
        <f t="shared" si="134"/>
        <v>3.7900009100000034</v>
      </c>
      <c r="M263" s="9">
        <f t="shared" si="134"/>
        <v>0</v>
      </c>
      <c r="N263" s="29">
        <f t="shared" si="103"/>
        <v>389533472</v>
      </c>
      <c r="O263" s="30">
        <f t="shared" si="104"/>
        <v>0.30093724029686802</v>
      </c>
      <c r="P263" s="30">
        <f t="shared" si="105"/>
        <v>1.0031241343228934</v>
      </c>
      <c r="Q263" s="29">
        <f t="shared" si="106"/>
        <v>41.700000760000002</v>
      </c>
      <c r="R263" s="30">
        <f t="shared" si="107"/>
        <v>0.18026196528820562</v>
      </c>
      <c r="S263" s="30">
        <f t="shared" si="108"/>
        <v>0.60087321762735213</v>
      </c>
      <c r="T263" s="37">
        <f t="shared" si="109"/>
        <v>0.340000152</v>
      </c>
      <c r="U263" s="30">
        <f t="shared" si="110"/>
        <v>4.4619443187220019E-2</v>
      </c>
      <c r="V263" s="38">
        <f t="shared" si="111"/>
        <v>4.8992081919096049E-3</v>
      </c>
      <c r="W263" s="9">
        <f t="shared" si="129"/>
        <v>40326500.619999997</v>
      </c>
      <c r="X263" s="12">
        <f t="shared" si="129"/>
        <v>22.269999509999998</v>
      </c>
      <c r="Y263" s="11">
        <f t="shared" si="129"/>
        <v>0.54000020000000015</v>
      </c>
      <c r="Z263" s="7">
        <f t="shared" si="132"/>
        <v>14296106</v>
      </c>
      <c r="AA263" s="7">
        <f t="shared" si="132"/>
        <v>5.0599994699999975</v>
      </c>
      <c r="AB263" s="7">
        <f t="shared" si="132"/>
        <v>0</v>
      </c>
    </row>
    <row r="264" spans="1:28" x14ac:dyDescent="0.25">
      <c r="A264" s="2">
        <v>260</v>
      </c>
      <c r="B264">
        <v>3</v>
      </c>
      <c r="C264">
        <v>2</v>
      </c>
      <c r="D264">
        <v>1</v>
      </c>
      <c r="E264">
        <v>0</v>
      </c>
      <c r="G264">
        <v>412552224</v>
      </c>
      <c r="H264">
        <v>132.5899963</v>
      </c>
      <c r="I264">
        <v>2.9700000289999999</v>
      </c>
      <c r="N264" s="29">
        <f t="shared" si="103"/>
        <v>352263636</v>
      </c>
      <c r="O264" s="30">
        <f t="shared" si="104"/>
        <v>1.9476523815751001</v>
      </c>
      <c r="P264" s="30">
        <f t="shared" si="105"/>
        <v>1.9476523815751001</v>
      </c>
      <c r="Q264" s="29">
        <f t="shared" si="106"/>
        <v>92.779994929999987</v>
      </c>
      <c r="R264" s="30">
        <f t="shared" si="107"/>
        <v>0.77685666697746869</v>
      </c>
      <c r="S264" s="30">
        <f t="shared" si="108"/>
        <v>0.77685666697746869</v>
      </c>
      <c r="T264" s="37">
        <f t="shared" si="109"/>
        <v>8.999991499999993E-2</v>
      </c>
      <c r="U264" s="30">
        <f t="shared" si="110"/>
        <v>1.0416656416377712E-2</v>
      </c>
      <c r="V264" s="38">
        <f t="shared" si="111"/>
        <v>7.5357876499029721E-4</v>
      </c>
      <c r="W264" s="9">
        <f t="shared" si="129"/>
        <v>264258080</v>
      </c>
      <c r="X264" s="12">
        <f t="shared" si="129"/>
        <v>89.559997519999996</v>
      </c>
      <c r="Y264" s="11">
        <f t="shared" si="129"/>
        <v>0.579999924</v>
      </c>
      <c r="Z264" s="7">
        <f t="shared" si="132"/>
        <v>114539616</v>
      </c>
      <c r="AA264" s="7">
        <f t="shared" si="132"/>
        <v>15.059997499999994</v>
      </c>
      <c r="AB264" s="7">
        <f t="shared" si="132"/>
        <v>1.9999980999999778E-2</v>
      </c>
    </row>
    <row r="265" spans="1:28" x14ac:dyDescent="0.25">
      <c r="A265" s="2">
        <v>261</v>
      </c>
      <c r="B265">
        <v>3</v>
      </c>
      <c r="C265">
        <v>2</v>
      </c>
      <c r="D265">
        <v>1</v>
      </c>
      <c r="E265">
        <v>1</v>
      </c>
      <c r="G265">
        <v>416981312</v>
      </c>
      <c r="H265">
        <v>138.41999820000001</v>
      </c>
      <c r="I265">
        <v>2.9700000289999999</v>
      </c>
      <c r="J265" s="9">
        <f t="shared" ref="J265" si="135">ABS(G265-G264)</f>
        <v>4429088</v>
      </c>
      <c r="L265" s="9">
        <f t="shared" ref="L265:M270" si="136">ABS(H265-H264)</f>
        <v>5.8300019000000134</v>
      </c>
      <c r="M265" s="9">
        <f t="shared" si="136"/>
        <v>0</v>
      </c>
      <c r="N265" s="29">
        <f t="shared" si="103"/>
        <v>355125132</v>
      </c>
      <c r="O265" s="30">
        <f t="shared" si="104"/>
        <v>1.9137141026167475</v>
      </c>
      <c r="P265" s="30">
        <f t="shared" si="105"/>
        <v>1.9137141026167475</v>
      </c>
      <c r="Q265" s="29">
        <f t="shared" si="106"/>
        <v>97.50000003000001</v>
      </c>
      <c r="R265" s="30">
        <f t="shared" si="107"/>
        <v>0.79423268483494169</v>
      </c>
      <c r="S265" s="30">
        <f t="shared" si="108"/>
        <v>0.79423268483494169</v>
      </c>
      <c r="T265" s="37">
        <f t="shared" si="109"/>
        <v>8.999991499999993E-2</v>
      </c>
      <c r="U265" s="30">
        <f t="shared" si="110"/>
        <v>1.0416656416377712E-2</v>
      </c>
      <c r="V265" s="38">
        <f t="shared" si="111"/>
        <v>7.3313717029099867E-4</v>
      </c>
      <c r="W265" s="9">
        <f t="shared" si="129"/>
        <v>265087904</v>
      </c>
      <c r="X265" s="12">
        <f t="shared" si="129"/>
        <v>94.559997590000009</v>
      </c>
      <c r="Y265" s="11">
        <f t="shared" si="129"/>
        <v>0.579999924</v>
      </c>
      <c r="Z265" s="7">
        <f t="shared" si="132"/>
        <v>114729088</v>
      </c>
      <c r="AA265" s="7">
        <f t="shared" si="132"/>
        <v>15.709999100000005</v>
      </c>
      <c r="AB265" s="7">
        <f t="shared" si="132"/>
        <v>1.9999980999999778E-2</v>
      </c>
    </row>
    <row r="266" spans="1:28" x14ac:dyDescent="0.25">
      <c r="A266" s="2">
        <v>262</v>
      </c>
      <c r="B266">
        <v>3</v>
      </c>
      <c r="C266">
        <v>2</v>
      </c>
      <c r="D266">
        <v>1</v>
      </c>
      <c r="E266">
        <v>2</v>
      </c>
      <c r="G266">
        <v>414130944</v>
      </c>
      <c r="H266">
        <v>135.77999879999999</v>
      </c>
      <c r="I266">
        <v>2.9700000289999999</v>
      </c>
      <c r="J266" s="9">
        <f t="shared" si="124"/>
        <v>2850368</v>
      </c>
      <c r="L266" s="9">
        <f t="shared" si="136"/>
        <v>2.639999400000022</v>
      </c>
      <c r="M266" s="9">
        <f t="shared" si="136"/>
        <v>0</v>
      </c>
      <c r="N266" s="29">
        <f t="shared" si="103"/>
        <v>353231812</v>
      </c>
      <c r="O266" s="30">
        <f t="shared" si="104"/>
        <v>1.9334255426388234</v>
      </c>
      <c r="P266" s="30">
        <f t="shared" si="105"/>
        <v>1.9334255426388234</v>
      </c>
      <c r="Q266" s="29">
        <f t="shared" si="106"/>
        <v>95.399997729999995</v>
      </c>
      <c r="R266" s="30">
        <f t="shared" si="107"/>
        <v>0.78751853394473759</v>
      </c>
      <c r="S266" s="30">
        <f t="shared" si="108"/>
        <v>0.78751853394473759</v>
      </c>
      <c r="T266" s="37">
        <f t="shared" si="109"/>
        <v>8.999991499999993E-2</v>
      </c>
      <c r="U266" s="30">
        <f t="shared" si="110"/>
        <v>1.0416656416377712E-2</v>
      </c>
      <c r="V266" s="38">
        <f t="shared" si="111"/>
        <v>7.4294132916590937E-4</v>
      </c>
      <c r="W266" s="9">
        <f t="shared" ref="W266:Y281" si="137">ABS(G266-G245)</f>
        <v>264239808</v>
      </c>
      <c r="X266" s="12">
        <f t="shared" si="137"/>
        <v>92.340000169999996</v>
      </c>
      <c r="Y266" s="11">
        <f t="shared" si="137"/>
        <v>0.579999924</v>
      </c>
      <c r="Z266" s="7">
        <f t="shared" si="132"/>
        <v>114553280</v>
      </c>
      <c r="AA266" s="7">
        <f t="shared" si="132"/>
        <v>15.400001499999988</v>
      </c>
      <c r="AB266" s="7">
        <f t="shared" si="132"/>
        <v>1.9999980999999778E-2</v>
      </c>
    </row>
    <row r="267" spans="1:28" x14ac:dyDescent="0.25">
      <c r="A267" s="2">
        <v>263</v>
      </c>
      <c r="B267">
        <v>3</v>
      </c>
      <c r="C267">
        <v>2</v>
      </c>
      <c r="D267">
        <v>1</v>
      </c>
      <c r="E267">
        <v>3</v>
      </c>
      <c r="G267">
        <v>413787232</v>
      </c>
      <c r="H267">
        <v>144.63999939999999</v>
      </c>
      <c r="I267">
        <v>2.9700000289999999</v>
      </c>
      <c r="J267" s="9">
        <f t="shared" si="124"/>
        <v>343712</v>
      </c>
      <c r="L267" s="9">
        <f t="shared" si="136"/>
        <v>8.8600006000000064</v>
      </c>
      <c r="M267" s="9">
        <f t="shared" si="136"/>
        <v>0</v>
      </c>
      <c r="N267" s="29">
        <f t="shared" si="103"/>
        <v>351532268</v>
      </c>
      <c r="O267" s="30">
        <f t="shared" si="104"/>
        <v>1.882218141940724</v>
      </c>
      <c r="P267" s="30">
        <f t="shared" si="105"/>
        <v>1.882218141940724</v>
      </c>
      <c r="Q267" s="29">
        <f t="shared" si="106"/>
        <v>102.70999909</v>
      </c>
      <c r="R267" s="30">
        <f t="shared" si="107"/>
        <v>0.81651958288128457</v>
      </c>
      <c r="S267" s="30">
        <f t="shared" si="108"/>
        <v>0.81651958288128457</v>
      </c>
      <c r="T267" s="37">
        <f t="shared" si="109"/>
        <v>8.999991499999993E-2</v>
      </c>
      <c r="U267" s="30">
        <f t="shared" si="110"/>
        <v>1.0416656416377712E-2</v>
      </c>
      <c r="V267" s="38">
        <f t="shared" si="111"/>
        <v>7.1547749689646132E-4</v>
      </c>
      <c r="W267" s="9">
        <f t="shared" si="137"/>
        <v>260304624</v>
      </c>
      <c r="X267" s="12">
        <f t="shared" si="137"/>
        <v>100.11999893999999</v>
      </c>
      <c r="Y267" s="11">
        <f t="shared" si="137"/>
        <v>0.579999924</v>
      </c>
      <c r="Z267" s="7">
        <f t="shared" si="132"/>
        <v>112532864</v>
      </c>
      <c r="AA267" s="7">
        <f t="shared" si="132"/>
        <v>16.380004899999989</v>
      </c>
      <c r="AB267" s="7">
        <f t="shared" si="132"/>
        <v>1.9999980999999778E-2</v>
      </c>
    </row>
    <row r="268" spans="1:28" x14ac:dyDescent="0.25">
      <c r="A268" s="2">
        <v>264</v>
      </c>
      <c r="B268">
        <v>3</v>
      </c>
      <c r="C268">
        <v>2</v>
      </c>
      <c r="D268">
        <v>1</v>
      </c>
      <c r="E268">
        <v>4</v>
      </c>
      <c r="G268">
        <v>386075168</v>
      </c>
      <c r="H268">
        <v>139.9900055</v>
      </c>
      <c r="I268">
        <v>2.9700000289999999</v>
      </c>
      <c r="J268" s="9">
        <f t="shared" si="124"/>
        <v>27712064</v>
      </c>
      <c r="L268" s="9">
        <f t="shared" si="136"/>
        <v>4.6499938999999983</v>
      </c>
      <c r="M268" s="9">
        <f t="shared" si="136"/>
        <v>0</v>
      </c>
      <c r="N268" s="29">
        <f t="shared" si="103"/>
        <v>328174840</v>
      </c>
      <c r="O268" s="30">
        <f t="shared" si="104"/>
        <v>1.8893090438681683</v>
      </c>
      <c r="P268" s="30">
        <f t="shared" si="105"/>
        <v>1.8893090438681683</v>
      </c>
      <c r="Q268" s="29">
        <f t="shared" si="106"/>
        <v>99.280006419999992</v>
      </c>
      <c r="R268" s="30">
        <f t="shared" si="107"/>
        <v>0.81290435325977228</v>
      </c>
      <c r="S268" s="30">
        <f t="shared" si="108"/>
        <v>0.81290435325977228</v>
      </c>
      <c r="T268" s="37">
        <f t="shared" si="109"/>
        <v>8.999991499999993E-2</v>
      </c>
      <c r="U268" s="30">
        <f t="shared" si="110"/>
        <v>1.0416656416377712E-2</v>
      </c>
      <c r="V268" s="38">
        <f t="shared" si="111"/>
        <v>7.3691899642918486E-4</v>
      </c>
      <c r="W268" s="9">
        <f t="shared" si="137"/>
        <v>242109072</v>
      </c>
      <c r="X268" s="12">
        <f t="shared" si="137"/>
        <v>96.650005349999986</v>
      </c>
      <c r="Y268" s="11">
        <f t="shared" si="137"/>
        <v>0.579999924</v>
      </c>
      <c r="Z268" s="7">
        <f t="shared" si="132"/>
        <v>104277792</v>
      </c>
      <c r="AA268" s="7">
        <f t="shared" si="132"/>
        <v>15.9000092</v>
      </c>
      <c r="AB268" s="7">
        <f t="shared" si="132"/>
        <v>1.9999980999999778E-2</v>
      </c>
    </row>
    <row r="269" spans="1:28" x14ac:dyDescent="0.25">
      <c r="A269" s="2">
        <v>265</v>
      </c>
      <c r="B269">
        <v>3</v>
      </c>
      <c r="C269">
        <v>2</v>
      </c>
      <c r="D269">
        <v>1</v>
      </c>
      <c r="E269">
        <v>5</v>
      </c>
      <c r="G269">
        <v>357695808</v>
      </c>
      <c r="H269">
        <v>135.47999569999999</v>
      </c>
      <c r="I269">
        <v>2.9700000289999999</v>
      </c>
      <c r="J269" s="9">
        <f t="shared" si="124"/>
        <v>28379360</v>
      </c>
      <c r="L269" s="9">
        <f t="shared" si="136"/>
        <v>4.510009800000006</v>
      </c>
      <c r="M269" s="9">
        <f t="shared" si="136"/>
        <v>0</v>
      </c>
      <c r="N269" s="29">
        <f t="shared" ref="N269:N332" si="138">ABS(G269-G262)</f>
        <v>305138968</v>
      </c>
      <c r="O269" s="30">
        <f t="shared" ref="O269:O332" si="139">(N269/ABS(G262))/3</f>
        <v>1.9352949936360961</v>
      </c>
      <c r="P269" s="30">
        <f t="shared" ref="P269:P332" si="140">(N269/ABS(G262))/(IF(AND(D269=1,D262=0),(2400-600)/600,IF(AND(D269=2,D262=1),(6000-2400)/2400,IF(AND(D269=0,D262=2),ABS(600-6000)/6000,"Not Valid"))))</f>
        <v>1.9352949936360961</v>
      </c>
      <c r="Q269" s="29">
        <f t="shared" ref="Q269:Q332" si="141">ABS(H269-H262)</f>
        <v>96.279994939999995</v>
      </c>
      <c r="R269" s="30">
        <f t="shared" ref="R269:R332" si="142">(Q269/ABS(H262))/3</f>
        <v>0.81870742409308728</v>
      </c>
      <c r="S269" s="30">
        <f t="shared" ref="S269:S332" si="143">(Q269/ABS(H262))/(IF(AND(D269=1,D262=0),(2400-600)/600,IF(AND(D269=2,D262=1),(6000-2400)/2400,IF(AND(D269=0,D262=2),ABS(600-6000)/6000,"Not Valid"))))</f>
        <v>0.81870742409308728</v>
      </c>
      <c r="T269" s="37">
        <f t="shared" ref="T269:T332" si="144">ABS(I269-I262)</f>
        <v>8.999991499999993E-2</v>
      </c>
      <c r="U269" s="30">
        <f t="shared" ref="U269:U332" si="145">(T269/ABS(I262))/3</f>
        <v>1.0416656416377712E-2</v>
      </c>
      <c r="V269" s="38">
        <f t="shared" ref="V269:V332" si="146">(T269/ABS(H262))/(IF(AND(D269=1,D262=0),(2400-600)/600,IF(AND(D269=2,D262=1),(6000-2400)/2400,IF(AND(D269=0,D262=2),ABS(600-6000)/6000,"Not Valid"))))</f>
        <v>7.6530538482230996E-4</v>
      </c>
      <c r="W269" s="9">
        <f t="shared" si="137"/>
        <v>223058832</v>
      </c>
      <c r="X269" s="12">
        <f t="shared" si="137"/>
        <v>92.679996459999984</v>
      </c>
      <c r="Y269" s="11">
        <f t="shared" si="137"/>
        <v>0.579999924</v>
      </c>
      <c r="Z269" s="7">
        <f t="shared" si="132"/>
        <v>97051408</v>
      </c>
      <c r="AA269" s="7">
        <f t="shared" si="132"/>
        <v>15.379997199999991</v>
      </c>
      <c r="AB269" s="7">
        <f t="shared" si="132"/>
        <v>1.9999980999999778E-2</v>
      </c>
    </row>
    <row r="270" spans="1:28" x14ac:dyDescent="0.25">
      <c r="A270" s="2">
        <v>266</v>
      </c>
      <c r="B270">
        <v>3</v>
      </c>
      <c r="C270">
        <v>2</v>
      </c>
      <c r="D270">
        <v>1</v>
      </c>
      <c r="E270">
        <v>6</v>
      </c>
      <c r="G270">
        <v>297362784</v>
      </c>
      <c r="H270">
        <v>121.48999790000001</v>
      </c>
      <c r="I270">
        <v>2.9700000289999999</v>
      </c>
      <c r="J270" s="9">
        <f t="shared" si="124"/>
        <v>60333024</v>
      </c>
      <c r="L270" s="9">
        <f t="shared" si="136"/>
        <v>13.989997799999983</v>
      </c>
      <c r="M270" s="9">
        <f t="shared" si="136"/>
        <v>0</v>
      </c>
      <c r="N270" s="29">
        <f t="shared" si="138"/>
        <v>255429248</v>
      </c>
      <c r="O270" s="30">
        <f t="shared" si="139"/>
        <v>2.0304293600870356</v>
      </c>
      <c r="P270" s="30">
        <f t="shared" si="140"/>
        <v>2.0304293600870356</v>
      </c>
      <c r="Q270" s="29">
        <f t="shared" si="141"/>
        <v>86.07999805</v>
      </c>
      <c r="R270" s="30">
        <f t="shared" si="142"/>
        <v>0.81031722126181638</v>
      </c>
      <c r="S270" s="30">
        <f t="shared" si="143"/>
        <v>0.81031722126181638</v>
      </c>
      <c r="T270" s="37">
        <f t="shared" si="144"/>
        <v>8.999991499999993E-2</v>
      </c>
      <c r="U270" s="30">
        <f t="shared" si="145"/>
        <v>1.0416656416377712E-2</v>
      </c>
      <c r="V270" s="38">
        <f t="shared" si="146"/>
        <v>8.4721750335355181E-4</v>
      </c>
      <c r="W270" s="9">
        <f t="shared" si="137"/>
        <v>185028024</v>
      </c>
      <c r="X270" s="12">
        <f t="shared" si="137"/>
        <v>81.569999730000006</v>
      </c>
      <c r="Y270" s="11">
        <f t="shared" si="137"/>
        <v>0.579999924</v>
      </c>
      <c r="Z270" s="7">
        <f t="shared" ref="Z270:AB285" si="147">ABS(G270-G165)</f>
        <v>80391712</v>
      </c>
      <c r="AA270" s="7">
        <f t="shared" si="147"/>
        <v>13.90000160000001</v>
      </c>
      <c r="AB270" s="7">
        <f t="shared" si="147"/>
        <v>1.9999980999999778E-2</v>
      </c>
    </row>
    <row r="271" spans="1:28" x14ac:dyDescent="0.25">
      <c r="A271" s="2">
        <v>267</v>
      </c>
      <c r="B271">
        <v>3</v>
      </c>
      <c r="C271">
        <v>2</v>
      </c>
      <c r="D271">
        <v>2</v>
      </c>
      <c r="E271">
        <v>0</v>
      </c>
      <c r="G271">
        <v>1510772608</v>
      </c>
      <c r="H271">
        <v>359.32998659999998</v>
      </c>
      <c r="I271">
        <v>3.1400001049999999</v>
      </c>
      <c r="N271" s="29">
        <f t="shared" si="138"/>
        <v>1098220384</v>
      </c>
      <c r="O271" s="30">
        <f t="shared" si="139"/>
        <v>0.88733847507590535</v>
      </c>
      <c r="P271" s="30">
        <f t="shared" si="140"/>
        <v>1.7746769501518107</v>
      </c>
      <c r="Q271" s="29">
        <f t="shared" si="141"/>
        <v>226.73999029999999</v>
      </c>
      <c r="R271" s="30">
        <f t="shared" si="142"/>
        <v>0.57002789709457635</v>
      </c>
      <c r="S271" s="30">
        <f t="shared" si="143"/>
        <v>1.1400557941891527</v>
      </c>
      <c r="T271" s="37">
        <f t="shared" si="144"/>
        <v>0.170000076</v>
      </c>
      <c r="U271" s="30">
        <f t="shared" si="145"/>
        <v>1.9079694089794232E-2</v>
      </c>
      <c r="V271" s="38">
        <f t="shared" si="146"/>
        <v>8.5476572262337418E-4</v>
      </c>
      <c r="W271" s="9">
        <f t="shared" si="137"/>
        <v>948837376</v>
      </c>
      <c r="X271" s="12">
        <f t="shared" si="137"/>
        <v>280.58998873999997</v>
      </c>
      <c r="Y271" s="11">
        <f t="shared" si="137"/>
        <v>0.61000013399999986</v>
      </c>
      <c r="Z271" s="7">
        <f t="shared" si="147"/>
        <v>383981824</v>
      </c>
      <c r="AA271" s="7">
        <f t="shared" si="147"/>
        <v>40.829986599999984</v>
      </c>
      <c r="AB271" s="7">
        <f t="shared" si="147"/>
        <v>5.0000191000000083E-2</v>
      </c>
    </row>
    <row r="272" spans="1:28" x14ac:dyDescent="0.25">
      <c r="A272" s="2">
        <v>268</v>
      </c>
      <c r="B272">
        <v>3</v>
      </c>
      <c r="C272">
        <v>2</v>
      </c>
      <c r="D272">
        <v>2</v>
      </c>
      <c r="E272">
        <v>1</v>
      </c>
      <c r="G272">
        <v>1513190016</v>
      </c>
      <c r="H272">
        <v>376.05999759999997</v>
      </c>
      <c r="I272">
        <v>3.1400001049999999</v>
      </c>
      <c r="J272" s="9">
        <f t="shared" ref="J272" si="148">ABS(G272-G271)</f>
        <v>2417408</v>
      </c>
      <c r="L272" s="9">
        <f t="shared" ref="L272:M277" si="149">ABS(H272-H271)</f>
        <v>16.73001099999999</v>
      </c>
      <c r="M272" s="9">
        <f t="shared" si="149"/>
        <v>0</v>
      </c>
      <c r="N272" s="29">
        <f t="shared" si="138"/>
        <v>1096208704</v>
      </c>
      <c r="O272" s="30">
        <f t="shared" si="139"/>
        <v>0.87630522236289898</v>
      </c>
      <c r="P272" s="30">
        <f t="shared" si="140"/>
        <v>1.752610444725798</v>
      </c>
      <c r="Q272" s="29">
        <f t="shared" si="141"/>
        <v>237.63999939999997</v>
      </c>
      <c r="R272" s="30">
        <f t="shared" si="142"/>
        <v>0.57226798268614132</v>
      </c>
      <c r="S272" s="30">
        <f t="shared" si="143"/>
        <v>1.1445359653722826</v>
      </c>
      <c r="T272" s="37">
        <f t="shared" si="144"/>
        <v>0.170000076</v>
      </c>
      <c r="U272" s="30">
        <f t="shared" si="145"/>
        <v>1.9079694089794232E-2</v>
      </c>
      <c r="V272" s="38">
        <f t="shared" si="146"/>
        <v>8.1876452444571693E-4</v>
      </c>
      <c r="W272" s="9">
        <f t="shared" si="137"/>
        <v>942113728</v>
      </c>
      <c r="X272" s="12">
        <f t="shared" si="137"/>
        <v>294.79000095999999</v>
      </c>
      <c r="Y272" s="11">
        <f t="shared" si="137"/>
        <v>0.61000013399999986</v>
      </c>
      <c r="Z272" s="7">
        <f t="shared" si="147"/>
        <v>382378496</v>
      </c>
      <c r="AA272" s="7">
        <f t="shared" si="147"/>
        <v>42.470001299999979</v>
      </c>
      <c r="AB272" s="7">
        <f t="shared" si="147"/>
        <v>5.0000191000000083E-2</v>
      </c>
    </row>
    <row r="273" spans="1:28" x14ac:dyDescent="0.25">
      <c r="A273" s="2">
        <v>269</v>
      </c>
      <c r="B273">
        <v>3</v>
      </c>
      <c r="C273">
        <v>2</v>
      </c>
      <c r="D273">
        <v>2</v>
      </c>
      <c r="E273">
        <v>2</v>
      </c>
      <c r="G273">
        <v>1511163904</v>
      </c>
      <c r="H273">
        <v>367.8399963</v>
      </c>
      <c r="I273">
        <v>3.1400001049999999</v>
      </c>
      <c r="J273" s="9">
        <f t="shared" si="121"/>
        <v>2026112</v>
      </c>
      <c r="L273" s="9">
        <f t="shared" si="149"/>
        <v>8.2200012999999785</v>
      </c>
      <c r="M273" s="9">
        <f t="shared" si="149"/>
        <v>0</v>
      </c>
      <c r="N273" s="29">
        <f t="shared" si="138"/>
        <v>1097032960</v>
      </c>
      <c r="O273" s="30">
        <f t="shared" si="139"/>
        <v>0.88300007191284247</v>
      </c>
      <c r="P273" s="30">
        <f t="shared" si="140"/>
        <v>1.7660001438256849</v>
      </c>
      <c r="Q273" s="29">
        <f t="shared" si="141"/>
        <v>232.05999750000001</v>
      </c>
      <c r="R273" s="30">
        <f t="shared" si="142"/>
        <v>0.569696075884779</v>
      </c>
      <c r="S273" s="30">
        <f t="shared" si="143"/>
        <v>1.139392151769558</v>
      </c>
      <c r="T273" s="37">
        <f t="shared" si="144"/>
        <v>0.170000076</v>
      </c>
      <c r="U273" s="30">
        <f t="shared" si="145"/>
        <v>1.9079694089794232E-2</v>
      </c>
      <c r="V273" s="38">
        <f t="shared" si="146"/>
        <v>8.3468393726337262E-4</v>
      </c>
      <c r="W273" s="9">
        <f t="shared" si="137"/>
        <v>944859712</v>
      </c>
      <c r="X273" s="12">
        <f t="shared" si="137"/>
        <v>287.88999934999998</v>
      </c>
      <c r="Y273" s="11">
        <f t="shared" si="137"/>
        <v>0.61000013399999986</v>
      </c>
      <c r="Z273" s="7">
        <f t="shared" si="147"/>
        <v>383246208</v>
      </c>
      <c r="AA273" s="7">
        <f t="shared" si="147"/>
        <v>41.570007299999986</v>
      </c>
      <c r="AB273" s="7">
        <f t="shared" si="147"/>
        <v>5.0000191000000083E-2</v>
      </c>
    </row>
    <row r="274" spans="1:28" x14ac:dyDescent="0.25">
      <c r="A274" s="2">
        <v>270</v>
      </c>
      <c r="B274">
        <v>3</v>
      </c>
      <c r="C274">
        <v>2</v>
      </c>
      <c r="D274">
        <v>2</v>
      </c>
      <c r="E274">
        <v>3</v>
      </c>
      <c r="G274">
        <v>1484592384</v>
      </c>
      <c r="H274">
        <v>393.11999509999998</v>
      </c>
      <c r="I274">
        <v>3.1400001049999999</v>
      </c>
      <c r="J274" s="9">
        <f t="shared" si="121"/>
        <v>26571520</v>
      </c>
      <c r="L274" s="9">
        <f t="shared" si="149"/>
        <v>25.279998799999987</v>
      </c>
      <c r="M274" s="9">
        <f t="shared" si="149"/>
        <v>0</v>
      </c>
      <c r="N274" s="29">
        <f t="shared" si="138"/>
        <v>1070805152</v>
      </c>
      <c r="O274" s="30">
        <f t="shared" si="139"/>
        <v>0.86260527890494865</v>
      </c>
      <c r="P274" s="30">
        <f t="shared" si="140"/>
        <v>1.7252105578098973</v>
      </c>
      <c r="Q274" s="29">
        <f t="shared" si="141"/>
        <v>248.47999569999999</v>
      </c>
      <c r="R274" s="30">
        <f t="shared" si="142"/>
        <v>0.5726401104598825</v>
      </c>
      <c r="S274" s="30">
        <f t="shared" si="143"/>
        <v>1.145280220919765</v>
      </c>
      <c r="T274" s="37">
        <f t="shared" si="144"/>
        <v>0.170000076</v>
      </c>
      <c r="U274" s="30">
        <f t="shared" si="145"/>
        <v>1.9079694089794232E-2</v>
      </c>
      <c r="V274" s="38">
        <f t="shared" si="146"/>
        <v>7.8355492581673794E-4</v>
      </c>
      <c r="W274" s="9">
        <f t="shared" si="137"/>
        <v>910917504</v>
      </c>
      <c r="X274" s="12">
        <f t="shared" si="137"/>
        <v>309.17999265999998</v>
      </c>
      <c r="Y274" s="11">
        <f t="shared" si="137"/>
        <v>0.60000014299999993</v>
      </c>
      <c r="Z274" s="7">
        <f t="shared" si="147"/>
        <v>371830144</v>
      </c>
      <c r="AA274" s="7">
        <f t="shared" si="147"/>
        <v>43.959991399999979</v>
      </c>
      <c r="AB274" s="7">
        <f t="shared" si="147"/>
        <v>5.0000191000000083E-2</v>
      </c>
    </row>
    <row r="275" spans="1:28" x14ac:dyDescent="0.25">
      <c r="A275" s="2">
        <v>271</v>
      </c>
      <c r="B275">
        <v>3</v>
      </c>
      <c r="C275">
        <v>2</v>
      </c>
      <c r="D275">
        <v>2</v>
      </c>
      <c r="E275">
        <v>4</v>
      </c>
      <c r="G275">
        <v>1372372096</v>
      </c>
      <c r="H275">
        <v>381.14999390000003</v>
      </c>
      <c r="I275">
        <v>3.1400001049999999</v>
      </c>
      <c r="J275" s="9">
        <f t="shared" si="121"/>
        <v>112220288</v>
      </c>
      <c r="L275" s="9">
        <f t="shared" si="149"/>
        <v>11.970001199999956</v>
      </c>
      <c r="M275" s="9">
        <f t="shared" si="149"/>
        <v>0</v>
      </c>
      <c r="N275" s="29">
        <f t="shared" si="138"/>
        <v>986296928</v>
      </c>
      <c r="O275" s="30">
        <f t="shared" si="139"/>
        <v>0.85155863395665643</v>
      </c>
      <c r="P275" s="30">
        <f t="shared" si="140"/>
        <v>1.7031172679133129</v>
      </c>
      <c r="Q275" s="29">
        <f t="shared" si="141"/>
        <v>241.15998840000003</v>
      </c>
      <c r="R275" s="30">
        <f t="shared" si="142"/>
        <v>0.57423144254394654</v>
      </c>
      <c r="S275" s="30">
        <f t="shared" si="143"/>
        <v>1.1484628850878931</v>
      </c>
      <c r="T275" s="37">
        <f t="shared" si="144"/>
        <v>0.170000076</v>
      </c>
      <c r="U275" s="30">
        <f t="shared" si="145"/>
        <v>1.9079694089794232E-2</v>
      </c>
      <c r="V275" s="38">
        <f t="shared" si="146"/>
        <v>8.0958196690691616E-4</v>
      </c>
      <c r="W275" s="9">
        <f t="shared" si="137"/>
        <v>832237696</v>
      </c>
      <c r="X275" s="12">
        <f t="shared" si="137"/>
        <v>299.02999115</v>
      </c>
      <c r="Y275" s="11">
        <f t="shared" si="137"/>
        <v>0.60000014299999993</v>
      </c>
      <c r="Z275" s="7">
        <f t="shared" si="147"/>
        <v>341155904</v>
      </c>
      <c r="AA275" s="7">
        <f t="shared" si="147"/>
        <v>42.779998800000044</v>
      </c>
      <c r="AB275" s="7">
        <f t="shared" si="147"/>
        <v>5.0000191000000083E-2</v>
      </c>
    </row>
    <row r="276" spans="1:28" x14ac:dyDescent="0.25">
      <c r="A276" s="2">
        <v>272</v>
      </c>
      <c r="B276">
        <v>3</v>
      </c>
      <c r="C276">
        <v>2</v>
      </c>
      <c r="D276">
        <v>2</v>
      </c>
      <c r="E276">
        <v>5</v>
      </c>
      <c r="G276">
        <v>1277373184</v>
      </c>
      <c r="H276">
        <v>365.80999759999997</v>
      </c>
      <c r="I276">
        <v>3.1400001049999999</v>
      </c>
      <c r="J276" s="9">
        <f t="shared" si="121"/>
        <v>94998912</v>
      </c>
      <c r="L276" s="9">
        <f t="shared" si="149"/>
        <v>15.339996300000053</v>
      </c>
      <c r="M276" s="9">
        <f t="shared" si="149"/>
        <v>0</v>
      </c>
      <c r="N276" s="29">
        <f t="shared" si="138"/>
        <v>919677376</v>
      </c>
      <c r="O276" s="30">
        <f t="shared" si="139"/>
        <v>0.85703863024677485</v>
      </c>
      <c r="P276" s="30">
        <f t="shared" si="140"/>
        <v>1.7140772604935497</v>
      </c>
      <c r="Q276" s="29">
        <f t="shared" si="141"/>
        <v>230.33000189999998</v>
      </c>
      <c r="R276" s="30">
        <f t="shared" si="142"/>
        <v>0.5667011347565315</v>
      </c>
      <c r="S276" s="30">
        <f t="shared" si="143"/>
        <v>1.133402269513063</v>
      </c>
      <c r="T276" s="37">
        <f t="shared" si="144"/>
        <v>0.170000076</v>
      </c>
      <c r="U276" s="30">
        <f t="shared" si="145"/>
        <v>1.9079694089794232E-2</v>
      </c>
      <c r="V276" s="38">
        <f t="shared" si="146"/>
        <v>8.3653223794721452E-4</v>
      </c>
      <c r="W276" s="9">
        <f t="shared" si="137"/>
        <v>769636256</v>
      </c>
      <c r="X276" s="12">
        <f t="shared" si="137"/>
        <v>283.75000003999997</v>
      </c>
      <c r="Y276" s="11">
        <f t="shared" si="137"/>
        <v>0.60000014299999993</v>
      </c>
      <c r="Z276" s="7">
        <f t="shared" si="147"/>
        <v>318874560</v>
      </c>
      <c r="AA276" s="7">
        <f t="shared" si="147"/>
        <v>40.709991500000001</v>
      </c>
      <c r="AB276" s="7">
        <f t="shared" si="147"/>
        <v>5.0000191000000083E-2</v>
      </c>
    </row>
    <row r="277" spans="1:28" x14ac:dyDescent="0.25">
      <c r="A277" s="2">
        <v>273</v>
      </c>
      <c r="B277">
        <v>3</v>
      </c>
      <c r="C277">
        <v>2</v>
      </c>
      <c r="D277">
        <v>2</v>
      </c>
      <c r="E277">
        <v>6</v>
      </c>
      <c r="G277">
        <v>1057999040</v>
      </c>
      <c r="H277">
        <v>326.6600037</v>
      </c>
      <c r="I277">
        <v>3.1400001049999999</v>
      </c>
      <c r="J277" s="9">
        <f t="shared" si="121"/>
        <v>219374144</v>
      </c>
      <c r="L277" s="9">
        <f t="shared" si="149"/>
        <v>39.14999389999997</v>
      </c>
      <c r="M277" s="9">
        <f t="shared" si="149"/>
        <v>0</v>
      </c>
      <c r="N277" s="29">
        <f t="shared" si="138"/>
        <v>760636256</v>
      </c>
      <c r="O277" s="30">
        <f t="shared" si="139"/>
        <v>0.85264677461005567</v>
      </c>
      <c r="P277" s="30">
        <f t="shared" si="140"/>
        <v>1.7052935492201113</v>
      </c>
      <c r="Q277" s="29">
        <f t="shared" si="141"/>
        <v>205.17000580000001</v>
      </c>
      <c r="R277" s="30">
        <f t="shared" si="142"/>
        <v>0.56292701551963187</v>
      </c>
      <c r="S277" s="30">
        <f t="shared" si="143"/>
        <v>1.1258540310392637</v>
      </c>
      <c r="T277" s="37">
        <f t="shared" si="144"/>
        <v>0.170000076</v>
      </c>
      <c r="U277" s="30">
        <f t="shared" si="145"/>
        <v>1.9079694089794232E-2</v>
      </c>
      <c r="V277" s="38">
        <f t="shared" si="146"/>
        <v>9.3286184837443299E-4</v>
      </c>
      <c r="W277" s="9">
        <f t="shared" si="137"/>
        <v>626532032</v>
      </c>
      <c r="X277" s="12">
        <f t="shared" si="137"/>
        <v>249.55000309000002</v>
      </c>
      <c r="Y277" s="11">
        <f t="shared" si="137"/>
        <v>0.60000014299999993</v>
      </c>
      <c r="Z277" s="7">
        <f t="shared" si="147"/>
        <v>262082304</v>
      </c>
      <c r="AA277" s="7">
        <f t="shared" si="147"/>
        <v>36.529998799999987</v>
      </c>
      <c r="AB277" s="7">
        <f t="shared" si="147"/>
        <v>5.0000191000000083E-2</v>
      </c>
    </row>
    <row r="278" spans="1:28" x14ac:dyDescent="0.25">
      <c r="A278" s="2">
        <v>274</v>
      </c>
      <c r="B278">
        <v>3</v>
      </c>
      <c r="C278">
        <v>3</v>
      </c>
      <c r="D278">
        <v>0</v>
      </c>
      <c r="E278">
        <v>0</v>
      </c>
      <c r="G278">
        <v>132009232</v>
      </c>
      <c r="H278">
        <v>75.61000061</v>
      </c>
      <c r="I278">
        <v>3.4400000569999998</v>
      </c>
      <c r="N278" s="29">
        <f t="shared" si="138"/>
        <v>1378763376</v>
      </c>
      <c r="O278" s="30">
        <f t="shared" si="139"/>
        <v>0.30420712525918397</v>
      </c>
      <c r="P278" s="30">
        <f t="shared" si="140"/>
        <v>1.0140237508639465</v>
      </c>
      <c r="Q278" s="29">
        <f t="shared" si="141"/>
        <v>283.71998599</v>
      </c>
      <c r="R278" s="30">
        <f t="shared" si="142"/>
        <v>0.26319353293665065</v>
      </c>
      <c r="S278" s="30">
        <f t="shared" si="143"/>
        <v>0.87731177645550207</v>
      </c>
      <c r="T278" s="37">
        <f t="shared" si="144"/>
        <v>0.29999995199999985</v>
      </c>
      <c r="U278" s="30">
        <f t="shared" si="145"/>
        <v>3.1847127597468647E-2</v>
      </c>
      <c r="V278" s="38">
        <f t="shared" si="146"/>
        <v>9.276522762656621E-4</v>
      </c>
      <c r="W278" s="9">
        <f t="shared" si="137"/>
        <v>71720644</v>
      </c>
      <c r="X278" s="12">
        <f t="shared" si="137"/>
        <v>35.799999239999998</v>
      </c>
      <c r="Y278" s="11">
        <f t="shared" si="137"/>
        <v>0.55999994299999978</v>
      </c>
      <c r="Z278" s="7">
        <f t="shared" si="147"/>
        <v>33451008</v>
      </c>
      <c r="AA278" s="7">
        <f t="shared" si="147"/>
        <v>8.3099975599999993</v>
      </c>
      <c r="AB278" s="7">
        <f t="shared" si="147"/>
        <v>9.9999899999998476E-3</v>
      </c>
    </row>
    <row r="279" spans="1:28" x14ac:dyDescent="0.25">
      <c r="A279" s="2">
        <v>275</v>
      </c>
      <c r="B279">
        <v>3</v>
      </c>
      <c r="C279">
        <v>3</v>
      </c>
      <c r="D279">
        <v>0</v>
      </c>
      <c r="E279">
        <v>1</v>
      </c>
      <c r="G279">
        <v>132411608</v>
      </c>
      <c r="H279">
        <v>77.02999878</v>
      </c>
      <c r="I279">
        <v>3.4400000569999998</v>
      </c>
      <c r="J279" s="9">
        <f t="shared" ref="J279" si="150">ABS(G279-G278)</f>
        <v>402376</v>
      </c>
      <c r="L279" s="9">
        <f t="shared" ref="L279:M284" si="151">ABS(H279-H278)</f>
        <v>1.4199981699999995</v>
      </c>
      <c r="M279" s="9">
        <f t="shared" si="151"/>
        <v>0</v>
      </c>
      <c r="N279" s="29">
        <f t="shared" si="138"/>
        <v>1380778408</v>
      </c>
      <c r="O279" s="30">
        <f t="shared" si="139"/>
        <v>0.30416501858107248</v>
      </c>
      <c r="P279" s="30">
        <f t="shared" si="140"/>
        <v>1.0138833952702415</v>
      </c>
      <c r="Q279" s="29">
        <f t="shared" si="141"/>
        <v>299.02999881999995</v>
      </c>
      <c r="R279" s="30">
        <f t="shared" si="142"/>
        <v>0.26505522233012246</v>
      </c>
      <c r="S279" s="30">
        <f t="shared" si="143"/>
        <v>0.88351740776707488</v>
      </c>
      <c r="T279" s="37">
        <f t="shared" si="144"/>
        <v>0.29999995199999985</v>
      </c>
      <c r="U279" s="30">
        <f t="shared" si="145"/>
        <v>3.1847127597468647E-2</v>
      </c>
      <c r="V279" s="38">
        <f t="shared" si="146"/>
        <v>8.8638324237440736E-4</v>
      </c>
      <c r="W279" s="9">
        <f t="shared" si="137"/>
        <v>70555428</v>
      </c>
      <c r="X279" s="12">
        <f t="shared" si="137"/>
        <v>36.11000061</v>
      </c>
      <c r="Y279" s="11">
        <f t="shared" si="137"/>
        <v>0.55999994299999978</v>
      </c>
      <c r="Z279" s="7">
        <f t="shared" si="147"/>
        <v>33399080</v>
      </c>
      <c r="AA279" s="7">
        <f t="shared" si="147"/>
        <v>8.4499969499999992</v>
      </c>
      <c r="AB279" s="7">
        <f t="shared" si="147"/>
        <v>9.9999899999998476E-3</v>
      </c>
    </row>
    <row r="280" spans="1:28" x14ac:dyDescent="0.25">
      <c r="A280" s="2">
        <v>276</v>
      </c>
      <c r="B280">
        <v>3</v>
      </c>
      <c r="C280">
        <v>3</v>
      </c>
      <c r="D280">
        <v>0</v>
      </c>
      <c r="E280">
        <v>2</v>
      </c>
      <c r="G280">
        <v>131957944</v>
      </c>
      <c r="H280">
        <v>75.940002440000001</v>
      </c>
      <c r="I280">
        <v>3.4400000569999998</v>
      </c>
      <c r="J280" s="9">
        <f t="shared" si="124"/>
        <v>453664</v>
      </c>
      <c r="L280" s="9">
        <f t="shared" si="151"/>
        <v>1.089996339999999</v>
      </c>
      <c r="M280" s="9">
        <f t="shared" si="151"/>
        <v>0</v>
      </c>
      <c r="N280" s="29">
        <f t="shared" si="138"/>
        <v>1379205960</v>
      </c>
      <c r="O280" s="30">
        <f t="shared" si="139"/>
        <v>0.30422598024151853</v>
      </c>
      <c r="P280" s="30">
        <f t="shared" si="140"/>
        <v>1.0140866008050617</v>
      </c>
      <c r="Q280" s="29">
        <f t="shared" si="141"/>
        <v>291.89999386</v>
      </c>
      <c r="R280" s="30">
        <f t="shared" si="142"/>
        <v>0.2645171784799013</v>
      </c>
      <c r="S280" s="30">
        <f t="shared" si="143"/>
        <v>0.88172392826633761</v>
      </c>
      <c r="T280" s="37">
        <f t="shared" si="144"/>
        <v>0.29999995199999985</v>
      </c>
      <c r="U280" s="30">
        <f t="shared" si="145"/>
        <v>3.1847127597468647E-2</v>
      </c>
      <c r="V280" s="38">
        <f t="shared" si="146"/>
        <v>9.0619096170320348E-4</v>
      </c>
      <c r="W280" s="9">
        <f t="shared" si="137"/>
        <v>71058812</v>
      </c>
      <c r="X280" s="12">
        <f t="shared" si="137"/>
        <v>35.560001370000002</v>
      </c>
      <c r="Y280" s="11">
        <f t="shared" si="137"/>
        <v>0.55999994299999978</v>
      </c>
      <c r="Z280" s="7">
        <f t="shared" si="147"/>
        <v>33404736</v>
      </c>
      <c r="AA280" s="7">
        <f t="shared" si="147"/>
        <v>8.3400039699999979</v>
      </c>
      <c r="AB280" s="7">
        <f t="shared" si="147"/>
        <v>9.9999899999998476E-3</v>
      </c>
    </row>
    <row r="281" spans="1:28" x14ac:dyDescent="0.25">
      <c r="A281" s="2">
        <v>277</v>
      </c>
      <c r="B281">
        <v>3</v>
      </c>
      <c r="C281">
        <v>3</v>
      </c>
      <c r="D281">
        <v>0</v>
      </c>
      <c r="E281">
        <v>3</v>
      </c>
      <c r="G281">
        <v>129714672</v>
      </c>
      <c r="H281">
        <v>77.290000919999997</v>
      </c>
      <c r="I281">
        <v>3.4400000569999998</v>
      </c>
      <c r="J281" s="9">
        <f t="shared" si="124"/>
        <v>2243272</v>
      </c>
      <c r="L281" s="9">
        <f t="shared" si="151"/>
        <v>1.3499984799999964</v>
      </c>
      <c r="M281" s="9">
        <f t="shared" si="151"/>
        <v>0</v>
      </c>
      <c r="N281" s="29">
        <f t="shared" si="138"/>
        <v>1354877712</v>
      </c>
      <c r="O281" s="30">
        <f t="shared" si="139"/>
        <v>0.30420868978403703</v>
      </c>
      <c r="P281" s="30">
        <f t="shared" si="140"/>
        <v>1.01402896594679</v>
      </c>
      <c r="Q281" s="29">
        <f t="shared" si="141"/>
        <v>315.82999417999997</v>
      </c>
      <c r="R281" s="30">
        <f t="shared" si="142"/>
        <v>0.26779778703417739</v>
      </c>
      <c r="S281" s="30">
        <f t="shared" si="143"/>
        <v>0.89265929011392464</v>
      </c>
      <c r="T281" s="37">
        <f t="shared" si="144"/>
        <v>0.29999995199999985</v>
      </c>
      <c r="U281" s="30">
        <f t="shared" si="145"/>
        <v>3.1847127597468647E-2</v>
      </c>
      <c r="V281" s="38">
        <f t="shared" si="146"/>
        <v>8.4791738948614939E-4</v>
      </c>
      <c r="W281" s="9">
        <f t="shared" si="137"/>
        <v>67459708</v>
      </c>
      <c r="X281" s="12">
        <f t="shared" si="137"/>
        <v>35.36000061</v>
      </c>
      <c r="Y281" s="11">
        <f t="shared" si="137"/>
        <v>0.55999994299999978</v>
      </c>
      <c r="Z281" s="7">
        <f t="shared" si="147"/>
        <v>32629936</v>
      </c>
      <c r="AA281" s="7">
        <f t="shared" si="147"/>
        <v>8.5200042799999949</v>
      </c>
      <c r="AB281" s="7">
        <f t="shared" si="147"/>
        <v>9.9999899999998476E-3</v>
      </c>
    </row>
    <row r="282" spans="1:28" x14ac:dyDescent="0.25">
      <c r="A282" s="2">
        <v>278</v>
      </c>
      <c r="B282">
        <v>3</v>
      </c>
      <c r="C282">
        <v>3</v>
      </c>
      <c r="D282">
        <v>0</v>
      </c>
      <c r="E282">
        <v>4</v>
      </c>
      <c r="G282">
        <v>119283904</v>
      </c>
      <c r="H282">
        <v>74.790000919999997</v>
      </c>
      <c r="I282">
        <v>3.4400000569999998</v>
      </c>
      <c r="J282" s="9">
        <f t="shared" si="124"/>
        <v>10430768</v>
      </c>
      <c r="L282" s="9">
        <f t="shared" si="151"/>
        <v>2.5</v>
      </c>
      <c r="M282" s="9">
        <f t="shared" si="151"/>
        <v>0</v>
      </c>
      <c r="N282" s="29">
        <f t="shared" si="138"/>
        <v>1253088192</v>
      </c>
      <c r="O282" s="30">
        <f t="shared" si="139"/>
        <v>0.3043606505971978</v>
      </c>
      <c r="P282" s="30">
        <f t="shared" si="140"/>
        <v>1.0145355019906594</v>
      </c>
      <c r="Q282" s="29">
        <f t="shared" si="141"/>
        <v>306.35999298000002</v>
      </c>
      <c r="R282" s="30">
        <f t="shared" si="142"/>
        <v>0.26792601152918449</v>
      </c>
      <c r="S282" s="30">
        <f t="shared" si="143"/>
        <v>0.89308670509728161</v>
      </c>
      <c r="T282" s="37">
        <f t="shared" si="144"/>
        <v>0.29999995199999985</v>
      </c>
      <c r="U282" s="30">
        <f t="shared" si="145"/>
        <v>3.1847127597468647E-2</v>
      </c>
      <c r="V282" s="38">
        <f t="shared" si="146"/>
        <v>8.7454620316078087E-4</v>
      </c>
      <c r="W282" s="9">
        <f t="shared" ref="W282:Y297" si="152">ABS(G282-G261)</f>
        <v>61383576</v>
      </c>
      <c r="X282" s="12">
        <f t="shared" si="152"/>
        <v>34.080001839999994</v>
      </c>
      <c r="Y282" s="11">
        <f t="shared" si="152"/>
        <v>0.55999994299999978</v>
      </c>
      <c r="Z282" s="7">
        <f t="shared" si="147"/>
        <v>30097648</v>
      </c>
      <c r="AA282" s="7">
        <f t="shared" si="147"/>
        <v>8.3199996999999968</v>
      </c>
      <c r="AB282" s="7">
        <f t="shared" si="147"/>
        <v>9.9999899999998476E-3</v>
      </c>
    </row>
    <row r="283" spans="1:28" x14ac:dyDescent="0.25">
      <c r="A283" s="2">
        <v>279</v>
      </c>
      <c r="B283">
        <v>3</v>
      </c>
      <c r="C283">
        <v>3</v>
      </c>
      <c r="D283">
        <v>0</v>
      </c>
      <c r="E283">
        <v>5</v>
      </c>
      <c r="G283">
        <v>108953520</v>
      </c>
      <c r="H283">
        <v>69.339996339999999</v>
      </c>
      <c r="I283">
        <v>3.4400000569999998</v>
      </c>
      <c r="J283" s="9">
        <f t="shared" si="124"/>
        <v>10330384</v>
      </c>
      <c r="L283" s="9">
        <f t="shared" si="151"/>
        <v>5.4500045799999981</v>
      </c>
      <c r="M283" s="9">
        <f t="shared" si="151"/>
        <v>0</v>
      </c>
      <c r="N283" s="29">
        <f t="shared" si="138"/>
        <v>1168419664</v>
      </c>
      <c r="O283" s="30">
        <f t="shared" si="139"/>
        <v>0.30490167338077873</v>
      </c>
      <c r="P283" s="30">
        <f t="shared" si="140"/>
        <v>1.0163389112692622</v>
      </c>
      <c r="Q283" s="29">
        <f t="shared" si="141"/>
        <v>296.47000126</v>
      </c>
      <c r="R283" s="30">
        <f t="shared" si="142"/>
        <v>0.27014935185394545</v>
      </c>
      <c r="S283" s="30">
        <f t="shared" si="143"/>
        <v>0.90049783951315154</v>
      </c>
      <c r="T283" s="37">
        <f t="shared" si="144"/>
        <v>0.29999995199999985</v>
      </c>
      <c r="U283" s="30">
        <f t="shared" si="145"/>
        <v>3.1847127597468647E-2</v>
      </c>
      <c r="V283" s="38">
        <f t="shared" si="146"/>
        <v>9.1121971019635095E-4</v>
      </c>
      <c r="W283" s="9">
        <f t="shared" si="152"/>
        <v>56396680</v>
      </c>
      <c r="X283" s="12">
        <f t="shared" si="152"/>
        <v>30.139995579999997</v>
      </c>
      <c r="Y283" s="11">
        <f t="shared" si="152"/>
        <v>0.55999994299999978</v>
      </c>
      <c r="Z283" s="7">
        <f t="shared" si="147"/>
        <v>27993760</v>
      </c>
      <c r="AA283" s="7">
        <f t="shared" si="147"/>
        <v>7.8299980199999979</v>
      </c>
      <c r="AB283" s="7">
        <f t="shared" si="147"/>
        <v>9.9999899999998476E-3</v>
      </c>
    </row>
    <row r="284" spans="1:28" x14ac:dyDescent="0.25">
      <c r="A284" s="2">
        <v>280</v>
      </c>
      <c r="B284">
        <v>3</v>
      </c>
      <c r="C284">
        <v>3</v>
      </c>
      <c r="D284">
        <v>0</v>
      </c>
      <c r="E284">
        <v>6</v>
      </c>
      <c r="G284">
        <v>87375104</v>
      </c>
      <c r="H284">
        <v>61.259998320000001</v>
      </c>
      <c r="I284">
        <v>3.4400000569999998</v>
      </c>
      <c r="J284" s="9">
        <f t="shared" si="124"/>
        <v>21578416</v>
      </c>
      <c r="L284" s="9">
        <f t="shared" si="151"/>
        <v>8.0799980199999979</v>
      </c>
      <c r="M284" s="9">
        <f t="shared" si="151"/>
        <v>0</v>
      </c>
      <c r="N284" s="29">
        <f t="shared" si="138"/>
        <v>970623936</v>
      </c>
      <c r="O284" s="30">
        <f t="shared" si="139"/>
        <v>0.30580492020106181</v>
      </c>
      <c r="P284" s="30">
        <f t="shared" si="140"/>
        <v>1.0193497340035393</v>
      </c>
      <c r="Q284" s="29">
        <f t="shared" si="141"/>
        <v>265.40000537999998</v>
      </c>
      <c r="R284" s="30">
        <f t="shared" si="142"/>
        <v>0.27082185592958774</v>
      </c>
      <c r="S284" s="30">
        <f t="shared" si="143"/>
        <v>0.90273951976529243</v>
      </c>
      <c r="T284" s="37">
        <f t="shared" si="144"/>
        <v>0.29999995199999985</v>
      </c>
      <c r="U284" s="30">
        <f t="shared" si="145"/>
        <v>3.1847127597468647E-2</v>
      </c>
      <c r="V284" s="38">
        <f t="shared" si="146"/>
        <v>1.0204288135199082E-3</v>
      </c>
      <c r="W284" s="9">
        <f t="shared" si="152"/>
        <v>45441568</v>
      </c>
      <c r="X284" s="12">
        <f t="shared" si="152"/>
        <v>25.849998470000003</v>
      </c>
      <c r="Y284" s="11">
        <f t="shared" si="152"/>
        <v>0.55999994299999978</v>
      </c>
      <c r="Z284" s="7">
        <f t="shared" si="147"/>
        <v>23063508</v>
      </c>
      <c r="AA284" s="7">
        <f t="shared" si="147"/>
        <v>7.1899986299999981</v>
      </c>
      <c r="AB284" s="7">
        <f t="shared" si="147"/>
        <v>9.9999899999998476E-3</v>
      </c>
    </row>
    <row r="285" spans="1:28" x14ac:dyDescent="0.25">
      <c r="A285" s="2">
        <v>281</v>
      </c>
      <c r="B285">
        <v>3</v>
      </c>
      <c r="C285">
        <v>3</v>
      </c>
      <c r="D285">
        <v>1</v>
      </c>
      <c r="E285">
        <v>0</v>
      </c>
      <c r="G285">
        <v>702602240</v>
      </c>
      <c r="H285">
        <v>317.14999390000003</v>
      </c>
      <c r="I285">
        <v>3.579999924</v>
      </c>
      <c r="N285" s="29">
        <f t="shared" si="138"/>
        <v>570593008</v>
      </c>
      <c r="O285" s="30">
        <f t="shared" si="139"/>
        <v>1.4407906663174386</v>
      </c>
      <c r="P285" s="30">
        <f t="shared" si="140"/>
        <v>1.4407906663174386</v>
      </c>
      <c r="Q285" s="29">
        <f t="shared" si="141"/>
        <v>241.53999329000004</v>
      </c>
      <c r="R285" s="30">
        <f t="shared" si="142"/>
        <v>1.0648502902672663</v>
      </c>
      <c r="S285" s="30">
        <f t="shared" si="143"/>
        <v>1.0648502902672663</v>
      </c>
      <c r="T285" s="37">
        <f t="shared" si="144"/>
        <v>0.13999986700000022</v>
      </c>
      <c r="U285" s="30">
        <f t="shared" si="145"/>
        <v>1.3565878360487891E-2</v>
      </c>
      <c r="V285" s="38">
        <f t="shared" si="146"/>
        <v>6.1720171877847321E-4</v>
      </c>
      <c r="W285" s="9">
        <f t="shared" si="152"/>
        <v>290050016</v>
      </c>
      <c r="X285" s="12">
        <f t="shared" si="152"/>
        <v>184.55999760000003</v>
      </c>
      <c r="Y285" s="11">
        <f t="shared" si="152"/>
        <v>0.60999989500000007</v>
      </c>
      <c r="Z285" s="7">
        <f t="shared" si="147"/>
        <v>158443968</v>
      </c>
      <c r="AA285" s="7">
        <f t="shared" si="147"/>
        <v>35.410003700000004</v>
      </c>
      <c r="AB285" s="7">
        <f t="shared" si="147"/>
        <v>9.9999909999999304E-3</v>
      </c>
    </row>
    <row r="286" spans="1:28" x14ac:dyDescent="0.25">
      <c r="A286" s="2">
        <v>282</v>
      </c>
      <c r="B286">
        <v>3</v>
      </c>
      <c r="C286">
        <v>3</v>
      </c>
      <c r="D286">
        <v>1</v>
      </c>
      <c r="E286">
        <v>1</v>
      </c>
      <c r="G286">
        <v>701162496</v>
      </c>
      <c r="H286">
        <v>323.4100037</v>
      </c>
      <c r="I286">
        <v>3.579999924</v>
      </c>
      <c r="J286" s="9">
        <f t="shared" ref="J286" si="153">ABS(G286-G285)</f>
        <v>1439744</v>
      </c>
      <c r="L286" s="9">
        <f t="shared" ref="L286:M291" si="154">ABS(H286-H285)</f>
        <v>6.2600097999999775</v>
      </c>
      <c r="M286" s="9">
        <f t="shared" si="154"/>
        <v>0</v>
      </c>
      <c r="N286" s="29">
        <f t="shared" si="138"/>
        <v>568750888</v>
      </c>
      <c r="O286" s="30">
        <f t="shared" si="139"/>
        <v>1.4317749946313871</v>
      </c>
      <c r="P286" s="30">
        <f t="shared" si="140"/>
        <v>1.4317749946313871</v>
      </c>
      <c r="Q286" s="29">
        <f t="shared" si="141"/>
        <v>246.38000492</v>
      </c>
      <c r="R286" s="30">
        <f t="shared" si="142"/>
        <v>1.0661647359131201</v>
      </c>
      <c r="S286" s="30">
        <f t="shared" si="143"/>
        <v>1.0661647359131201</v>
      </c>
      <c r="T286" s="37">
        <f t="shared" si="144"/>
        <v>0.13999986700000022</v>
      </c>
      <c r="U286" s="30">
        <f t="shared" si="145"/>
        <v>1.3565878360487891E-2</v>
      </c>
      <c r="V286" s="38">
        <f t="shared" si="146"/>
        <v>6.0582400457534328E-4</v>
      </c>
      <c r="W286" s="9">
        <f t="shared" si="152"/>
        <v>284181184</v>
      </c>
      <c r="X286" s="12">
        <f t="shared" si="152"/>
        <v>184.9900055</v>
      </c>
      <c r="Y286" s="11">
        <f t="shared" si="152"/>
        <v>0.60999989500000007</v>
      </c>
      <c r="Z286" s="7">
        <f t="shared" ref="Z286:AB301" si="155">ABS(G286-G181)</f>
        <v>157653824</v>
      </c>
      <c r="AA286" s="7">
        <f t="shared" si="155"/>
        <v>35.920013499999982</v>
      </c>
      <c r="AB286" s="7">
        <f t="shared" si="155"/>
        <v>9.9999909999999304E-3</v>
      </c>
    </row>
    <row r="287" spans="1:28" x14ac:dyDescent="0.25">
      <c r="A287" s="2">
        <v>283</v>
      </c>
      <c r="B287">
        <v>3</v>
      </c>
      <c r="C287">
        <v>3</v>
      </c>
      <c r="D287">
        <v>1</v>
      </c>
      <c r="E287">
        <v>2</v>
      </c>
      <c r="G287">
        <v>701496832</v>
      </c>
      <c r="H287">
        <v>318.23999020000002</v>
      </c>
      <c r="I287">
        <v>3.579999924</v>
      </c>
      <c r="J287" s="9">
        <f t="shared" si="121"/>
        <v>334336</v>
      </c>
      <c r="L287" s="9">
        <f t="shared" si="154"/>
        <v>5.1700134999999818</v>
      </c>
      <c r="M287" s="9">
        <f t="shared" si="154"/>
        <v>0</v>
      </c>
      <c r="N287" s="29">
        <f t="shared" si="138"/>
        <v>569538888</v>
      </c>
      <c r="O287" s="30">
        <f t="shared" si="139"/>
        <v>1.4386878898325364</v>
      </c>
      <c r="P287" s="30">
        <f t="shared" si="140"/>
        <v>1.4386878898325364</v>
      </c>
      <c r="Q287" s="29">
        <f t="shared" si="141"/>
        <v>242.29998776000002</v>
      </c>
      <c r="R287" s="30">
        <f t="shared" si="142"/>
        <v>1.0635588621488419</v>
      </c>
      <c r="S287" s="30">
        <f t="shared" si="143"/>
        <v>1.0635588621488419</v>
      </c>
      <c r="T287" s="37">
        <f t="shared" si="144"/>
        <v>0.13999986700000022</v>
      </c>
      <c r="U287" s="30">
        <f t="shared" si="145"/>
        <v>1.3565878360487891E-2</v>
      </c>
      <c r="V287" s="38">
        <f t="shared" si="146"/>
        <v>6.1451963173433639E-4</v>
      </c>
      <c r="W287" s="9">
        <f t="shared" si="152"/>
        <v>287365888</v>
      </c>
      <c r="X287" s="12">
        <f t="shared" si="152"/>
        <v>182.45999140000004</v>
      </c>
      <c r="Y287" s="11">
        <f t="shared" si="152"/>
        <v>0.60999989500000007</v>
      </c>
      <c r="Z287" s="7">
        <f t="shared" si="155"/>
        <v>158100288</v>
      </c>
      <c r="AA287" s="7">
        <f t="shared" si="155"/>
        <v>35.459991400000035</v>
      </c>
      <c r="AB287" s="7">
        <f t="shared" si="155"/>
        <v>9.9999909999999304E-3</v>
      </c>
    </row>
    <row r="288" spans="1:28" x14ac:dyDescent="0.25">
      <c r="A288" s="2">
        <v>284</v>
      </c>
      <c r="B288">
        <v>3</v>
      </c>
      <c r="C288">
        <v>3</v>
      </c>
      <c r="D288">
        <v>1</v>
      </c>
      <c r="E288">
        <v>3</v>
      </c>
      <c r="G288">
        <v>684662464</v>
      </c>
      <c r="H288">
        <v>323.23999020000002</v>
      </c>
      <c r="I288">
        <v>3.579999924</v>
      </c>
      <c r="J288" s="9">
        <f t="shared" si="121"/>
        <v>16834368</v>
      </c>
      <c r="L288" s="9">
        <f t="shared" si="154"/>
        <v>5</v>
      </c>
      <c r="M288" s="9">
        <f t="shared" si="154"/>
        <v>0</v>
      </c>
      <c r="N288" s="29">
        <f t="shared" si="138"/>
        <v>554947792</v>
      </c>
      <c r="O288" s="30">
        <f t="shared" si="139"/>
        <v>1.4260730454094919</v>
      </c>
      <c r="P288" s="30">
        <f t="shared" si="140"/>
        <v>1.4260730454094919</v>
      </c>
      <c r="Q288" s="29">
        <f t="shared" si="141"/>
        <v>245.94998928000001</v>
      </c>
      <c r="R288" s="30">
        <f t="shared" si="142"/>
        <v>1.0607236225143521</v>
      </c>
      <c r="S288" s="30">
        <f t="shared" si="143"/>
        <v>1.0607236225143521</v>
      </c>
      <c r="T288" s="37">
        <f t="shared" si="144"/>
        <v>0.13999986700000022</v>
      </c>
      <c r="U288" s="30">
        <f t="shared" si="145"/>
        <v>1.3565878360487891E-2</v>
      </c>
      <c r="V288" s="38">
        <f t="shared" si="146"/>
        <v>6.0378602377862938E-4</v>
      </c>
      <c r="W288" s="9">
        <f t="shared" si="152"/>
        <v>270875232</v>
      </c>
      <c r="X288" s="12">
        <f t="shared" si="152"/>
        <v>178.59999080000003</v>
      </c>
      <c r="Y288" s="11">
        <f t="shared" si="152"/>
        <v>0.60999989500000007</v>
      </c>
      <c r="Z288" s="7">
        <f t="shared" si="155"/>
        <v>153363584</v>
      </c>
      <c r="AA288" s="7">
        <f t="shared" si="155"/>
        <v>35.709991400000035</v>
      </c>
      <c r="AB288" s="7">
        <f t="shared" si="155"/>
        <v>9.9999909999999304E-3</v>
      </c>
    </row>
    <row r="289" spans="1:28" x14ac:dyDescent="0.25">
      <c r="A289" s="2">
        <v>285</v>
      </c>
      <c r="B289">
        <v>3</v>
      </c>
      <c r="C289">
        <v>3</v>
      </c>
      <c r="D289">
        <v>1</v>
      </c>
      <c r="E289">
        <v>4</v>
      </c>
      <c r="G289">
        <v>630130112</v>
      </c>
      <c r="H289">
        <v>311.92001340000002</v>
      </c>
      <c r="I289">
        <v>3.579999924</v>
      </c>
      <c r="J289" s="9">
        <f t="shared" si="121"/>
        <v>54532352</v>
      </c>
      <c r="L289" s="9">
        <f t="shared" si="154"/>
        <v>11.319976800000006</v>
      </c>
      <c r="M289" s="9">
        <f t="shared" si="154"/>
        <v>0</v>
      </c>
      <c r="N289" s="29">
        <f t="shared" si="138"/>
        <v>510846208</v>
      </c>
      <c r="O289" s="30">
        <f t="shared" si="139"/>
        <v>1.4275360180476095</v>
      </c>
      <c r="P289" s="30">
        <f t="shared" si="140"/>
        <v>1.4275360180476095</v>
      </c>
      <c r="Q289" s="29">
        <f t="shared" si="141"/>
        <v>237.13001248</v>
      </c>
      <c r="R289" s="30">
        <f t="shared" si="142"/>
        <v>1.0568703907074821</v>
      </c>
      <c r="S289" s="30">
        <f t="shared" si="143"/>
        <v>1.0568703907074821</v>
      </c>
      <c r="T289" s="37">
        <f t="shared" si="144"/>
        <v>0.13999986700000022</v>
      </c>
      <c r="U289" s="30">
        <f t="shared" si="145"/>
        <v>1.3565878360487891E-2</v>
      </c>
      <c r="V289" s="38">
        <f t="shared" si="146"/>
        <v>6.2396873591766516E-4</v>
      </c>
      <c r="W289" s="9">
        <f t="shared" si="152"/>
        <v>244054944</v>
      </c>
      <c r="X289" s="12">
        <f t="shared" si="152"/>
        <v>171.93000790000002</v>
      </c>
      <c r="Y289" s="11">
        <f t="shared" si="152"/>
        <v>0.60999989500000007</v>
      </c>
      <c r="Z289" s="7">
        <f t="shared" si="155"/>
        <v>140496832</v>
      </c>
      <c r="AA289" s="7">
        <f t="shared" si="155"/>
        <v>34.420013400000016</v>
      </c>
      <c r="AB289" s="7">
        <f t="shared" si="155"/>
        <v>9.9999909999999304E-3</v>
      </c>
    </row>
    <row r="290" spans="1:28" x14ac:dyDescent="0.25">
      <c r="A290" s="2">
        <v>286</v>
      </c>
      <c r="B290">
        <v>3</v>
      </c>
      <c r="C290">
        <v>3</v>
      </c>
      <c r="D290">
        <v>1</v>
      </c>
      <c r="E290">
        <v>5</v>
      </c>
      <c r="G290">
        <v>583954688</v>
      </c>
      <c r="H290">
        <v>282.82000729999999</v>
      </c>
      <c r="I290">
        <v>3.579999924</v>
      </c>
      <c r="J290" s="9">
        <f t="shared" si="121"/>
        <v>46175424</v>
      </c>
      <c r="L290" s="9">
        <f t="shared" si="154"/>
        <v>29.10000610000003</v>
      </c>
      <c r="M290" s="9">
        <f t="shared" si="154"/>
        <v>0</v>
      </c>
      <c r="N290" s="29">
        <f t="shared" si="138"/>
        <v>475001168</v>
      </c>
      <c r="O290" s="30">
        <f t="shared" si="139"/>
        <v>1.4532226463786271</v>
      </c>
      <c r="P290" s="30">
        <f t="shared" si="140"/>
        <v>1.4532226463786271</v>
      </c>
      <c r="Q290" s="29">
        <f t="shared" si="141"/>
        <v>213.48001095999999</v>
      </c>
      <c r="R290" s="30">
        <f t="shared" si="142"/>
        <v>1.0262475830602751</v>
      </c>
      <c r="S290" s="30">
        <f t="shared" si="143"/>
        <v>1.0262475830602751</v>
      </c>
      <c r="T290" s="37">
        <f t="shared" si="144"/>
        <v>0.13999986700000022</v>
      </c>
      <c r="U290" s="30">
        <f t="shared" si="145"/>
        <v>1.3565878360487891E-2</v>
      </c>
      <c r="V290" s="38">
        <f t="shared" si="146"/>
        <v>6.7301160652662086E-4</v>
      </c>
      <c r="W290" s="9">
        <f t="shared" si="152"/>
        <v>226258880</v>
      </c>
      <c r="X290" s="12">
        <f t="shared" si="152"/>
        <v>147.3400116</v>
      </c>
      <c r="Y290" s="11">
        <f t="shared" si="152"/>
        <v>0.60999989500000007</v>
      </c>
      <c r="Z290" s="7">
        <f t="shared" si="155"/>
        <v>131193952</v>
      </c>
      <c r="AA290" s="7">
        <f t="shared" si="155"/>
        <v>31.120010399999984</v>
      </c>
      <c r="AB290" s="7">
        <f t="shared" si="155"/>
        <v>9.9999909999999304E-3</v>
      </c>
    </row>
    <row r="291" spans="1:28" x14ac:dyDescent="0.25">
      <c r="A291" s="2">
        <v>287</v>
      </c>
      <c r="B291">
        <v>3</v>
      </c>
      <c r="C291">
        <v>3</v>
      </c>
      <c r="D291">
        <v>1</v>
      </c>
      <c r="E291">
        <v>6</v>
      </c>
      <c r="G291">
        <v>478390944</v>
      </c>
      <c r="H291">
        <v>244.67999270000001</v>
      </c>
      <c r="I291">
        <v>3.579999924</v>
      </c>
      <c r="J291" s="9">
        <f t="shared" si="121"/>
        <v>105563744</v>
      </c>
      <c r="L291" s="9">
        <f t="shared" si="154"/>
        <v>38.140014599999972</v>
      </c>
      <c r="M291" s="9">
        <f t="shared" si="154"/>
        <v>0</v>
      </c>
      <c r="N291" s="29">
        <f t="shared" si="138"/>
        <v>391015840</v>
      </c>
      <c r="O291" s="30">
        <f t="shared" si="139"/>
        <v>1.4917133985137612</v>
      </c>
      <c r="P291" s="30">
        <f t="shared" si="140"/>
        <v>1.4917133985137612</v>
      </c>
      <c r="Q291" s="29">
        <f t="shared" si="141"/>
        <v>183.41999438000002</v>
      </c>
      <c r="R291" s="30">
        <f t="shared" si="142"/>
        <v>0.99804113293137087</v>
      </c>
      <c r="S291" s="30">
        <f t="shared" si="143"/>
        <v>0.99804113293137087</v>
      </c>
      <c r="T291" s="37">
        <f t="shared" si="144"/>
        <v>0.13999986700000022</v>
      </c>
      <c r="U291" s="30">
        <f t="shared" si="145"/>
        <v>1.3565878360487891E-2</v>
      </c>
      <c r="V291" s="38">
        <f t="shared" si="146"/>
        <v>7.6177968679600524E-4</v>
      </c>
      <c r="W291" s="9">
        <f t="shared" si="152"/>
        <v>181028160</v>
      </c>
      <c r="X291" s="12">
        <f t="shared" si="152"/>
        <v>123.18999480000001</v>
      </c>
      <c r="Y291" s="11">
        <f t="shared" si="152"/>
        <v>0.60999989500000007</v>
      </c>
      <c r="Z291" s="7">
        <f t="shared" si="155"/>
        <v>107620800</v>
      </c>
      <c r="AA291" s="7">
        <f t="shared" si="155"/>
        <v>26.869995100000011</v>
      </c>
      <c r="AB291" s="7">
        <f t="shared" si="155"/>
        <v>9.9999909999999304E-3</v>
      </c>
    </row>
    <row r="292" spans="1:28" x14ac:dyDescent="0.25">
      <c r="A292" s="2">
        <v>288</v>
      </c>
      <c r="B292">
        <v>3</v>
      </c>
      <c r="C292">
        <v>3</v>
      </c>
      <c r="D292">
        <v>2</v>
      </c>
      <c r="E292">
        <v>0</v>
      </c>
      <c r="G292">
        <v>2066699264</v>
      </c>
      <c r="H292">
        <v>-9999.9902340000008</v>
      </c>
      <c r="I292">
        <v>3.880000114</v>
      </c>
      <c r="N292" s="29">
        <f t="shared" si="138"/>
        <v>1364097024</v>
      </c>
      <c r="O292" s="30">
        <f t="shared" si="139"/>
        <v>0.64716418780560681</v>
      </c>
      <c r="P292" s="30">
        <f t="shared" si="140"/>
        <v>1.2943283756112136</v>
      </c>
      <c r="Q292" s="29">
        <f t="shared" si="141"/>
        <v>10317.140227900001</v>
      </c>
      <c r="R292" s="30">
        <f t="shared" si="142"/>
        <v>10.843597063784566</v>
      </c>
      <c r="S292" s="30">
        <f t="shared" si="143"/>
        <v>21.687194127569132</v>
      </c>
      <c r="T292" s="37">
        <f t="shared" si="144"/>
        <v>0.30000019</v>
      </c>
      <c r="U292" s="30">
        <f t="shared" si="145"/>
        <v>2.7932979177720599E-2</v>
      </c>
      <c r="V292" s="38">
        <f t="shared" si="146"/>
        <v>6.3061683907750081E-4</v>
      </c>
      <c r="W292" s="9">
        <f t="shared" si="152"/>
        <v>555926656</v>
      </c>
      <c r="X292" s="12">
        <f t="shared" si="152"/>
        <v>10359.320220600001</v>
      </c>
      <c r="Y292" s="11">
        <f t="shared" si="152"/>
        <v>0.74000000900000007</v>
      </c>
      <c r="Z292" s="7">
        <f t="shared" si="155"/>
        <v>427504000</v>
      </c>
      <c r="AA292" s="7">
        <f t="shared" si="155"/>
        <v>0</v>
      </c>
      <c r="AB292" s="7">
        <f t="shared" si="155"/>
        <v>6.000018099999993E-2</v>
      </c>
    </row>
    <row r="293" spans="1:28" x14ac:dyDescent="0.25">
      <c r="A293" s="2">
        <v>289</v>
      </c>
      <c r="B293">
        <v>3</v>
      </c>
      <c r="C293">
        <v>3</v>
      </c>
      <c r="D293">
        <v>2</v>
      </c>
      <c r="E293">
        <v>1</v>
      </c>
      <c r="G293">
        <v>2055135744</v>
      </c>
      <c r="H293">
        <v>-9999.9902340000008</v>
      </c>
      <c r="I293">
        <v>3.880000114</v>
      </c>
      <c r="J293" s="9">
        <f t="shared" ref="J293" si="156">ABS(G293-G292)</f>
        <v>11563520</v>
      </c>
      <c r="L293" s="9">
        <f t="shared" ref="L293:M298" si="157">ABS(H293-H292)</f>
        <v>0</v>
      </c>
      <c r="M293" s="9">
        <f t="shared" si="157"/>
        <v>0</v>
      </c>
      <c r="N293" s="29">
        <f t="shared" si="138"/>
        <v>1353973248</v>
      </c>
      <c r="O293" s="30">
        <f t="shared" si="139"/>
        <v>0.64368020048807628</v>
      </c>
      <c r="P293" s="30">
        <f t="shared" si="140"/>
        <v>1.2873604009761526</v>
      </c>
      <c r="Q293" s="29">
        <f t="shared" si="141"/>
        <v>10323.400237700002</v>
      </c>
      <c r="R293" s="30">
        <f t="shared" si="142"/>
        <v>10.640157611694393</v>
      </c>
      <c r="S293" s="30">
        <f t="shared" si="143"/>
        <v>21.280315223388786</v>
      </c>
      <c r="T293" s="37">
        <f t="shared" si="144"/>
        <v>0.30000019</v>
      </c>
      <c r="U293" s="30">
        <f t="shared" si="145"/>
        <v>2.7932979177720599E-2</v>
      </c>
      <c r="V293" s="38">
        <f t="shared" si="146"/>
        <v>6.1841045230063381E-4</v>
      </c>
      <c r="W293" s="9">
        <f t="shared" si="152"/>
        <v>541945728</v>
      </c>
      <c r="X293" s="12">
        <f t="shared" si="152"/>
        <v>10376.0502316</v>
      </c>
      <c r="Y293" s="11">
        <f t="shared" si="152"/>
        <v>0.74000000900000007</v>
      </c>
      <c r="Z293" s="7">
        <f t="shared" si="155"/>
        <v>424138752</v>
      </c>
      <c r="AA293" s="7">
        <f t="shared" si="155"/>
        <v>0</v>
      </c>
      <c r="AB293" s="7">
        <f t="shared" si="155"/>
        <v>6.000018099999993E-2</v>
      </c>
    </row>
    <row r="294" spans="1:28" x14ac:dyDescent="0.25">
      <c r="A294" s="2">
        <v>290</v>
      </c>
      <c r="B294">
        <v>3</v>
      </c>
      <c r="C294">
        <v>3</v>
      </c>
      <c r="D294">
        <v>2</v>
      </c>
      <c r="E294">
        <v>2</v>
      </c>
      <c r="G294">
        <v>2062000384</v>
      </c>
      <c r="H294">
        <v>-9999.9902340000008</v>
      </c>
      <c r="I294">
        <v>3.880000114</v>
      </c>
      <c r="J294" s="9">
        <f t="shared" si="124"/>
        <v>6864640</v>
      </c>
      <c r="L294" s="9">
        <f t="shared" si="157"/>
        <v>0</v>
      </c>
      <c r="M294" s="9">
        <f t="shared" si="157"/>
        <v>0</v>
      </c>
      <c r="N294" s="29">
        <f t="shared" si="138"/>
        <v>1360503552</v>
      </c>
      <c r="O294" s="30">
        <f t="shared" si="139"/>
        <v>0.64647645336764692</v>
      </c>
      <c r="P294" s="30">
        <f t="shared" si="140"/>
        <v>1.2929529067352938</v>
      </c>
      <c r="Q294" s="29">
        <f t="shared" si="141"/>
        <v>10318.230224200001</v>
      </c>
      <c r="R294" s="30">
        <f t="shared" si="142"/>
        <v>10.807598606862115</v>
      </c>
      <c r="S294" s="30">
        <f t="shared" si="143"/>
        <v>21.61519721372423</v>
      </c>
      <c r="T294" s="37">
        <f t="shared" si="144"/>
        <v>0.30000019</v>
      </c>
      <c r="U294" s="30">
        <f t="shared" si="145"/>
        <v>2.7932979177720599E-2</v>
      </c>
      <c r="V294" s="38">
        <f t="shared" si="146"/>
        <v>6.2845692818484333E-4</v>
      </c>
      <c r="W294" s="9">
        <f t="shared" si="152"/>
        <v>550836480</v>
      </c>
      <c r="X294" s="12">
        <f t="shared" si="152"/>
        <v>10367.8302303</v>
      </c>
      <c r="Y294" s="11">
        <f t="shared" si="152"/>
        <v>0.74000000900000007</v>
      </c>
      <c r="Z294" s="7">
        <f t="shared" si="155"/>
        <v>426279808</v>
      </c>
      <c r="AA294" s="7">
        <f t="shared" si="155"/>
        <v>0</v>
      </c>
      <c r="AB294" s="7">
        <f t="shared" si="155"/>
        <v>6.000018099999993E-2</v>
      </c>
    </row>
    <row r="295" spans="1:28" x14ac:dyDescent="0.25">
      <c r="A295" s="2">
        <v>291</v>
      </c>
      <c r="B295">
        <v>3</v>
      </c>
      <c r="C295">
        <v>3</v>
      </c>
      <c r="D295">
        <v>2</v>
      </c>
      <c r="E295">
        <v>3</v>
      </c>
      <c r="G295">
        <v>2000547328</v>
      </c>
      <c r="H295">
        <v>-9999.9902340000008</v>
      </c>
      <c r="I295">
        <v>3.880000114</v>
      </c>
      <c r="J295" s="9">
        <f t="shared" si="124"/>
        <v>61453056</v>
      </c>
      <c r="L295" s="9">
        <f t="shared" si="157"/>
        <v>0</v>
      </c>
      <c r="M295" s="9">
        <f t="shared" si="157"/>
        <v>0</v>
      </c>
      <c r="N295" s="29">
        <f t="shared" si="138"/>
        <v>1315884864</v>
      </c>
      <c r="O295" s="30">
        <f t="shared" si="139"/>
        <v>0.64064894902723923</v>
      </c>
      <c r="P295" s="30">
        <f t="shared" si="140"/>
        <v>1.2812978980544785</v>
      </c>
      <c r="Q295" s="29">
        <f t="shared" si="141"/>
        <v>10323.230224200001</v>
      </c>
      <c r="R295" s="30">
        <f t="shared" si="142"/>
        <v>10.645578658973738</v>
      </c>
      <c r="S295" s="30">
        <f t="shared" si="143"/>
        <v>21.291157317947476</v>
      </c>
      <c r="T295" s="37">
        <f t="shared" si="144"/>
        <v>0.30000019</v>
      </c>
      <c r="U295" s="30">
        <f t="shared" si="145"/>
        <v>2.7932979177720599E-2</v>
      </c>
      <c r="V295" s="38">
        <f t="shared" si="146"/>
        <v>6.1873571566104651E-4</v>
      </c>
      <c r="W295" s="9">
        <f t="shared" si="152"/>
        <v>515954944</v>
      </c>
      <c r="X295" s="12">
        <f t="shared" si="152"/>
        <v>10393.110229100001</v>
      </c>
      <c r="Y295" s="11">
        <f t="shared" si="152"/>
        <v>0.74000000900000007</v>
      </c>
      <c r="Z295" s="7">
        <f t="shared" si="155"/>
        <v>412183936</v>
      </c>
      <c r="AA295" s="7">
        <f t="shared" si="155"/>
        <v>0</v>
      </c>
      <c r="AB295" s="7">
        <f t="shared" si="155"/>
        <v>5.000019E-2</v>
      </c>
    </row>
    <row r="296" spans="1:28" x14ac:dyDescent="0.25">
      <c r="A296" s="2">
        <v>292</v>
      </c>
      <c r="B296">
        <v>3</v>
      </c>
      <c r="C296">
        <v>3</v>
      </c>
      <c r="D296">
        <v>2</v>
      </c>
      <c r="E296">
        <v>4</v>
      </c>
      <c r="G296">
        <v>1831280512</v>
      </c>
      <c r="H296">
        <v>-9999.9902340000008</v>
      </c>
      <c r="I296">
        <v>3.880000114</v>
      </c>
      <c r="J296" s="9">
        <f t="shared" si="124"/>
        <v>169266816</v>
      </c>
      <c r="L296" s="9">
        <f t="shared" si="157"/>
        <v>0</v>
      </c>
      <c r="M296" s="9">
        <f t="shared" si="157"/>
        <v>0</v>
      </c>
      <c r="N296" s="29">
        <f t="shared" si="138"/>
        <v>1201150400</v>
      </c>
      <c r="O296" s="30">
        <f t="shared" si="139"/>
        <v>0.63539808531903119</v>
      </c>
      <c r="P296" s="30">
        <f t="shared" si="140"/>
        <v>1.2707961706380624</v>
      </c>
      <c r="Q296" s="29">
        <f t="shared" si="141"/>
        <v>10311.910247400001</v>
      </c>
      <c r="R296" s="30">
        <f t="shared" si="142"/>
        <v>11.019823249981947</v>
      </c>
      <c r="S296" s="30">
        <f t="shared" si="143"/>
        <v>22.039646499963894</v>
      </c>
      <c r="T296" s="37">
        <f t="shared" si="144"/>
        <v>0.30000019</v>
      </c>
      <c r="U296" s="30">
        <f t="shared" si="145"/>
        <v>2.7932979177720599E-2</v>
      </c>
      <c r="V296" s="38">
        <f t="shared" si="146"/>
        <v>6.4119042727210477E-4</v>
      </c>
      <c r="W296" s="9">
        <f t="shared" si="152"/>
        <v>458908416</v>
      </c>
      <c r="X296" s="12">
        <f t="shared" si="152"/>
        <v>10381.140227900001</v>
      </c>
      <c r="Y296" s="11">
        <f t="shared" si="152"/>
        <v>0.74000000900000007</v>
      </c>
      <c r="Z296" s="7">
        <f t="shared" si="155"/>
        <v>375679744</v>
      </c>
      <c r="AA296" s="7">
        <f t="shared" si="155"/>
        <v>0</v>
      </c>
      <c r="AB296" s="7">
        <f t="shared" si="155"/>
        <v>5.000019E-2</v>
      </c>
    </row>
    <row r="297" spans="1:28" x14ac:dyDescent="0.25">
      <c r="A297" s="2">
        <v>293</v>
      </c>
      <c r="B297">
        <v>3</v>
      </c>
      <c r="C297">
        <v>3</v>
      </c>
      <c r="D297">
        <v>2</v>
      </c>
      <c r="E297">
        <v>5</v>
      </c>
      <c r="G297">
        <v>1708411520</v>
      </c>
      <c r="H297">
        <v>-9999.9902340000008</v>
      </c>
      <c r="I297">
        <v>3.880000114</v>
      </c>
      <c r="J297" s="9">
        <f t="shared" si="124"/>
        <v>122868992</v>
      </c>
      <c r="L297" s="9">
        <f t="shared" si="157"/>
        <v>0</v>
      </c>
      <c r="M297" s="9">
        <f t="shared" si="157"/>
        <v>0</v>
      </c>
      <c r="N297" s="29">
        <f t="shared" si="138"/>
        <v>1124456832</v>
      </c>
      <c r="O297" s="30">
        <f t="shared" si="139"/>
        <v>0.64186306181345365</v>
      </c>
      <c r="P297" s="30">
        <f t="shared" si="140"/>
        <v>1.2837261236269073</v>
      </c>
      <c r="Q297" s="29">
        <f t="shared" si="141"/>
        <v>10282.810241300002</v>
      </c>
      <c r="R297" s="30">
        <f t="shared" si="142"/>
        <v>12.119380967736321</v>
      </c>
      <c r="S297" s="30">
        <f t="shared" si="143"/>
        <v>24.238761935472642</v>
      </c>
      <c r="T297" s="37">
        <f t="shared" si="144"/>
        <v>0.30000019</v>
      </c>
      <c r="U297" s="30">
        <f t="shared" si="145"/>
        <v>2.7932979177720599E-2</v>
      </c>
      <c r="V297" s="38">
        <f t="shared" si="146"/>
        <v>7.0716399655034823E-4</v>
      </c>
      <c r="W297" s="9">
        <f t="shared" si="152"/>
        <v>431038336</v>
      </c>
      <c r="X297" s="12">
        <f t="shared" si="152"/>
        <v>10365.8002316</v>
      </c>
      <c r="Y297" s="11">
        <f t="shared" si="152"/>
        <v>0.74000000900000007</v>
      </c>
      <c r="Z297" s="7">
        <f t="shared" si="155"/>
        <v>351854336</v>
      </c>
      <c r="AA297" s="7">
        <f t="shared" si="155"/>
        <v>10836.600219400001</v>
      </c>
      <c r="AB297" s="7">
        <f t="shared" si="155"/>
        <v>5.000019E-2</v>
      </c>
    </row>
    <row r="298" spans="1:28" x14ac:dyDescent="0.25">
      <c r="A298" s="2">
        <v>294</v>
      </c>
      <c r="B298">
        <v>3</v>
      </c>
      <c r="C298">
        <v>3</v>
      </c>
      <c r="D298">
        <v>2</v>
      </c>
      <c r="E298">
        <v>6</v>
      </c>
      <c r="G298">
        <v>1399131648</v>
      </c>
      <c r="H298">
        <v>794.35998540000003</v>
      </c>
      <c r="I298">
        <v>3.880000114</v>
      </c>
      <c r="J298" s="9">
        <f t="shared" si="124"/>
        <v>309279872</v>
      </c>
      <c r="L298" s="9">
        <f t="shared" si="157"/>
        <v>10794.350219400001</v>
      </c>
      <c r="M298" s="9">
        <f t="shared" si="157"/>
        <v>0</v>
      </c>
      <c r="N298" s="29">
        <f t="shared" si="138"/>
        <v>920740704</v>
      </c>
      <c r="O298" s="30">
        <f t="shared" si="139"/>
        <v>0.64155388359525467</v>
      </c>
      <c r="P298" s="30">
        <f t="shared" si="140"/>
        <v>1.2831077671905093</v>
      </c>
      <c r="Q298" s="29">
        <f t="shared" si="141"/>
        <v>549.67999269999996</v>
      </c>
      <c r="R298" s="30">
        <f t="shared" si="142"/>
        <v>0.7488420373544229</v>
      </c>
      <c r="S298" s="30">
        <f t="shared" si="143"/>
        <v>1.4976840747088458</v>
      </c>
      <c r="T298" s="37">
        <f t="shared" si="144"/>
        <v>0.30000019</v>
      </c>
      <c r="U298" s="30">
        <f t="shared" si="145"/>
        <v>2.7932979177720599E-2</v>
      </c>
      <c r="V298" s="38">
        <f t="shared" si="146"/>
        <v>8.173946895277418E-4</v>
      </c>
      <c r="W298" s="9">
        <f t="shared" ref="W298:Y313" si="158">ABS(G298-G277)</f>
        <v>341132608</v>
      </c>
      <c r="X298" s="12">
        <f t="shared" si="158"/>
        <v>467.69998170000002</v>
      </c>
      <c r="Y298" s="11">
        <f t="shared" si="158"/>
        <v>0.74000000900000007</v>
      </c>
      <c r="Z298" s="7">
        <f t="shared" si="155"/>
        <v>288332800</v>
      </c>
      <c r="AA298" s="7">
        <f t="shared" si="155"/>
        <v>92.839965900000038</v>
      </c>
      <c r="AB298" s="7">
        <f t="shared" si="155"/>
        <v>5.000019E-2</v>
      </c>
    </row>
    <row r="299" spans="1:28" x14ac:dyDescent="0.25">
      <c r="A299" s="2">
        <v>295</v>
      </c>
      <c r="B299">
        <v>3</v>
      </c>
      <c r="C299">
        <v>4</v>
      </c>
      <c r="D299">
        <v>0</v>
      </c>
      <c r="E299">
        <v>0</v>
      </c>
      <c r="G299">
        <v>177701696</v>
      </c>
      <c r="H299">
        <v>120.6299973</v>
      </c>
      <c r="I299">
        <v>3.960000038</v>
      </c>
      <c r="N299" s="29">
        <f t="shared" si="138"/>
        <v>1888997568</v>
      </c>
      <c r="O299" s="30">
        <f t="shared" si="139"/>
        <v>0.30467222153130841</v>
      </c>
      <c r="P299" s="30">
        <f t="shared" si="140"/>
        <v>1.015574071771028</v>
      </c>
      <c r="Q299" s="29">
        <f t="shared" si="141"/>
        <v>10120.620231300001</v>
      </c>
      <c r="R299" s="30">
        <f t="shared" si="142"/>
        <v>0.33735433717024571</v>
      </c>
      <c r="S299" s="30">
        <f t="shared" si="143"/>
        <v>1.1245144572341523</v>
      </c>
      <c r="T299" s="37">
        <f t="shared" si="144"/>
        <v>7.9999924E-2</v>
      </c>
      <c r="U299" s="30">
        <f t="shared" si="145"/>
        <v>6.8728455025332336E-3</v>
      </c>
      <c r="V299" s="38">
        <f t="shared" si="146"/>
        <v>8.8888891253335632E-6</v>
      </c>
      <c r="W299" s="9">
        <f t="shared" si="158"/>
        <v>45692464</v>
      </c>
      <c r="X299" s="12">
        <f t="shared" si="158"/>
        <v>45.019996689999999</v>
      </c>
      <c r="Y299" s="11">
        <f t="shared" si="158"/>
        <v>0.51999998100000022</v>
      </c>
      <c r="Z299" s="7">
        <f t="shared" si="155"/>
        <v>39622432</v>
      </c>
      <c r="AA299" s="7">
        <f t="shared" si="155"/>
        <v>12.540001000000004</v>
      </c>
      <c r="AB299" s="7">
        <f t="shared" si="155"/>
        <v>0</v>
      </c>
    </row>
    <row r="300" spans="1:28" x14ac:dyDescent="0.25">
      <c r="A300" s="2">
        <v>296</v>
      </c>
      <c r="B300">
        <v>3</v>
      </c>
      <c r="C300">
        <v>4</v>
      </c>
      <c r="D300">
        <v>0</v>
      </c>
      <c r="E300">
        <v>1</v>
      </c>
      <c r="G300">
        <v>176920880</v>
      </c>
      <c r="H300">
        <v>121.23999790000001</v>
      </c>
      <c r="I300">
        <v>3.960000038</v>
      </c>
      <c r="J300" s="9">
        <f t="shared" ref="J300:J361" si="159">ABS(G300-G299)</f>
        <v>780816</v>
      </c>
      <c r="L300" s="9">
        <f t="shared" ref="L300:M305" si="160">ABS(H300-H299)</f>
        <v>0.61000060000000644</v>
      </c>
      <c r="M300" s="9">
        <f t="shared" si="160"/>
        <v>0</v>
      </c>
      <c r="N300" s="29">
        <f t="shared" si="138"/>
        <v>1878214864</v>
      </c>
      <c r="O300" s="30">
        <f t="shared" si="139"/>
        <v>0.30463760029533765</v>
      </c>
      <c r="P300" s="30">
        <f t="shared" si="140"/>
        <v>1.0154586676511255</v>
      </c>
      <c r="Q300" s="29">
        <f t="shared" si="141"/>
        <v>10121.230231900001</v>
      </c>
      <c r="R300" s="30">
        <f t="shared" si="142"/>
        <v>0.33737467054343662</v>
      </c>
      <c r="S300" s="30">
        <f t="shared" si="143"/>
        <v>1.1245822351447887</v>
      </c>
      <c r="T300" s="37">
        <f t="shared" si="144"/>
        <v>7.9999924E-2</v>
      </c>
      <c r="U300" s="30">
        <f t="shared" si="145"/>
        <v>6.8728455025332336E-3</v>
      </c>
      <c r="V300" s="38">
        <f t="shared" si="146"/>
        <v>8.8888891253335632E-6</v>
      </c>
      <c r="W300" s="9">
        <f t="shared" si="158"/>
        <v>44509272</v>
      </c>
      <c r="X300" s="12">
        <f t="shared" si="158"/>
        <v>44.209999120000006</v>
      </c>
      <c r="Y300" s="11">
        <f t="shared" si="158"/>
        <v>0.51999998100000022</v>
      </c>
      <c r="Z300" s="7">
        <f t="shared" si="155"/>
        <v>39395088</v>
      </c>
      <c r="AA300" s="7">
        <f t="shared" si="155"/>
        <v>12.610000600000006</v>
      </c>
      <c r="AB300" s="7">
        <f t="shared" si="155"/>
        <v>0</v>
      </c>
    </row>
    <row r="301" spans="1:28" x14ac:dyDescent="0.25">
      <c r="A301" s="2">
        <v>297</v>
      </c>
      <c r="B301">
        <v>3</v>
      </c>
      <c r="C301">
        <v>4</v>
      </c>
      <c r="D301">
        <v>0</v>
      </c>
      <c r="E301">
        <v>2</v>
      </c>
      <c r="G301">
        <v>177309520</v>
      </c>
      <c r="H301">
        <v>120.58000180000001</v>
      </c>
      <c r="I301">
        <v>3.960000038</v>
      </c>
      <c r="J301" s="9">
        <f t="shared" si="159"/>
        <v>388640</v>
      </c>
      <c r="L301" s="9">
        <f t="shared" si="160"/>
        <v>0.65999610000000075</v>
      </c>
      <c r="M301" s="9">
        <f t="shared" si="160"/>
        <v>0</v>
      </c>
      <c r="N301" s="29">
        <f t="shared" si="138"/>
        <v>1884690864</v>
      </c>
      <c r="O301" s="30">
        <f t="shared" si="139"/>
        <v>0.30467030601678102</v>
      </c>
      <c r="P301" s="30">
        <f t="shared" si="140"/>
        <v>1.0155676867226033</v>
      </c>
      <c r="Q301" s="29">
        <f t="shared" si="141"/>
        <v>10120.570235800002</v>
      </c>
      <c r="R301" s="30">
        <f t="shared" si="142"/>
        <v>0.33735267065195157</v>
      </c>
      <c r="S301" s="30">
        <f t="shared" si="143"/>
        <v>1.1245089021731718</v>
      </c>
      <c r="T301" s="37">
        <f t="shared" si="144"/>
        <v>7.9999924E-2</v>
      </c>
      <c r="U301" s="30">
        <f t="shared" si="145"/>
        <v>6.8728455025332336E-3</v>
      </c>
      <c r="V301" s="38">
        <f t="shared" si="146"/>
        <v>8.8888891253335632E-6</v>
      </c>
      <c r="W301" s="9">
        <f t="shared" si="158"/>
        <v>45351576</v>
      </c>
      <c r="X301" s="12">
        <f t="shared" si="158"/>
        <v>44.639999360000004</v>
      </c>
      <c r="Y301" s="11">
        <f t="shared" si="158"/>
        <v>0.51999998100000022</v>
      </c>
      <c r="Z301" s="7">
        <f t="shared" si="155"/>
        <v>39528720</v>
      </c>
      <c r="AA301" s="7">
        <f t="shared" si="155"/>
        <v>12.54000090000001</v>
      </c>
      <c r="AB301" s="7">
        <f t="shared" si="155"/>
        <v>0</v>
      </c>
    </row>
    <row r="302" spans="1:28" x14ac:dyDescent="0.25">
      <c r="A302" s="2">
        <v>298</v>
      </c>
      <c r="B302">
        <v>3</v>
      </c>
      <c r="C302">
        <v>4</v>
      </c>
      <c r="D302">
        <v>0</v>
      </c>
      <c r="E302">
        <v>3</v>
      </c>
      <c r="G302">
        <v>172148208</v>
      </c>
      <c r="H302">
        <v>119.66999819999999</v>
      </c>
      <c r="I302">
        <v>3.960000038</v>
      </c>
      <c r="J302" s="9">
        <f t="shared" si="159"/>
        <v>5161312</v>
      </c>
      <c r="L302" s="9">
        <f t="shared" si="160"/>
        <v>0.91000360000001024</v>
      </c>
      <c r="M302" s="9">
        <f t="shared" si="160"/>
        <v>0</v>
      </c>
      <c r="N302" s="29">
        <f t="shared" si="138"/>
        <v>1828399120</v>
      </c>
      <c r="O302" s="30">
        <f t="shared" si="139"/>
        <v>0.30464981497970006</v>
      </c>
      <c r="P302" s="30">
        <f t="shared" si="140"/>
        <v>1.0154993832656667</v>
      </c>
      <c r="Q302" s="29">
        <f t="shared" si="141"/>
        <v>10119.6602322</v>
      </c>
      <c r="R302" s="30">
        <f t="shared" si="142"/>
        <v>0.33732233716899446</v>
      </c>
      <c r="S302" s="30">
        <f t="shared" si="143"/>
        <v>1.124407790563315</v>
      </c>
      <c r="T302" s="37">
        <f t="shared" si="144"/>
        <v>7.9999924E-2</v>
      </c>
      <c r="U302" s="30">
        <f t="shared" si="145"/>
        <v>6.8728455025332336E-3</v>
      </c>
      <c r="V302" s="38">
        <f t="shared" si="146"/>
        <v>8.8888891253335632E-6</v>
      </c>
      <c r="W302" s="9">
        <f t="shared" si="158"/>
        <v>42433536</v>
      </c>
      <c r="X302" s="12">
        <f t="shared" si="158"/>
        <v>42.379997279999998</v>
      </c>
      <c r="Y302" s="11">
        <f t="shared" si="158"/>
        <v>0.51999998100000022</v>
      </c>
      <c r="Z302" s="7">
        <f t="shared" ref="Z302:AB317" si="161">ABS(G302-G197)</f>
        <v>38360224</v>
      </c>
      <c r="AA302" s="7">
        <f t="shared" si="161"/>
        <v>12.479995799999998</v>
      </c>
      <c r="AB302" s="7">
        <f t="shared" si="161"/>
        <v>0</v>
      </c>
    </row>
    <row r="303" spans="1:28" x14ac:dyDescent="0.25">
      <c r="A303" s="2">
        <v>299</v>
      </c>
      <c r="B303">
        <v>3</v>
      </c>
      <c r="C303">
        <v>4</v>
      </c>
      <c r="D303">
        <v>0</v>
      </c>
      <c r="E303">
        <v>4</v>
      </c>
      <c r="G303">
        <v>156671360</v>
      </c>
      <c r="H303">
        <v>113.4100037</v>
      </c>
      <c r="I303">
        <v>3.960000038</v>
      </c>
      <c r="J303" s="9">
        <f t="shared" si="159"/>
        <v>15476848</v>
      </c>
      <c r="L303" s="9">
        <f t="shared" si="160"/>
        <v>6.2599944999999906</v>
      </c>
      <c r="M303" s="9">
        <f t="shared" si="160"/>
        <v>0</v>
      </c>
      <c r="N303" s="29">
        <f t="shared" si="138"/>
        <v>1674609152</v>
      </c>
      <c r="O303" s="30">
        <f t="shared" si="139"/>
        <v>0.30481569972971279</v>
      </c>
      <c r="P303" s="30">
        <f t="shared" si="140"/>
        <v>1.016052332432376</v>
      </c>
      <c r="Q303" s="29">
        <f t="shared" si="141"/>
        <v>10113.400237700002</v>
      </c>
      <c r="R303" s="30">
        <f t="shared" si="142"/>
        <v>0.33711367048187729</v>
      </c>
      <c r="S303" s="30">
        <f t="shared" si="143"/>
        <v>1.1237122349395909</v>
      </c>
      <c r="T303" s="37">
        <f t="shared" si="144"/>
        <v>7.9999924E-2</v>
      </c>
      <c r="U303" s="30">
        <f t="shared" si="145"/>
        <v>6.8728455025332336E-3</v>
      </c>
      <c r="V303" s="38">
        <f t="shared" si="146"/>
        <v>8.8888891253335632E-6</v>
      </c>
      <c r="W303" s="9">
        <f t="shared" si="158"/>
        <v>37387456</v>
      </c>
      <c r="X303" s="12">
        <f t="shared" si="158"/>
        <v>38.620002780000007</v>
      </c>
      <c r="Y303" s="11">
        <f t="shared" si="158"/>
        <v>0.51999998100000022</v>
      </c>
      <c r="Z303" s="7">
        <f t="shared" si="161"/>
        <v>35091128</v>
      </c>
      <c r="AA303" s="7">
        <f t="shared" si="161"/>
        <v>11.930000300000003</v>
      </c>
      <c r="AB303" s="7">
        <f t="shared" si="161"/>
        <v>0</v>
      </c>
    </row>
    <row r="304" spans="1:28" x14ac:dyDescent="0.25">
      <c r="A304" s="2">
        <v>300</v>
      </c>
      <c r="B304">
        <v>3</v>
      </c>
      <c r="C304">
        <v>4</v>
      </c>
      <c r="D304">
        <v>0</v>
      </c>
      <c r="E304">
        <v>5</v>
      </c>
      <c r="G304">
        <v>144694240</v>
      </c>
      <c r="H304">
        <v>104.6999969</v>
      </c>
      <c r="I304">
        <v>3.960000038</v>
      </c>
      <c r="J304" s="9">
        <f t="shared" si="159"/>
        <v>11977120</v>
      </c>
      <c r="L304" s="9">
        <f t="shared" si="160"/>
        <v>8.7100068000000022</v>
      </c>
      <c r="M304" s="9">
        <f t="shared" si="160"/>
        <v>0</v>
      </c>
      <c r="N304" s="29">
        <f t="shared" si="138"/>
        <v>1563717280</v>
      </c>
      <c r="O304" s="30">
        <f t="shared" si="139"/>
        <v>0.30510160299863426</v>
      </c>
      <c r="P304" s="30">
        <f t="shared" si="140"/>
        <v>1.0170053433287809</v>
      </c>
      <c r="Q304" s="29">
        <f t="shared" si="141"/>
        <v>10104.690230900002</v>
      </c>
      <c r="R304" s="30">
        <f t="shared" si="142"/>
        <v>0.33682333663833725</v>
      </c>
      <c r="S304" s="30">
        <f t="shared" si="143"/>
        <v>1.1227444554611241</v>
      </c>
      <c r="T304" s="37">
        <f t="shared" si="144"/>
        <v>7.9999924E-2</v>
      </c>
      <c r="U304" s="30">
        <f t="shared" si="145"/>
        <v>6.8728455025332336E-3</v>
      </c>
      <c r="V304" s="38">
        <f t="shared" si="146"/>
        <v>8.8888891253335632E-6</v>
      </c>
      <c r="W304" s="9">
        <f t="shared" si="158"/>
        <v>35740720</v>
      </c>
      <c r="X304" s="12">
        <f t="shared" si="158"/>
        <v>35.360000560000003</v>
      </c>
      <c r="Y304" s="11">
        <f t="shared" si="158"/>
        <v>0.51999998100000022</v>
      </c>
      <c r="Z304" s="7">
        <f t="shared" si="161"/>
        <v>32787872</v>
      </c>
      <c r="AA304" s="7">
        <f t="shared" si="161"/>
        <v>11.079994150000005</v>
      </c>
      <c r="AB304" s="7">
        <f t="shared" si="161"/>
        <v>0</v>
      </c>
    </row>
    <row r="305" spans="1:28" x14ac:dyDescent="0.25">
      <c r="A305" s="2">
        <v>301</v>
      </c>
      <c r="B305">
        <v>3</v>
      </c>
      <c r="C305">
        <v>4</v>
      </c>
      <c r="D305">
        <v>0</v>
      </c>
      <c r="E305">
        <v>6</v>
      </c>
      <c r="G305">
        <v>115592200</v>
      </c>
      <c r="H305">
        <v>88.940002440000001</v>
      </c>
      <c r="I305">
        <v>3.960000038</v>
      </c>
      <c r="J305" s="9">
        <f t="shared" si="159"/>
        <v>29102040</v>
      </c>
      <c r="L305" s="9">
        <f t="shared" si="160"/>
        <v>15.759994460000001</v>
      </c>
      <c r="M305" s="9">
        <f t="shared" si="160"/>
        <v>0</v>
      </c>
      <c r="N305" s="29">
        <f t="shared" si="138"/>
        <v>1283539448</v>
      </c>
      <c r="O305" s="30">
        <f t="shared" si="139"/>
        <v>0.3057942998275075</v>
      </c>
      <c r="P305" s="30">
        <f t="shared" si="140"/>
        <v>1.0193143327583583</v>
      </c>
      <c r="Q305" s="29">
        <f t="shared" si="141"/>
        <v>705.41998295999997</v>
      </c>
      <c r="R305" s="30">
        <f t="shared" si="142"/>
        <v>0.29601188207081608</v>
      </c>
      <c r="S305" s="30">
        <f t="shared" si="143"/>
        <v>0.98670627356938689</v>
      </c>
      <c r="T305" s="37">
        <f t="shared" si="144"/>
        <v>7.9999924E-2</v>
      </c>
      <c r="U305" s="30">
        <f t="shared" si="145"/>
        <v>6.8728455025332336E-3</v>
      </c>
      <c r="V305" s="38">
        <f t="shared" si="146"/>
        <v>1.1189990190616724E-4</v>
      </c>
      <c r="W305" s="9">
        <f t="shared" si="158"/>
        <v>28217096</v>
      </c>
      <c r="X305" s="12">
        <f t="shared" si="158"/>
        <v>27.68000412</v>
      </c>
      <c r="Y305" s="11">
        <f t="shared" si="158"/>
        <v>0.51999998100000022</v>
      </c>
      <c r="Z305" s="7">
        <f t="shared" si="161"/>
        <v>26886520</v>
      </c>
      <c r="AA305" s="7">
        <f t="shared" si="161"/>
        <v>9.6700057999999984</v>
      </c>
      <c r="AB305" s="7">
        <f t="shared" si="161"/>
        <v>0</v>
      </c>
    </row>
    <row r="306" spans="1:28" x14ac:dyDescent="0.25">
      <c r="A306" s="2">
        <v>302</v>
      </c>
      <c r="B306">
        <v>3</v>
      </c>
      <c r="C306">
        <v>4</v>
      </c>
      <c r="D306">
        <v>1</v>
      </c>
      <c r="E306">
        <v>0</v>
      </c>
      <c r="G306">
        <v>822169280</v>
      </c>
      <c r="H306">
        <v>504.26000979999998</v>
      </c>
      <c r="I306">
        <v>4.0900001530000001</v>
      </c>
      <c r="N306" s="29">
        <f t="shared" si="138"/>
        <v>644467584</v>
      </c>
      <c r="O306" s="30">
        <f t="shared" si="139"/>
        <v>1.2088940783097535</v>
      </c>
      <c r="P306" s="30">
        <f t="shared" si="140"/>
        <v>1.2088940783097535</v>
      </c>
      <c r="Q306" s="29">
        <f t="shared" si="141"/>
        <v>383.63001249999996</v>
      </c>
      <c r="R306" s="30">
        <f t="shared" si="142"/>
        <v>1.060073561266119</v>
      </c>
      <c r="S306" s="30">
        <f t="shared" si="143"/>
        <v>1.060073561266119</v>
      </c>
      <c r="T306" s="37">
        <f t="shared" si="144"/>
        <v>0.13000011500000008</v>
      </c>
      <c r="U306" s="30">
        <f t="shared" si="145"/>
        <v>1.0942770517889245E-2</v>
      </c>
      <c r="V306" s="38">
        <f t="shared" si="146"/>
        <v>3.5922550473825376E-4</v>
      </c>
      <c r="W306" s="9">
        <f t="shared" si="158"/>
        <v>119567040</v>
      </c>
      <c r="X306" s="12">
        <f t="shared" si="158"/>
        <v>187.11001589999995</v>
      </c>
      <c r="Y306" s="11">
        <f t="shared" si="158"/>
        <v>0.51000022900000008</v>
      </c>
      <c r="Z306" s="7">
        <f t="shared" si="161"/>
        <v>164476160</v>
      </c>
      <c r="AA306" s="7">
        <f t="shared" si="161"/>
        <v>48.190002499999991</v>
      </c>
      <c r="AB306" s="7">
        <f t="shared" si="161"/>
        <v>0</v>
      </c>
    </row>
    <row r="307" spans="1:28" x14ac:dyDescent="0.25">
      <c r="A307" s="2">
        <v>303</v>
      </c>
      <c r="B307">
        <v>3</v>
      </c>
      <c r="C307">
        <v>4</v>
      </c>
      <c r="D307">
        <v>1</v>
      </c>
      <c r="E307">
        <v>1</v>
      </c>
      <c r="G307">
        <v>817639168</v>
      </c>
      <c r="H307">
        <v>506.2999878</v>
      </c>
      <c r="I307">
        <v>4.0900001530000001</v>
      </c>
      <c r="J307" s="9">
        <f t="shared" ref="J307:J368" si="162">ABS(G307-G306)</f>
        <v>4530112</v>
      </c>
      <c r="L307" s="9">
        <f t="shared" ref="L307:M312" si="163">ABS(H307-H306)</f>
        <v>2.0399780000000192</v>
      </c>
      <c r="M307" s="9">
        <f t="shared" si="163"/>
        <v>0</v>
      </c>
      <c r="N307" s="29">
        <f t="shared" si="138"/>
        <v>640718288</v>
      </c>
      <c r="O307" s="30">
        <f t="shared" si="139"/>
        <v>1.2071653875261454</v>
      </c>
      <c r="P307" s="30">
        <f t="shared" si="140"/>
        <v>1.2071653875261454</v>
      </c>
      <c r="Q307" s="29">
        <f t="shared" si="141"/>
        <v>385.05998990000001</v>
      </c>
      <c r="R307" s="30">
        <f t="shared" si="142"/>
        <v>1.0586714961223755</v>
      </c>
      <c r="S307" s="30">
        <f t="shared" si="143"/>
        <v>1.0586714961223755</v>
      </c>
      <c r="T307" s="37">
        <f t="shared" si="144"/>
        <v>0.13000011500000008</v>
      </c>
      <c r="U307" s="30">
        <f t="shared" si="145"/>
        <v>1.0942770517889245E-2</v>
      </c>
      <c r="V307" s="38">
        <f t="shared" si="146"/>
        <v>3.5741811627552569E-4</v>
      </c>
      <c r="W307" s="9">
        <f t="shared" si="158"/>
        <v>116476672</v>
      </c>
      <c r="X307" s="12">
        <f t="shared" si="158"/>
        <v>182.88998409999999</v>
      </c>
      <c r="Y307" s="11">
        <f t="shared" si="158"/>
        <v>0.51000022900000008</v>
      </c>
      <c r="Z307" s="7">
        <f t="shared" si="161"/>
        <v>163348992</v>
      </c>
      <c r="AA307" s="7">
        <f t="shared" si="161"/>
        <v>48.389984099999992</v>
      </c>
      <c r="AB307" s="7">
        <f t="shared" si="161"/>
        <v>0</v>
      </c>
    </row>
    <row r="308" spans="1:28" x14ac:dyDescent="0.25">
      <c r="A308" s="2">
        <v>304</v>
      </c>
      <c r="B308">
        <v>3</v>
      </c>
      <c r="C308">
        <v>4</v>
      </c>
      <c r="D308">
        <v>1</v>
      </c>
      <c r="E308">
        <v>2</v>
      </c>
      <c r="G308">
        <v>820325632</v>
      </c>
      <c r="H308">
        <v>503.86999509999998</v>
      </c>
      <c r="I308">
        <v>4.0900001530000001</v>
      </c>
      <c r="J308" s="9">
        <f t="shared" si="162"/>
        <v>2686464</v>
      </c>
      <c r="L308" s="9">
        <f t="shared" si="163"/>
        <v>2.4299927000000139</v>
      </c>
      <c r="M308" s="9">
        <f t="shared" si="163"/>
        <v>0</v>
      </c>
      <c r="N308" s="29">
        <f t="shared" si="138"/>
        <v>643016112</v>
      </c>
      <c r="O308" s="30">
        <f t="shared" si="139"/>
        <v>1.2088392320953776</v>
      </c>
      <c r="P308" s="30">
        <f t="shared" si="140"/>
        <v>1.2088392320953776</v>
      </c>
      <c r="Q308" s="29">
        <f t="shared" si="141"/>
        <v>383.28999329999999</v>
      </c>
      <c r="R308" s="30">
        <f t="shared" si="142"/>
        <v>1.0595731397642092</v>
      </c>
      <c r="S308" s="30">
        <f t="shared" si="143"/>
        <v>1.0595731397642092</v>
      </c>
      <c r="T308" s="37">
        <f t="shared" si="144"/>
        <v>0.13000011500000008</v>
      </c>
      <c r="U308" s="30">
        <f t="shared" si="145"/>
        <v>1.0942770517889245E-2</v>
      </c>
      <c r="V308" s="38">
        <f t="shared" si="146"/>
        <v>3.5937444866306756E-4</v>
      </c>
      <c r="W308" s="9">
        <f t="shared" si="158"/>
        <v>118828800</v>
      </c>
      <c r="X308" s="12">
        <f t="shared" si="158"/>
        <v>185.63000489999996</v>
      </c>
      <c r="Y308" s="11">
        <f t="shared" si="158"/>
        <v>0.51000022900000008</v>
      </c>
      <c r="Z308" s="7">
        <f t="shared" si="161"/>
        <v>164085248</v>
      </c>
      <c r="AA308" s="7">
        <f t="shared" si="161"/>
        <v>48.14999389999997</v>
      </c>
      <c r="AB308" s="7">
        <f t="shared" si="161"/>
        <v>0</v>
      </c>
    </row>
    <row r="309" spans="1:28" x14ac:dyDescent="0.25">
      <c r="A309" s="2">
        <v>305</v>
      </c>
      <c r="B309">
        <v>3</v>
      </c>
      <c r="C309">
        <v>4</v>
      </c>
      <c r="D309">
        <v>1</v>
      </c>
      <c r="E309">
        <v>3</v>
      </c>
      <c r="G309">
        <v>795608448</v>
      </c>
      <c r="H309">
        <v>498.5499878</v>
      </c>
      <c r="I309">
        <v>4.0900001530000001</v>
      </c>
      <c r="J309" s="9">
        <f t="shared" si="162"/>
        <v>24717184</v>
      </c>
      <c r="L309" s="9">
        <f t="shared" si="163"/>
        <v>5.3200072999999861</v>
      </c>
      <c r="M309" s="9">
        <f t="shared" si="163"/>
        <v>0</v>
      </c>
      <c r="N309" s="29">
        <f t="shared" si="138"/>
        <v>623460240</v>
      </c>
      <c r="O309" s="30">
        <f t="shared" si="139"/>
        <v>1.2072160518801334</v>
      </c>
      <c r="P309" s="30">
        <f t="shared" si="140"/>
        <v>1.2072160518801334</v>
      </c>
      <c r="Q309" s="29">
        <f t="shared" si="141"/>
        <v>378.87998959999999</v>
      </c>
      <c r="R309" s="30">
        <f t="shared" si="142"/>
        <v>1.0553466346309903</v>
      </c>
      <c r="S309" s="30">
        <f t="shared" si="143"/>
        <v>1.0553466346309903</v>
      </c>
      <c r="T309" s="37">
        <f t="shared" si="144"/>
        <v>0.13000011500000008</v>
      </c>
      <c r="U309" s="30">
        <f t="shared" si="145"/>
        <v>1.0942770517889245E-2</v>
      </c>
      <c r="V309" s="38">
        <f t="shared" si="146"/>
        <v>3.6210723087206248E-4</v>
      </c>
      <c r="W309" s="9">
        <f t="shared" si="158"/>
        <v>110945984</v>
      </c>
      <c r="X309" s="12">
        <f t="shared" si="158"/>
        <v>175.30999759999997</v>
      </c>
      <c r="Y309" s="11">
        <f t="shared" si="158"/>
        <v>0.51000022900000008</v>
      </c>
      <c r="Z309" s="7">
        <f t="shared" si="161"/>
        <v>158842496</v>
      </c>
      <c r="AA309" s="7">
        <f t="shared" si="161"/>
        <v>47.66998289999998</v>
      </c>
      <c r="AB309" s="7">
        <f t="shared" si="161"/>
        <v>0</v>
      </c>
    </row>
    <row r="310" spans="1:28" x14ac:dyDescent="0.25">
      <c r="A310" s="2">
        <v>306</v>
      </c>
      <c r="B310">
        <v>3</v>
      </c>
      <c r="C310">
        <v>4</v>
      </c>
      <c r="D310">
        <v>1</v>
      </c>
      <c r="E310">
        <v>4</v>
      </c>
      <c r="G310">
        <v>726867264</v>
      </c>
      <c r="H310">
        <v>468.07998659999998</v>
      </c>
      <c r="I310">
        <v>4.0900001530000001</v>
      </c>
      <c r="J310" s="9">
        <f t="shared" si="162"/>
        <v>68741184</v>
      </c>
      <c r="L310" s="9">
        <f t="shared" si="163"/>
        <v>30.470001200000013</v>
      </c>
      <c r="M310" s="9">
        <f t="shared" si="163"/>
        <v>0</v>
      </c>
      <c r="N310" s="29">
        <f t="shared" si="138"/>
        <v>570195904</v>
      </c>
      <c r="O310" s="30">
        <f t="shared" si="139"/>
        <v>1.2131464316983867</v>
      </c>
      <c r="P310" s="30">
        <f t="shared" si="140"/>
        <v>1.2131464316983867</v>
      </c>
      <c r="Q310" s="29">
        <f t="shared" si="141"/>
        <v>354.66998289999998</v>
      </c>
      <c r="R310" s="30">
        <f t="shared" si="142"/>
        <v>1.0424417932836494</v>
      </c>
      <c r="S310" s="30">
        <f t="shared" si="143"/>
        <v>1.0424417932836494</v>
      </c>
      <c r="T310" s="37">
        <f t="shared" si="144"/>
        <v>0.13000011500000008</v>
      </c>
      <c r="U310" s="30">
        <f t="shared" si="145"/>
        <v>1.0942770517889245E-2</v>
      </c>
      <c r="V310" s="38">
        <f t="shared" si="146"/>
        <v>3.8209479104943096E-4</v>
      </c>
      <c r="W310" s="9">
        <f t="shared" si="158"/>
        <v>96737152</v>
      </c>
      <c r="X310" s="12">
        <f t="shared" si="158"/>
        <v>156.15997319999997</v>
      </c>
      <c r="Y310" s="11">
        <f t="shared" si="158"/>
        <v>0.51000022900000008</v>
      </c>
      <c r="Z310" s="7">
        <f t="shared" si="161"/>
        <v>145187712</v>
      </c>
      <c r="AA310" s="7">
        <f t="shared" si="161"/>
        <v>44.829986599999984</v>
      </c>
      <c r="AB310" s="7">
        <f t="shared" si="161"/>
        <v>0</v>
      </c>
    </row>
    <row r="311" spans="1:28" x14ac:dyDescent="0.25">
      <c r="A311" s="2">
        <v>307</v>
      </c>
      <c r="B311">
        <v>3</v>
      </c>
      <c r="C311">
        <v>4</v>
      </c>
      <c r="D311">
        <v>1</v>
      </c>
      <c r="E311">
        <v>5</v>
      </c>
      <c r="G311">
        <v>678227072</v>
      </c>
      <c r="H311">
        <v>431.05999759999997</v>
      </c>
      <c r="I311">
        <v>4.0900001530000001</v>
      </c>
      <c r="J311" s="9">
        <f t="shared" si="162"/>
        <v>48640192</v>
      </c>
      <c r="L311" s="9">
        <f t="shared" si="163"/>
        <v>37.01998900000001</v>
      </c>
      <c r="M311" s="9">
        <f t="shared" si="163"/>
        <v>0</v>
      </c>
      <c r="N311" s="29">
        <f t="shared" si="138"/>
        <v>533532832</v>
      </c>
      <c r="O311" s="30">
        <f t="shared" si="139"/>
        <v>1.2291040564802949</v>
      </c>
      <c r="P311" s="30">
        <f t="shared" si="140"/>
        <v>1.2291040564802949</v>
      </c>
      <c r="Q311" s="29">
        <f t="shared" si="141"/>
        <v>326.3600007</v>
      </c>
      <c r="R311" s="30">
        <f t="shared" si="142"/>
        <v>1.0390321883572089</v>
      </c>
      <c r="S311" s="30">
        <f t="shared" si="143"/>
        <v>1.0390321883572089</v>
      </c>
      <c r="T311" s="37">
        <f t="shared" si="144"/>
        <v>0.13000011500000008</v>
      </c>
      <c r="U311" s="30">
        <f t="shared" si="145"/>
        <v>1.0942770517889245E-2</v>
      </c>
      <c r="V311" s="38">
        <f t="shared" si="146"/>
        <v>4.1388130802004535E-4</v>
      </c>
      <c r="W311" s="9">
        <f t="shared" si="158"/>
        <v>94272384</v>
      </c>
      <c r="X311" s="12">
        <f t="shared" si="158"/>
        <v>148.23999029999999</v>
      </c>
      <c r="Y311" s="11">
        <f t="shared" si="158"/>
        <v>0.51000022900000008</v>
      </c>
      <c r="Z311" s="7">
        <f t="shared" si="161"/>
        <v>135832448</v>
      </c>
      <c r="AA311" s="7">
        <f t="shared" si="161"/>
        <v>41.290008599999965</v>
      </c>
      <c r="AB311" s="7">
        <f t="shared" si="161"/>
        <v>0</v>
      </c>
    </row>
    <row r="312" spans="1:28" x14ac:dyDescent="0.25">
      <c r="A312" s="2">
        <v>308</v>
      </c>
      <c r="B312">
        <v>3</v>
      </c>
      <c r="C312">
        <v>4</v>
      </c>
      <c r="D312">
        <v>1</v>
      </c>
      <c r="E312">
        <v>6</v>
      </c>
      <c r="G312">
        <v>552722752</v>
      </c>
      <c r="H312">
        <v>358.63000490000002</v>
      </c>
      <c r="I312">
        <v>4.0900001530000001</v>
      </c>
      <c r="J312" s="9">
        <f t="shared" si="162"/>
        <v>125504320</v>
      </c>
      <c r="L312" s="9">
        <f t="shared" si="163"/>
        <v>72.429992699999957</v>
      </c>
      <c r="M312" s="9">
        <f t="shared" si="163"/>
        <v>0</v>
      </c>
      <c r="N312" s="29">
        <f t="shared" si="138"/>
        <v>437130552</v>
      </c>
      <c r="O312" s="30">
        <f t="shared" si="139"/>
        <v>1.2605537743896214</v>
      </c>
      <c r="P312" s="30">
        <f t="shared" si="140"/>
        <v>1.2605537743896214</v>
      </c>
      <c r="Q312" s="29">
        <f t="shared" si="141"/>
        <v>269.69000246000002</v>
      </c>
      <c r="R312" s="30">
        <f t="shared" si="142"/>
        <v>1.0107562966091894</v>
      </c>
      <c r="S312" s="30">
        <f t="shared" si="143"/>
        <v>1.0107562966091894</v>
      </c>
      <c r="T312" s="37">
        <f t="shared" si="144"/>
        <v>0.13000011500000008</v>
      </c>
      <c r="U312" s="30">
        <f t="shared" si="145"/>
        <v>1.0942770517889245E-2</v>
      </c>
      <c r="V312" s="38">
        <f t="shared" si="146"/>
        <v>4.8722026622272595E-4</v>
      </c>
      <c r="W312" s="9">
        <f t="shared" si="158"/>
        <v>74331808</v>
      </c>
      <c r="X312" s="12">
        <f t="shared" si="158"/>
        <v>113.9500122</v>
      </c>
      <c r="Y312" s="11">
        <f t="shared" si="158"/>
        <v>0.51000022900000008</v>
      </c>
      <c r="Z312" s="7">
        <f t="shared" si="161"/>
        <v>111278080</v>
      </c>
      <c r="AA312" s="7">
        <f t="shared" si="161"/>
        <v>34.429992700000014</v>
      </c>
      <c r="AB312" s="7">
        <f t="shared" si="161"/>
        <v>0</v>
      </c>
    </row>
    <row r="313" spans="1:28" x14ac:dyDescent="0.25">
      <c r="A313" s="2">
        <v>309</v>
      </c>
      <c r="B313">
        <v>3</v>
      </c>
      <c r="C313">
        <v>4</v>
      </c>
      <c r="D313">
        <v>2</v>
      </c>
      <c r="E313">
        <v>0</v>
      </c>
      <c r="G313">
        <v>2233258752</v>
      </c>
      <c r="H313">
        <v>-9999.9902340000008</v>
      </c>
      <c r="I313">
        <v>4.4099998469999999</v>
      </c>
      <c r="N313" s="29">
        <f t="shared" si="138"/>
        <v>1411089472</v>
      </c>
      <c r="O313" s="30">
        <f t="shared" si="139"/>
        <v>0.57210013652338521</v>
      </c>
      <c r="P313" s="30">
        <f t="shared" si="140"/>
        <v>1.1442002730467704</v>
      </c>
      <c r="Q313" s="29">
        <f t="shared" si="141"/>
        <v>10504.250243800001</v>
      </c>
      <c r="R313" s="30">
        <f t="shared" si="142"/>
        <v>6.9436732635650964</v>
      </c>
      <c r="S313" s="30">
        <f t="shared" si="143"/>
        <v>13.887346527130193</v>
      </c>
      <c r="T313" s="37">
        <f t="shared" si="144"/>
        <v>0.31999969399999983</v>
      </c>
      <c r="U313" s="30">
        <f t="shared" si="145"/>
        <v>2.607984368617372E-2</v>
      </c>
      <c r="V313" s="38">
        <f t="shared" si="146"/>
        <v>4.2306176414414772E-4</v>
      </c>
      <c r="W313" s="9">
        <f t="shared" si="158"/>
        <v>166559488</v>
      </c>
      <c r="X313" s="12">
        <f t="shared" si="158"/>
        <v>0</v>
      </c>
      <c r="Y313" s="11">
        <f t="shared" si="158"/>
        <v>0.52999973299999992</v>
      </c>
      <c r="Z313" s="7">
        <f t="shared" si="161"/>
        <v>432294912</v>
      </c>
      <c r="AA313" s="7">
        <f t="shared" si="161"/>
        <v>0</v>
      </c>
      <c r="AB313" s="7">
        <f t="shared" si="161"/>
        <v>5.9999942000000139E-2</v>
      </c>
    </row>
    <row r="314" spans="1:28" x14ac:dyDescent="0.25">
      <c r="A314" s="2">
        <v>310</v>
      </c>
      <c r="B314">
        <v>3</v>
      </c>
      <c r="C314">
        <v>4</v>
      </c>
      <c r="D314">
        <v>2</v>
      </c>
      <c r="E314">
        <v>1</v>
      </c>
      <c r="G314">
        <v>2217433600</v>
      </c>
      <c r="H314">
        <v>-9999.9902340000008</v>
      </c>
      <c r="I314">
        <v>4.4099998469999999</v>
      </c>
      <c r="J314" s="9">
        <f t="shared" ref="J314" si="164">ABS(G314-G313)</f>
        <v>15825152</v>
      </c>
      <c r="L314" s="9">
        <f t="shared" ref="L314:M319" si="165">ABS(H314-H313)</f>
        <v>0</v>
      </c>
      <c r="M314" s="9">
        <f t="shared" si="165"/>
        <v>0</v>
      </c>
      <c r="N314" s="29">
        <f t="shared" si="138"/>
        <v>1399794432</v>
      </c>
      <c r="O314" s="30">
        <f t="shared" si="139"/>
        <v>0.57066510786332592</v>
      </c>
      <c r="P314" s="30">
        <f t="shared" si="140"/>
        <v>1.1413302157266518</v>
      </c>
      <c r="Q314" s="29">
        <f t="shared" si="141"/>
        <v>10506.2902218</v>
      </c>
      <c r="R314" s="30">
        <f t="shared" si="142"/>
        <v>6.9170389590912009</v>
      </c>
      <c r="S314" s="30">
        <f t="shared" si="143"/>
        <v>13.834077918182402</v>
      </c>
      <c r="T314" s="37">
        <f t="shared" si="144"/>
        <v>0.31999969399999983</v>
      </c>
      <c r="U314" s="30">
        <f t="shared" si="145"/>
        <v>2.607984368617372E-2</v>
      </c>
      <c r="V314" s="38">
        <f t="shared" si="146"/>
        <v>4.2135716862312997E-4</v>
      </c>
      <c r="W314" s="9">
        <f t="shared" ref="W314:Y329" si="166">ABS(G314-G293)</f>
        <v>162297856</v>
      </c>
      <c r="X314" s="12">
        <f t="shared" si="166"/>
        <v>0</v>
      </c>
      <c r="Y314" s="11">
        <f t="shared" si="166"/>
        <v>0.52999973299999992</v>
      </c>
      <c r="Z314" s="7">
        <f t="shared" si="161"/>
        <v>428571264</v>
      </c>
      <c r="AA314" s="7">
        <f t="shared" si="161"/>
        <v>0</v>
      </c>
      <c r="AB314" s="7">
        <f t="shared" si="161"/>
        <v>5.9999942000000139E-2</v>
      </c>
    </row>
    <row r="315" spans="1:28" x14ac:dyDescent="0.25">
      <c r="A315" s="2">
        <v>311</v>
      </c>
      <c r="B315">
        <v>3</v>
      </c>
      <c r="C315">
        <v>4</v>
      </c>
      <c r="D315">
        <v>2</v>
      </c>
      <c r="E315">
        <v>2</v>
      </c>
      <c r="G315">
        <v>2227760128</v>
      </c>
      <c r="H315">
        <v>-9999.9902340000008</v>
      </c>
      <c r="I315">
        <v>4.4099998469999999</v>
      </c>
      <c r="J315" s="9">
        <f t="shared" si="159"/>
        <v>10326528</v>
      </c>
      <c r="L315" s="9">
        <f t="shared" si="165"/>
        <v>0</v>
      </c>
      <c r="M315" s="9">
        <f t="shared" si="165"/>
        <v>0</v>
      </c>
      <c r="N315" s="29">
        <f t="shared" si="138"/>
        <v>1407434496</v>
      </c>
      <c r="O315" s="30">
        <f t="shared" si="139"/>
        <v>0.57190073514611328</v>
      </c>
      <c r="P315" s="30">
        <f t="shared" si="140"/>
        <v>1.1438014702922266</v>
      </c>
      <c r="Q315" s="29">
        <f t="shared" si="141"/>
        <v>10503.860229100001</v>
      </c>
      <c r="R315" s="30">
        <f t="shared" si="142"/>
        <v>6.9487899201825956</v>
      </c>
      <c r="S315" s="30">
        <f t="shared" si="143"/>
        <v>13.897579840365191</v>
      </c>
      <c r="T315" s="37">
        <f t="shared" si="144"/>
        <v>0.31999969399999983</v>
      </c>
      <c r="U315" s="30">
        <f t="shared" si="145"/>
        <v>2.607984368617372E-2</v>
      </c>
      <c r="V315" s="38">
        <f t="shared" si="146"/>
        <v>4.2338923017433156E-4</v>
      </c>
      <c r="W315" s="9">
        <f t="shared" si="166"/>
        <v>165759744</v>
      </c>
      <c r="X315" s="12">
        <f t="shared" si="166"/>
        <v>0</v>
      </c>
      <c r="Y315" s="11">
        <f t="shared" si="166"/>
        <v>0.52999973299999992</v>
      </c>
      <c r="Z315" s="7">
        <f t="shared" si="161"/>
        <v>431172736</v>
      </c>
      <c r="AA315" s="7">
        <f t="shared" si="161"/>
        <v>0</v>
      </c>
      <c r="AB315" s="7">
        <f t="shared" si="161"/>
        <v>5.9999942000000139E-2</v>
      </c>
    </row>
    <row r="316" spans="1:28" x14ac:dyDescent="0.25">
      <c r="A316" s="2">
        <v>312</v>
      </c>
      <c r="B316">
        <v>3</v>
      </c>
      <c r="C316">
        <v>4</v>
      </c>
      <c r="D316">
        <v>2</v>
      </c>
      <c r="E316">
        <v>3</v>
      </c>
      <c r="G316">
        <v>2154349312</v>
      </c>
      <c r="H316">
        <v>-9999.9902340000008</v>
      </c>
      <c r="I316">
        <v>4.4099998469999999</v>
      </c>
      <c r="J316" s="9">
        <f t="shared" si="159"/>
        <v>73410816</v>
      </c>
      <c r="L316" s="9">
        <f t="shared" si="165"/>
        <v>0</v>
      </c>
      <c r="M316" s="9">
        <f t="shared" si="165"/>
        <v>0</v>
      </c>
      <c r="N316" s="29">
        <f t="shared" si="138"/>
        <v>1358740864</v>
      </c>
      <c r="O316" s="30">
        <f t="shared" si="139"/>
        <v>0.56926698361721428</v>
      </c>
      <c r="P316" s="30">
        <f t="shared" si="140"/>
        <v>1.1385339672344286</v>
      </c>
      <c r="Q316" s="29">
        <f t="shared" si="141"/>
        <v>10498.5402218</v>
      </c>
      <c r="R316" s="30">
        <f t="shared" si="142"/>
        <v>7.0193831970778087</v>
      </c>
      <c r="S316" s="30">
        <f t="shared" si="143"/>
        <v>14.038766394155617</v>
      </c>
      <c r="T316" s="37">
        <f t="shared" si="144"/>
        <v>0.31999969399999983</v>
      </c>
      <c r="U316" s="30">
        <f t="shared" si="145"/>
        <v>2.607984368617372E-2</v>
      </c>
      <c r="V316" s="38">
        <f t="shared" si="146"/>
        <v>4.2790719998756611E-4</v>
      </c>
      <c r="W316" s="9">
        <f t="shared" si="166"/>
        <v>153801984</v>
      </c>
      <c r="X316" s="12">
        <f t="shared" si="166"/>
        <v>0</v>
      </c>
      <c r="Y316" s="11">
        <f t="shared" si="166"/>
        <v>0.52999973299999992</v>
      </c>
      <c r="Z316" s="7">
        <f t="shared" si="161"/>
        <v>416249344</v>
      </c>
      <c r="AA316" s="7">
        <f t="shared" si="161"/>
        <v>0</v>
      </c>
      <c r="AB316" s="7">
        <f t="shared" si="161"/>
        <v>5.9999942000000139E-2</v>
      </c>
    </row>
    <row r="317" spans="1:28" x14ac:dyDescent="0.25">
      <c r="A317" s="2">
        <v>313</v>
      </c>
      <c r="B317">
        <v>3</v>
      </c>
      <c r="C317">
        <v>4</v>
      </c>
      <c r="D317">
        <v>2</v>
      </c>
      <c r="E317">
        <v>4</v>
      </c>
      <c r="G317">
        <v>1964439040</v>
      </c>
      <c r="H317">
        <v>-9999.9902340000008</v>
      </c>
      <c r="I317">
        <v>4.4099998469999999</v>
      </c>
      <c r="J317" s="9">
        <f t="shared" si="159"/>
        <v>189910272</v>
      </c>
      <c r="L317" s="9">
        <f t="shared" si="165"/>
        <v>0</v>
      </c>
      <c r="M317" s="9">
        <f t="shared" si="165"/>
        <v>0</v>
      </c>
      <c r="N317" s="29">
        <f t="shared" si="138"/>
        <v>1237571776</v>
      </c>
      <c r="O317" s="30">
        <f t="shared" si="139"/>
        <v>0.56753680591307154</v>
      </c>
      <c r="P317" s="30">
        <f t="shared" si="140"/>
        <v>1.1350736118261431</v>
      </c>
      <c r="Q317" s="29">
        <f t="shared" si="141"/>
        <v>10468.070220600001</v>
      </c>
      <c r="R317" s="30">
        <f t="shared" si="142"/>
        <v>7.454616390556871</v>
      </c>
      <c r="S317" s="30">
        <f t="shared" si="143"/>
        <v>14.909232781113742</v>
      </c>
      <c r="T317" s="37">
        <f t="shared" si="144"/>
        <v>0.31999969399999983</v>
      </c>
      <c r="U317" s="30">
        <f t="shared" si="145"/>
        <v>2.607984368617372E-2</v>
      </c>
      <c r="V317" s="38">
        <f t="shared" si="146"/>
        <v>4.5576212493707427E-4</v>
      </c>
      <c r="W317" s="9">
        <f t="shared" si="166"/>
        <v>133158528</v>
      </c>
      <c r="X317" s="12">
        <f t="shared" si="166"/>
        <v>0</v>
      </c>
      <c r="Y317" s="11">
        <f t="shared" si="166"/>
        <v>0.52999973299999992</v>
      </c>
      <c r="Z317" s="7">
        <f t="shared" si="161"/>
        <v>379605120</v>
      </c>
      <c r="AA317" s="7">
        <f t="shared" si="161"/>
        <v>0</v>
      </c>
      <c r="AB317" s="7">
        <f t="shared" si="161"/>
        <v>5.9999942000000139E-2</v>
      </c>
    </row>
    <row r="318" spans="1:28" x14ac:dyDescent="0.25">
      <c r="A318" s="2">
        <v>314</v>
      </c>
      <c r="B318">
        <v>3</v>
      </c>
      <c r="C318">
        <v>4</v>
      </c>
      <c r="D318">
        <v>2</v>
      </c>
      <c r="E318">
        <v>5</v>
      </c>
      <c r="G318">
        <v>1839107456</v>
      </c>
      <c r="H318">
        <v>-9999.9902340000008</v>
      </c>
      <c r="I318">
        <v>4.4099998469999999</v>
      </c>
      <c r="J318" s="9">
        <f t="shared" si="159"/>
        <v>125331584</v>
      </c>
      <c r="L318" s="9">
        <f t="shared" si="165"/>
        <v>0</v>
      </c>
      <c r="M318" s="9">
        <f t="shared" si="165"/>
        <v>0</v>
      </c>
      <c r="N318" s="29">
        <f t="shared" si="138"/>
        <v>1160880384</v>
      </c>
      <c r="O318" s="30">
        <f t="shared" si="139"/>
        <v>0.57054656762506817</v>
      </c>
      <c r="P318" s="30">
        <f t="shared" si="140"/>
        <v>1.1410931352501363</v>
      </c>
      <c r="Q318" s="29">
        <f t="shared" si="141"/>
        <v>10431.0502316</v>
      </c>
      <c r="R318" s="30">
        <f t="shared" si="142"/>
        <v>8.0662013715620802</v>
      </c>
      <c r="S318" s="30">
        <f t="shared" si="143"/>
        <v>16.13240274312416</v>
      </c>
      <c r="T318" s="37">
        <f t="shared" si="144"/>
        <v>0.31999969399999983</v>
      </c>
      <c r="U318" s="30">
        <f t="shared" si="145"/>
        <v>2.607984368617372E-2</v>
      </c>
      <c r="V318" s="38">
        <f t="shared" si="146"/>
        <v>4.9490356451793672E-4</v>
      </c>
      <c r="W318" s="9">
        <f t="shared" si="166"/>
        <v>130695936</v>
      </c>
      <c r="X318" s="12">
        <f t="shared" si="166"/>
        <v>0</v>
      </c>
      <c r="Y318" s="11">
        <f t="shared" si="166"/>
        <v>0.52999973299999992</v>
      </c>
      <c r="Z318" s="7">
        <f t="shared" ref="Z318:AB333" si="167">ABS(G318-G213)</f>
        <v>355422720</v>
      </c>
      <c r="AA318" s="7">
        <f t="shared" si="167"/>
        <v>0</v>
      </c>
      <c r="AB318" s="7">
        <f t="shared" si="167"/>
        <v>5.9999942000000139E-2</v>
      </c>
    </row>
    <row r="319" spans="1:28" x14ac:dyDescent="0.25">
      <c r="A319" s="2">
        <v>315</v>
      </c>
      <c r="B319">
        <v>3</v>
      </c>
      <c r="C319">
        <v>4</v>
      </c>
      <c r="D319">
        <v>2</v>
      </c>
      <c r="E319">
        <v>6</v>
      </c>
      <c r="G319">
        <v>1503726848</v>
      </c>
      <c r="H319">
        <v>-9999.9902340000008</v>
      </c>
      <c r="I319">
        <v>4.4099998469999999</v>
      </c>
      <c r="J319" s="9">
        <f>ABS(G319-G318)</f>
        <v>335380608</v>
      </c>
      <c r="L319" s="9">
        <f t="shared" si="165"/>
        <v>0</v>
      </c>
      <c r="M319" s="9">
        <f t="shared" si="165"/>
        <v>0</v>
      </c>
      <c r="N319" s="29">
        <f t="shared" si="138"/>
        <v>951004096</v>
      </c>
      <c r="O319" s="30">
        <f t="shared" si="139"/>
        <v>0.5735268978638558</v>
      </c>
      <c r="P319" s="30">
        <f t="shared" si="140"/>
        <v>1.1470537957277116</v>
      </c>
      <c r="Q319" s="29">
        <f t="shared" si="141"/>
        <v>10358.620238900001</v>
      </c>
      <c r="R319" s="30">
        <f t="shared" si="142"/>
        <v>9.627954621168584</v>
      </c>
      <c r="S319" s="30">
        <f t="shared" si="143"/>
        <v>19.255909242337168</v>
      </c>
      <c r="T319" s="37">
        <f t="shared" si="144"/>
        <v>0.31999969399999983</v>
      </c>
      <c r="U319" s="30">
        <f t="shared" si="145"/>
        <v>2.607984368617372E-2</v>
      </c>
      <c r="V319" s="38">
        <f t="shared" si="146"/>
        <v>5.9485577452678226E-4</v>
      </c>
      <c r="W319" s="9">
        <f t="shared" si="166"/>
        <v>104595200</v>
      </c>
      <c r="X319" s="12">
        <f t="shared" si="166"/>
        <v>10794.350219400001</v>
      </c>
      <c r="Y319" s="11">
        <f t="shared" si="166"/>
        <v>0.52999973299999992</v>
      </c>
      <c r="Z319" s="7">
        <f t="shared" si="167"/>
        <v>291362048</v>
      </c>
      <c r="AA319" s="7">
        <f t="shared" si="167"/>
        <v>0</v>
      </c>
      <c r="AB319" s="7">
        <f t="shared" si="167"/>
        <v>5.9999942000000139E-2</v>
      </c>
    </row>
    <row r="320" spans="1:28" x14ac:dyDescent="0.25">
      <c r="A320" s="2">
        <v>316</v>
      </c>
      <c r="B320">
        <v>4</v>
      </c>
      <c r="C320">
        <v>0</v>
      </c>
      <c r="D320">
        <v>0</v>
      </c>
      <c r="E320">
        <v>0</v>
      </c>
      <c r="G320">
        <v>14318056</v>
      </c>
      <c r="H320">
        <v>19.530000690000001</v>
      </c>
      <c r="I320">
        <v>2.3399999139999998</v>
      </c>
      <c r="N320" s="29">
        <f t="shared" si="138"/>
        <v>2218940696</v>
      </c>
      <c r="O320" s="30">
        <f t="shared" si="139"/>
        <v>0.33119623868227283</v>
      </c>
      <c r="P320" s="30">
        <f t="shared" si="140"/>
        <v>1.1039874622742427</v>
      </c>
      <c r="Q320" s="29">
        <f t="shared" si="141"/>
        <v>10019.520234690001</v>
      </c>
      <c r="R320" s="30">
        <f t="shared" si="142"/>
        <v>0.33398433399210053</v>
      </c>
      <c r="S320" s="30">
        <f t="shared" si="143"/>
        <v>1.1132811133070017</v>
      </c>
      <c r="T320" s="37">
        <f t="shared" si="144"/>
        <v>2.0699999330000001</v>
      </c>
      <c r="U320" s="30">
        <f t="shared" si="145"/>
        <v>0.15646258539805949</v>
      </c>
      <c r="V320" s="38">
        <f t="shared" si="146"/>
        <v>2.3000021717376761E-4</v>
      </c>
      <c r="W320" s="9">
        <f t="shared" si="166"/>
        <v>163383640</v>
      </c>
      <c r="X320" s="12">
        <f t="shared" si="166"/>
        <v>101.09999661000001</v>
      </c>
      <c r="Y320" s="11">
        <f t="shared" si="166"/>
        <v>1.6200001240000002</v>
      </c>
      <c r="Z320" s="7">
        <f t="shared" si="167"/>
        <v>9934028.5</v>
      </c>
      <c r="AA320" s="7">
        <f t="shared" si="167"/>
        <v>4.6400003500000011</v>
      </c>
      <c r="AB320" s="7">
        <f t="shared" si="167"/>
        <v>0</v>
      </c>
    </row>
    <row r="321" spans="1:28" x14ac:dyDescent="0.25">
      <c r="A321" s="2">
        <v>317</v>
      </c>
      <c r="B321">
        <v>4</v>
      </c>
      <c r="C321">
        <v>0</v>
      </c>
      <c r="D321">
        <v>0</v>
      </c>
      <c r="E321">
        <v>1</v>
      </c>
      <c r="G321">
        <v>15658970</v>
      </c>
      <c r="H321">
        <v>20.090000150000002</v>
      </c>
      <c r="I321">
        <v>2.3399999139999998</v>
      </c>
      <c r="J321" s="9">
        <f t="shared" ref="J321" si="168">ABS(G321-G320)</f>
        <v>1340914</v>
      </c>
      <c r="L321" s="9">
        <f t="shared" ref="L321:M326" si="169">ABS(H321-H320)</f>
        <v>0.55999946000000023</v>
      </c>
      <c r="M321" s="9">
        <f t="shared" si="169"/>
        <v>0</v>
      </c>
      <c r="N321" s="29">
        <f t="shared" si="138"/>
        <v>2201774630</v>
      </c>
      <c r="O321" s="30">
        <f t="shared" si="139"/>
        <v>0.33097941542270609</v>
      </c>
      <c r="P321" s="30">
        <f t="shared" si="140"/>
        <v>1.1032647180756869</v>
      </c>
      <c r="Q321" s="29">
        <f t="shared" si="141"/>
        <v>10020.08023415</v>
      </c>
      <c r="R321" s="30">
        <f t="shared" si="142"/>
        <v>0.33400300065899713</v>
      </c>
      <c r="S321" s="30">
        <f t="shared" si="143"/>
        <v>1.1133433355299904</v>
      </c>
      <c r="T321" s="37">
        <f t="shared" si="144"/>
        <v>2.0699999330000001</v>
      </c>
      <c r="U321" s="30">
        <f t="shared" si="145"/>
        <v>0.15646258539805949</v>
      </c>
      <c r="V321" s="38">
        <f t="shared" si="146"/>
        <v>2.3000021717376761E-4</v>
      </c>
      <c r="W321" s="9">
        <f t="shared" si="166"/>
        <v>161261910</v>
      </c>
      <c r="X321" s="12">
        <f t="shared" si="166"/>
        <v>101.14999775000001</v>
      </c>
      <c r="Y321" s="11">
        <f t="shared" si="166"/>
        <v>1.6200001240000002</v>
      </c>
      <c r="Z321" s="7">
        <f t="shared" si="167"/>
        <v>10275301.5</v>
      </c>
      <c r="AA321" s="7">
        <f t="shared" si="167"/>
        <v>4.5900001500000016</v>
      </c>
      <c r="AB321" s="7">
        <f t="shared" si="167"/>
        <v>0</v>
      </c>
    </row>
    <row r="322" spans="1:28" x14ac:dyDescent="0.25">
      <c r="A322" s="2">
        <v>318</v>
      </c>
      <c r="B322">
        <v>4</v>
      </c>
      <c r="C322">
        <v>0</v>
      </c>
      <c r="D322">
        <v>0</v>
      </c>
      <c r="E322">
        <v>2</v>
      </c>
      <c r="G322">
        <v>14926740</v>
      </c>
      <c r="H322">
        <v>19.799999239999998</v>
      </c>
      <c r="I322">
        <v>2.3399999139999998</v>
      </c>
      <c r="J322" s="9">
        <f t="shared" si="162"/>
        <v>732230</v>
      </c>
      <c r="L322" s="9">
        <f t="shared" si="169"/>
        <v>0.29000091000000339</v>
      </c>
      <c r="M322" s="9">
        <f t="shared" si="169"/>
        <v>0</v>
      </c>
      <c r="N322" s="29">
        <f t="shared" si="138"/>
        <v>2212833388</v>
      </c>
      <c r="O322" s="30">
        <f t="shared" si="139"/>
        <v>0.33109988820723402</v>
      </c>
      <c r="P322" s="30">
        <f t="shared" si="140"/>
        <v>1.1036662940241133</v>
      </c>
      <c r="Q322" s="29">
        <f t="shared" si="141"/>
        <v>10019.790233240001</v>
      </c>
      <c r="R322" s="30">
        <f t="shared" si="142"/>
        <v>0.33399333395255665</v>
      </c>
      <c r="S322" s="30">
        <f t="shared" si="143"/>
        <v>1.1133111131751887</v>
      </c>
      <c r="T322" s="37">
        <f t="shared" si="144"/>
        <v>2.0699999330000001</v>
      </c>
      <c r="U322" s="30">
        <f t="shared" si="145"/>
        <v>0.15646258539805949</v>
      </c>
      <c r="V322" s="38">
        <f t="shared" si="146"/>
        <v>2.3000021717376761E-4</v>
      </c>
      <c r="W322" s="9">
        <f t="shared" si="166"/>
        <v>162382780</v>
      </c>
      <c r="X322" s="12">
        <f t="shared" si="166"/>
        <v>100.78000256000001</v>
      </c>
      <c r="Y322" s="11">
        <f t="shared" si="166"/>
        <v>1.6200001240000002</v>
      </c>
      <c r="Z322" s="7">
        <f t="shared" si="167"/>
        <v>10069391</v>
      </c>
      <c r="AA322" s="7">
        <f t="shared" si="167"/>
        <v>4.6199989299999977</v>
      </c>
      <c r="AB322" s="7">
        <f t="shared" si="167"/>
        <v>0</v>
      </c>
    </row>
    <row r="323" spans="1:28" x14ac:dyDescent="0.25">
      <c r="A323" s="2">
        <v>319</v>
      </c>
      <c r="B323">
        <v>4</v>
      </c>
      <c r="C323">
        <v>0</v>
      </c>
      <c r="D323">
        <v>0</v>
      </c>
      <c r="E323">
        <v>3</v>
      </c>
      <c r="G323">
        <v>16702699</v>
      </c>
      <c r="H323">
        <v>20.549999239999998</v>
      </c>
      <c r="I323">
        <v>2.3399999139999998</v>
      </c>
      <c r="J323" s="9">
        <f t="shared" si="162"/>
        <v>1775959</v>
      </c>
      <c r="L323" s="9">
        <f t="shared" si="169"/>
        <v>0.75</v>
      </c>
      <c r="M323" s="9">
        <f t="shared" si="169"/>
        <v>0</v>
      </c>
      <c r="N323" s="29">
        <f t="shared" si="138"/>
        <v>2137646613</v>
      </c>
      <c r="O323" s="30">
        <f t="shared" si="139"/>
        <v>0.33074899554636383</v>
      </c>
      <c r="P323" s="30">
        <f t="shared" si="140"/>
        <v>1.1024966518212127</v>
      </c>
      <c r="Q323" s="29">
        <f t="shared" si="141"/>
        <v>10020.540233240001</v>
      </c>
      <c r="R323" s="30">
        <f t="shared" si="142"/>
        <v>0.33401833397697162</v>
      </c>
      <c r="S323" s="30">
        <f t="shared" si="143"/>
        <v>1.1133944465899055</v>
      </c>
      <c r="T323" s="37">
        <f t="shared" si="144"/>
        <v>2.0699999330000001</v>
      </c>
      <c r="U323" s="30">
        <f t="shared" si="145"/>
        <v>0.15646258539805949</v>
      </c>
      <c r="V323" s="38">
        <f t="shared" si="146"/>
        <v>2.3000021717376761E-4</v>
      </c>
      <c r="W323" s="9">
        <f t="shared" si="166"/>
        <v>155445509</v>
      </c>
      <c r="X323" s="12">
        <f t="shared" si="166"/>
        <v>99.119998960000004</v>
      </c>
      <c r="Y323" s="11">
        <f t="shared" si="166"/>
        <v>1.6200001240000002</v>
      </c>
      <c r="Z323" s="7">
        <f t="shared" si="167"/>
        <v>10490280</v>
      </c>
      <c r="AA323" s="7">
        <f t="shared" si="167"/>
        <v>4.5899991999999976</v>
      </c>
      <c r="AB323" s="7">
        <f t="shared" si="167"/>
        <v>0</v>
      </c>
    </row>
    <row r="324" spans="1:28" x14ac:dyDescent="0.25">
      <c r="A324" s="2">
        <v>320</v>
      </c>
      <c r="B324">
        <v>4</v>
      </c>
      <c r="C324">
        <v>0</v>
      </c>
      <c r="D324">
        <v>0</v>
      </c>
      <c r="E324">
        <v>4</v>
      </c>
      <c r="G324">
        <v>15200837</v>
      </c>
      <c r="H324">
        <v>19.870000839999999</v>
      </c>
      <c r="I324">
        <v>2.3399999139999998</v>
      </c>
      <c r="J324" s="9">
        <f t="shared" si="162"/>
        <v>1501862</v>
      </c>
      <c r="L324" s="9">
        <f t="shared" si="169"/>
        <v>0.67999839999999878</v>
      </c>
      <c r="M324" s="9">
        <f t="shared" si="169"/>
        <v>0</v>
      </c>
      <c r="N324" s="29">
        <f t="shared" si="138"/>
        <v>1949238203</v>
      </c>
      <c r="O324" s="30">
        <f t="shared" si="139"/>
        <v>0.3307539986919964</v>
      </c>
      <c r="P324" s="30">
        <f t="shared" si="140"/>
        <v>1.1025133289733213</v>
      </c>
      <c r="Q324" s="29">
        <f t="shared" si="141"/>
        <v>10019.86023484</v>
      </c>
      <c r="R324" s="30">
        <f t="shared" si="142"/>
        <v>0.33399566734150204</v>
      </c>
      <c r="S324" s="30">
        <f t="shared" si="143"/>
        <v>1.11331889113834</v>
      </c>
      <c r="T324" s="37">
        <f t="shared" si="144"/>
        <v>2.0699999330000001</v>
      </c>
      <c r="U324" s="30">
        <f t="shared" si="145"/>
        <v>0.15646258539805949</v>
      </c>
      <c r="V324" s="38">
        <f t="shared" si="146"/>
        <v>2.3000021717376761E-4</v>
      </c>
      <c r="W324" s="9">
        <f t="shared" si="166"/>
        <v>141470523</v>
      </c>
      <c r="X324" s="12">
        <f t="shared" si="166"/>
        <v>93.540002860000001</v>
      </c>
      <c r="Y324" s="11">
        <f t="shared" si="166"/>
        <v>1.6200001240000002</v>
      </c>
      <c r="Z324" s="7">
        <f t="shared" si="167"/>
        <v>10088701</v>
      </c>
      <c r="AA324" s="7">
        <f t="shared" si="167"/>
        <v>4.5500011499999999</v>
      </c>
      <c r="AB324" s="7">
        <f t="shared" si="167"/>
        <v>0</v>
      </c>
    </row>
    <row r="325" spans="1:28" x14ac:dyDescent="0.25">
      <c r="A325" s="2">
        <v>321</v>
      </c>
      <c r="B325">
        <v>4</v>
      </c>
      <c r="C325">
        <v>0</v>
      </c>
      <c r="D325">
        <v>0</v>
      </c>
      <c r="E325">
        <v>5</v>
      </c>
      <c r="G325">
        <v>13491281</v>
      </c>
      <c r="H325">
        <v>19.299999239999998</v>
      </c>
      <c r="I325">
        <v>2.3399999139999998</v>
      </c>
      <c r="J325" s="9">
        <f t="shared" si="162"/>
        <v>1709556</v>
      </c>
      <c r="L325" s="9">
        <f t="shared" si="169"/>
        <v>0.57000160000000122</v>
      </c>
      <c r="M325" s="9">
        <f t="shared" si="169"/>
        <v>0</v>
      </c>
      <c r="N325" s="29">
        <f t="shared" si="138"/>
        <v>1825616175</v>
      </c>
      <c r="O325" s="30">
        <f t="shared" si="139"/>
        <v>0.33088807454652613</v>
      </c>
      <c r="P325" s="30">
        <f t="shared" si="140"/>
        <v>1.1029602484884204</v>
      </c>
      <c r="Q325" s="29">
        <f t="shared" si="141"/>
        <v>10019.290233240001</v>
      </c>
      <c r="R325" s="30">
        <f t="shared" si="142"/>
        <v>0.33397666726961323</v>
      </c>
      <c r="S325" s="30">
        <f t="shared" si="143"/>
        <v>1.1132555575653775</v>
      </c>
      <c r="T325" s="37">
        <f t="shared" si="144"/>
        <v>2.0699999330000001</v>
      </c>
      <c r="U325" s="30">
        <f t="shared" si="145"/>
        <v>0.15646258539805949</v>
      </c>
      <c r="V325" s="38">
        <f t="shared" si="146"/>
        <v>2.3000021717376761E-4</v>
      </c>
      <c r="W325" s="9">
        <f t="shared" si="166"/>
        <v>131202959</v>
      </c>
      <c r="X325" s="12">
        <f t="shared" si="166"/>
        <v>85.399997659999997</v>
      </c>
      <c r="Y325" s="11">
        <f t="shared" si="166"/>
        <v>1.6200001240000002</v>
      </c>
      <c r="Z325" s="7">
        <f t="shared" si="167"/>
        <v>9382160.5</v>
      </c>
      <c r="AA325" s="7">
        <f t="shared" si="167"/>
        <v>4.5299987799999979</v>
      </c>
      <c r="AB325" s="7">
        <f t="shared" si="167"/>
        <v>0</v>
      </c>
    </row>
    <row r="326" spans="1:28" x14ac:dyDescent="0.25">
      <c r="A326" s="2">
        <v>322</v>
      </c>
      <c r="B326">
        <v>4</v>
      </c>
      <c r="C326">
        <v>0</v>
      </c>
      <c r="D326">
        <v>0</v>
      </c>
      <c r="E326">
        <v>6</v>
      </c>
      <c r="G326">
        <v>9305694</v>
      </c>
      <c r="H326">
        <v>17.379999160000001</v>
      </c>
      <c r="I326">
        <v>2.3399999139999998</v>
      </c>
      <c r="J326" s="9">
        <f t="shared" si="162"/>
        <v>4185587</v>
      </c>
      <c r="L326" s="9">
        <f t="shared" si="169"/>
        <v>1.9200000799999977</v>
      </c>
      <c r="M326" s="9">
        <f t="shared" si="169"/>
        <v>0</v>
      </c>
      <c r="N326" s="29">
        <f t="shared" si="138"/>
        <v>1494421154</v>
      </c>
      <c r="O326" s="30">
        <f t="shared" si="139"/>
        <v>0.33127052651165184</v>
      </c>
      <c r="P326" s="30">
        <f t="shared" si="140"/>
        <v>1.1042350883721728</v>
      </c>
      <c r="Q326" s="29">
        <f t="shared" si="141"/>
        <v>10017.370233160002</v>
      </c>
      <c r="R326" s="30">
        <f t="shared" si="142"/>
        <v>0.33391266720444412</v>
      </c>
      <c r="S326" s="30">
        <f t="shared" si="143"/>
        <v>1.1130422240148137</v>
      </c>
      <c r="T326" s="37">
        <f t="shared" si="144"/>
        <v>2.0699999330000001</v>
      </c>
      <c r="U326" s="30">
        <f t="shared" si="145"/>
        <v>0.15646258539805949</v>
      </c>
      <c r="V326" s="38">
        <f t="shared" si="146"/>
        <v>2.3000021717376761E-4</v>
      </c>
      <c r="W326" s="9">
        <f t="shared" si="166"/>
        <v>106286506</v>
      </c>
      <c r="X326" s="12">
        <f t="shared" si="166"/>
        <v>71.560003280000004</v>
      </c>
      <c r="Y326" s="11">
        <f t="shared" si="166"/>
        <v>1.6200001240000002</v>
      </c>
      <c r="Z326" s="7">
        <f t="shared" si="167"/>
        <v>8118859.6200000001</v>
      </c>
      <c r="AA326" s="7">
        <f t="shared" si="167"/>
        <v>4.5199995000000008</v>
      </c>
      <c r="AB326" s="7">
        <f t="shared" si="167"/>
        <v>0</v>
      </c>
    </row>
    <row r="327" spans="1:28" x14ac:dyDescent="0.25">
      <c r="A327" s="2">
        <v>323</v>
      </c>
      <c r="B327">
        <v>4</v>
      </c>
      <c r="C327">
        <v>0</v>
      </c>
      <c r="D327">
        <v>1</v>
      </c>
      <c r="E327">
        <v>0</v>
      </c>
      <c r="G327">
        <v>237345376</v>
      </c>
      <c r="H327">
        <v>47.47000122</v>
      </c>
      <c r="I327">
        <v>2.4000000950000002</v>
      </c>
      <c r="N327" s="29">
        <f t="shared" si="138"/>
        <v>223027320</v>
      </c>
      <c r="O327" s="30">
        <f t="shared" si="139"/>
        <v>5.1922160382666478</v>
      </c>
      <c r="P327" s="30">
        <f t="shared" si="140"/>
        <v>5.1922160382666478</v>
      </c>
      <c r="Q327" s="29">
        <f t="shared" si="141"/>
        <v>27.940000529999999</v>
      </c>
      <c r="R327" s="30">
        <f t="shared" si="142"/>
        <v>0.47687317874846419</v>
      </c>
      <c r="S327" s="30">
        <f t="shared" si="143"/>
        <v>0.47687317874846419</v>
      </c>
      <c r="T327" s="37">
        <f t="shared" si="144"/>
        <v>6.0000181000000374E-2</v>
      </c>
      <c r="U327" s="30">
        <f t="shared" si="145"/>
        <v>8.5470346446061708E-3</v>
      </c>
      <c r="V327" s="38">
        <f t="shared" si="146"/>
        <v>1.0240685932783476E-3</v>
      </c>
      <c r="W327" s="9">
        <f t="shared" si="166"/>
        <v>584823904</v>
      </c>
      <c r="X327" s="12">
        <f t="shared" si="166"/>
        <v>456.79000857999995</v>
      </c>
      <c r="Y327" s="11">
        <f t="shared" si="166"/>
        <v>1.6900000579999999</v>
      </c>
      <c r="Z327" s="7">
        <f t="shared" si="167"/>
        <v>100552656</v>
      </c>
      <c r="AA327" s="7">
        <f t="shared" si="167"/>
        <v>6.5600013700000019</v>
      </c>
      <c r="AB327" s="7">
        <f t="shared" si="167"/>
        <v>9.9999900000002917E-3</v>
      </c>
    </row>
    <row r="328" spans="1:28" x14ac:dyDescent="0.25">
      <c r="A328" s="2">
        <v>324</v>
      </c>
      <c r="B328">
        <v>4</v>
      </c>
      <c r="C328">
        <v>0</v>
      </c>
      <c r="D328">
        <v>1</v>
      </c>
      <c r="E328">
        <v>1</v>
      </c>
      <c r="G328">
        <v>241181840</v>
      </c>
      <c r="H328">
        <v>48.25</v>
      </c>
      <c r="I328">
        <v>2.4000000950000002</v>
      </c>
      <c r="J328" s="9">
        <f t="shared" ref="J328" si="170">ABS(G328-G327)</f>
        <v>3836464</v>
      </c>
      <c r="L328" s="9">
        <f t="shared" ref="L328:M333" si="171">ABS(H328-H327)</f>
        <v>0.77999877999999967</v>
      </c>
      <c r="M328" s="9">
        <f t="shared" si="171"/>
        <v>0</v>
      </c>
      <c r="N328" s="29">
        <f t="shared" si="138"/>
        <v>225522870</v>
      </c>
      <c r="O328" s="30">
        <f t="shared" si="139"/>
        <v>4.8007174162796149</v>
      </c>
      <c r="P328" s="30">
        <f t="shared" si="140"/>
        <v>4.8007174162796149</v>
      </c>
      <c r="Q328" s="29">
        <f t="shared" si="141"/>
        <v>28.159999849999998</v>
      </c>
      <c r="R328" s="30">
        <f t="shared" si="142"/>
        <v>0.46723078877959417</v>
      </c>
      <c r="S328" s="30">
        <f t="shared" si="143"/>
        <v>0.46723078877959417</v>
      </c>
      <c r="T328" s="37">
        <f t="shared" si="144"/>
        <v>6.0000181000000374E-2</v>
      </c>
      <c r="U328" s="30">
        <f t="shared" si="145"/>
        <v>8.5470346446061708E-3</v>
      </c>
      <c r="V328" s="38">
        <f t="shared" si="146"/>
        <v>9.9552315500273689E-4</v>
      </c>
      <c r="W328" s="9">
        <f t="shared" si="166"/>
        <v>576457328</v>
      </c>
      <c r="X328" s="12">
        <f t="shared" si="166"/>
        <v>458.0499878</v>
      </c>
      <c r="Y328" s="11">
        <f t="shared" si="166"/>
        <v>1.6900000579999999</v>
      </c>
      <c r="Z328" s="7">
        <f t="shared" si="167"/>
        <v>100872320</v>
      </c>
      <c r="AA328" s="7">
        <f t="shared" si="167"/>
        <v>6.5600013700000019</v>
      </c>
      <c r="AB328" s="7">
        <f t="shared" si="167"/>
        <v>9.9999900000002917E-3</v>
      </c>
    </row>
    <row r="329" spans="1:28" x14ac:dyDescent="0.25">
      <c r="A329" s="2">
        <v>325</v>
      </c>
      <c r="B329">
        <v>4</v>
      </c>
      <c r="C329">
        <v>0</v>
      </c>
      <c r="D329">
        <v>1</v>
      </c>
      <c r="E329">
        <v>2</v>
      </c>
      <c r="G329">
        <v>239069216</v>
      </c>
      <c r="H329">
        <v>47.83000183</v>
      </c>
      <c r="I329">
        <v>2.4000000950000002</v>
      </c>
      <c r="J329" s="9">
        <f t="shared" si="159"/>
        <v>2112624</v>
      </c>
      <c r="L329" s="9">
        <f t="shared" si="171"/>
        <v>0.4199981699999995</v>
      </c>
      <c r="M329" s="9">
        <f t="shared" si="171"/>
        <v>0</v>
      </c>
      <c r="N329" s="29">
        <f t="shared" si="138"/>
        <v>224142476</v>
      </c>
      <c r="O329" s="30">
        <f t="shared" si="139"/>
        <v>5.0053902370287595</v>
      </c>
      <c r="P329" s="30">
        <f t="shared" si="140"/>
        <v>5.0053902370287595</v>
      </c>
      <c r="Q329" s="29">
        <f t="shared" si="141"/>
        <v>28.030002590000002</v>
      </c>
      <c r="R329" s="30">
        <f t="shared" si="142"/>
        <v>0.47188558360099558</v>
      </c>
      <c r="S329" s="30">
        <f t="shared" si="143"/>
        <v>0.47188558360099558</v>
      </c>
      <c r="T329" s="37">
        <f t="shared" si="144"/>
        <v>6.0000181000000374E-2</v>
      </c>
      <c r="U329" s="30">
        <f t="shared" si="145"/>
        <v>8.5470346446061708E-3</v>
      </c>
      <c r="V329" s="38">
        <f t="shared" si="146"/>
        <v>1.010104096010736E-3</v>
      </c>
      <c r="W329" s="9">
        <f t="shared" si="166"/>
        <v>581256416</v>
      </c>
      <c r="X329" s="12">
        <f t="shared" si="166"/>
        <v>456.03999326999997</v>
      </c>
      <c r="Y329" s="11">
        <f t="shared" si="166"/>
        <v>1.6900000579999999</v>
      </c>
      <c r="Z329" s="7">
        <f t="shared" si="167"/>
        <v>100701424</v>
      </c>
      <c r="AA329" s="7">
        <f t="shared" si="167"/>
        <v>6.5500030500000008</v>
      </c>
      <c r="AB329" s="7">
        <f t="shared" si="167"/>
        <v>9.9999900000002917E-3</v>
      </c>
    </row>
    <row r="330" spans="1:28" x14ac:dyDescent="0.25">
      <c r="A330" s="2">
        <v>326</v>
      </c>
      <c r="B330">
        <v>4</v>
      </c>
      <c r="C330">
        <v>0</v>
      </c>
      <c r="D330">
        <v>1</v>
      </c>
      <c r="E330">
        <v>3</v>
      </c>
      <c r="G330">
        <v>241505392</v>
      </c>
      <c r="H330">
        <v>48.849998470000003</v>
      </c>
      <c r="I330">
        <v>2.4100000860000002</v>
      </c>
      <c r="J330" s="9">
        <f t="shared" si="159"/>
        <v>2436176</v>
      </c>
      <c r="L330" s="9">
        <f t="shared" si="171"/>
        <v>1.0199966400000022</v>
      </c>
      <c r="M330" s="9">
        <f t="shared" si="171"/>
        <v>9.9999909999999304E-3</v>
      </c>
      <c r="N330" s="29">
        <f t="shared" si="138"/>
        <v>224802693</v>
      </c>
      <c r="O330" s="30">
        <f t="shared" si="139"/>
        <v>4.4863546304702018</v>
      </c>
      <c r="P330" s="30">
        <f t="shared" si="140"/>
        <v>4.4863546304702018</v>
      </c>
      <c r="Q330" s="29">
        <f t="shared" si="141"/>
        <v>28.299999230000005</v>
      </c>
      <c r="R330" s="30">
        <f t="shared" si="142"/>
        <v>0.4590429890773402</v>
      </c>
      <c r="S330" s="30">
        <f t="shared" si="143"/>
        <v>0.4590429890773402</v>
      </c>
      <c r="T330" s="37">
        <f t="shared" si="144"/>
        <v>7.0000172000000305E-2</v>
      </c>
      <c r="U330" s="30">
        <f t="shared" si="145"/>
        <v>9.9715348394097281E-3</v>
      </c>
      <c r="V330" s="38">
        <f t="shared" si="146"/>
        <v>1.1354448432897737E-3</v>
      </c>
      <c r="W330" s="9">
        <f t="shared" ref="W330:Y345" si="172">ABS(G330-G309)</f>
        <v>554103056</v>
      </c>
      <c r="X330" s="12">
        <f t="shared" si="172"/>
        <v>449.69998932999999</v>
      </c>
      <c r="Y330" s="11">
        <f t="shared" si="172"/>
        <v>1.6800000669999999</v>
      </c>
      <c r="Z330" s="7">
        <f t="shared" si="167"/>
        <v>99460976</v>
      </c>
      <c r="AA330" s="7">
        <f t="shared" si="167"/>
        <v>6.5499992300000045</v>
      </c>
      <c r="AB330" s="7">
        <f t="shared" si="167"/>
        <v>1.9999981000000222E-2</v>
      </c>
    </row>
    <row r="331" spans="1:28" x14ac:dyDescent="0.25">
      <c r="A331" s="2">
        <v>327</v>
      </c>
      <c r="B331">
        <v>4</v>
      </c>
      <c r="C331">
        <v>0</v>
      </c>
      <c r="D331">
        <v>1</v>
      </c>
      <c r="E331">
        <v>4</v>
      </c>
      <c r="G331">
        <v>225544000</v>
      </c>
      <c r="H331">
        <v>47.680000309999997</v>
      </c>
      <c r="I331">
        <v>2.4100000860000002</v>
      </c>
      <c r="J331" s="9">
        <f t="shared" si="159"/>
        <v>15961392</v>
      </c>
      <c r="L331" s="9">
        <f t="shared" si="171"/>
        <v>1.1699981600000058</v>
      </c>
      <c r="M331" s="9">
        <f t="shared" si="171"/>
        <v>0</v>
      </c>
      <c r="N331" s="29">
        <f t="shared" si="138"/>
        <v>210343163</v>
      </c>
      <c r="O331" s="30">
        <f t="shared" si="139"/>
        <v>4.6125346694176557</v>
      </c>
      <c r="P331" s="30">
        <f t="shared" si="140"/>
        <v>4.6125346694176557</v>
      </c>
      <c r="Q331" s="29">
        <f t="shared" si="141"/>
        <v>27.809999469999998</v>
      </c>
      <c r="R331" s="30">
        <f t="shared" si="142"/>
        <v>0.46653243238279263</v>
      </c>
      <c r="S331" s="30">
        <f t="shared" si="143"/>
        <v>0.46653243238279263</v>
      </c>
      <c r="T331" s="37">
        <f t="shared" si="144"/>
        <v>7.0000172000000305E-2</v>
      </c>
      <c r="U331" s="30">
        <f t="shared" si="145"/>
        <v>9.9715348394097281E-3</v>
      </c>
      <c r="V331" s="38">
        <f t="shared" si="146"/>
        <v>1.1743024499372276E-3</v>
      </c>
      <c r="W331" s="9">
        <f t="shared" si="172"/>
        <v>501323264</v>
      </c>
      <c r="X331" s="12">
        <f t="shared" si="172"/>
        <v>420.39998629000002</v>
      </c>
      <c r="Y331" s="11">
        <f t="shared" si="172"/>
        <v>1.6800000669999999</v>
      </c>
      <c r="Z331" s="7">
        <f t="shared" si="167"/>
        <v>92065104</v>
      </c>
      <c r="AA331" s="7">
        <f t="shared" si="167"/>
        <v>6.4500007699999955</v>
      </c>
      <c r="AB331" s="7">
        <f t="shared" si="167"/>
        <v>1.9999981000000222E-2</v>
      </c>
    </row>
    <row r="332" spans="1:28" x14ac:dyDescent="0.25">
      <c r="A332" s="2">
        <v>328</v>
      </c>
      <c r="B332">
        <v>4</v>
      </c>
      <c r="C332">
        <v>0</v>
      </c>
      <c r="D332">
        <v>1</v>
      </c>
      <c r="E332">
        <v>5</v>
      </c>
      <c r="G332">
        <v>211057648</v>
      </c>
      <c r="H332">
        <v>47.11000061</v>
      </c>
      <c r="I332">
        <v>2.4100000860000002</v>
      </c>
      <c r="J332" s="9">
        <f t="shared" si="159"/>
        <v>14486352</v>
      </c>
      <c r="L332" s="9">
        <f t="shared" si="171"/>
        <v>0.56999969999999678</v>
      </c>
      <c r="M332" s="9">
        <f t="shared" si="171"/>
        <v>0</v>
      </c>
      <c r="N332" s="29">
        <f t="shared" si="138"/>
        <v>197566367</v>
      </c>
      <c r="O332" s="30">
        <f t="shared" si="139"/>
        <v>4.8813345201739304</v>
      </c>
      <c r="P332" s="30">
        <f t="shared" si="140"/>
        <v>4.8813345201739304</v>
      </c>
      <c r="Q332" s="29">
        <f t="shared" si="141"/>
        <v>27.810001370000002</v>
      </c>
      <c r="R332" s="30">
        <f t="shared" si="142"/>
        <v>0.48031092340429898</v>
      </c>
      <c r="S332" s="30">
        <f t="shared" si="143"/>
        <v>0.48031092340429898</v>
      </c>
      <c r="T332" s="37">
        <f t="shared" si="144"/>
        <v>7.0000172000000305E-2</v>
      </c>
      <c r="U332" s="30">
        <f t="shared" si="145"/>
        <v>9.9715348394097281E-3</v>
      </c>
      <c r="V332" s="38">
        <f t="shared" si="146"/>
        <v>1.2089840199738147E-3</v>
      </c>
      <c r="W332" s="9">
        <f t="shared" si="172"/>
        <v>467169424</v>
      </c>
      <c r="X332" s="12">
        <f t="shared" si="172"/>
        <v>383.94999698999999</v>
      </c>
      <c r="Y332" s="11">
        <f t="shared" si="172"/>
        <v>1.6800000669999999</v>
      </c>
      <c r="Z332" s="7">
        <f t="shared" si="167"/>
        <v>86262768</v>
      </c>
      <c r="AA332" s="7">
        <f t="shared" si="167"/>
        <v>6.4000015299999973</v>
      </c>
      <c r="AB332" s="7">
        <f t="shared" si="167"/>
        <v>1.9999981000000222E-2</v>
      </c>
    </row>
    <row r="333" spans="1:28" x14ac:dyDescent="0.25">
      <c r="A333" s="2">
        <v>329</v>
      </c>
      <c r="B333">
        <v>4</v>
      </c>
      <c r="C333">
        <v>0</v>
      </c>
      <c r="D333">
        <v>1</v>
      </c>
      <c r="E333">
        <v>6</v>
      </c>
      <c r="G333">
        <v>176272480</v>
      </c>
      <c r="H333">
        <v>44.25</v>
      </c>
      <c r="I333">
        <v>2.4100000860000002</v>
      </c>
      <c r="J333" s="9">
        <f t="shared" si="159"/>
        <v>34785168</v>
      </c>
      <c r="L333" s="9">
        <f t="shared" si="171"/>
        <v>2.8600006100000002</v>
      </c>
      <c r="M333" s="9">
        <f t="shared" si="171"/>
        <v>0</v>
      </c>
      <c r="N333" s="29">
        <f t="shared" ref="N333:N396" si="173">ABS(G333-G326)</f>
        <v>166966786</v>
      </c>
      <c r="O333" s="30">
        <f t="shared" ref="O333:O396" si="174">(N333/ABS(G326))/3</f>
        <v>5.9808108168325047</v>
      </c>
      <c r="P333" s="30">
        <f t="shared" ref="P333:P396" si="175">(N333/ABS(G326))/(IF(AND(D333=1,D326=0),(2400-600)/600,IF(AND(D333=2,D326=1),(6000-2400)/2400,IF(AND(D333=0,D326=2),ABS(600-6000)/6000,"Not Valid"))))</f>
        <v>5.9808108168325047</v>
      </c>
      <c r="Q333" s="29">
        <f t="shared" ref="Q333:Q396" si="176">ABS(H333-H326)</f>
        <v>26.870000839999999</v>
      </c>
      <c r="R333" s="30">
        <f t="shared" ref="R333:R396" si="177">(Q333/ABS(H326))/3</f>
        <v>0.5153433475002922</v>
      </c>
      <c r="S333" s="30">
        <f t="shared" ref="S333:S396" si="178">(Q333/ABS(H326))/(IF(AND(D333=1,D326=0),(2400-600)/600,IF(AND(D333=2,D326=1),(6000-2400)/2400,IF(AND(D333=0,D326=2),ABS(600-6000)/6000,"Not Valid"))))</f>
        <v>0.5153433475002922</v>
      </c>
      <c r="T333" s="37">
        <f t="shared" ref="T333:T396" si="179">ABS(I333-I326)</f>
        <v>7.0000172000000305E-2</v>
      </c>
      <c r="U333" s="30">
        <f t="shared" ref="U333:U396" si="180">(T333/ABS(I326))/3</f>
        <v>9.9715348394097281E-3</v>
      </c>
      <c r="V333" s="38">
        <f t="shared" ref="V333:V396" si="181">(T333/ABS(H326))/(IF(AND(D333=1,D326=0),(2400-600)/600,IF(AND(D333=2,D326=1),(6000-2400)/2400,IF(AND(D333=0,D326=2),ABS(600-6000)/6000,"Not Valid"))))</f>
        <v>1.342542680920749E-3</v>
      </c>
      <c r="W333" s="9">
        <f t="shared" si="172"/>
        <v>376450272</v>
      </c>
      <c r="X333" s="12">
        <f t="shared" si="172"/>
        <v>314.38000490000002</v>
      </c>
      <c r="Y333" s="11">
        <f t="shared" si="172"/>
        <v>1.6800000669999999</v>
      </c>
      <c r="Z333" s="7">
        <f t="shared" si="167"/>
        <v>72041224</v>
      </c>
      <c r="AA333" s="7">
        <f t="shared" si="167"/>
        <v>6.2200012200000003</v>
      </c>
      <c r="AB333" s="7">
        <f t="shared" si="167"/>
        <v>1.9999981000000222E-2</v>
      </c>
    </row>
    <row r="334" spans="1:28" x14ac:dyDescent="0.25">
      <c r="A334" s="2">
        <v>330</v>
      </c>
      <c r="B334">
        <v>4</v>
      </c>
      <c r="C334">
        <v>0</v>
      </c>
      <c r="D334">
        <v>2</v>
      </c>
      <c r="E334">
        <v>0</v>
      </c>
      <c r="G334">
        <v>854337024</v>
      </c>
      <c r="H334">
        <v>84.41999817</v>
      </c>
      <c r="I334">
        <v>2.5699999330000001</v>
      </c>
      <c r="N334" s="29">
        <f t="shared" si="173"/>
        <v>616991648</v>
      </c>
      <c r="O334" s="30">
        <f t="shared" si="174"/>
        <v>0.86651733491815186</v>
      </c>
      <c r="P334" s="30">
        <f t="shared" si="175"/>
        <v>1.7330346698363037</v>
      </c>
      <c r="Q334" s="29">
        <f t="shared" si="176"/>
        <v>36.949996949999999</v>
      </c>
      <c r="R334" s="30">
        <f t="shared" si="177"/>
        <v>0.25946208833908263</v>
      </c>
      <c r="S334" s="30">
        <f t="shared" si="178"/>
        <v>0.51892417667816526</v>
      </c>
      <c r="T334" s="37">
        <f t="shared" si="179"/>
        <v>0.16999983799999985</v>
      </c>
      <c r="U334" s="30">
        <f t="shared" si="180"/>
        <v>2.3611087676505535E-2</v>
      </c>
      <c r="V334" s="38">
        <f t="shared" si="181"/>
        <v>2.3874704533519966E-3</v>
      </c>
      <c r="W334" s="9">
        <f t="shared" si="172"/>
        <v>1378921728</v>
      </c>
      <c r="X334" s="12">
        <f t="shared" si="172"/>
        <v>10084.410232170001</v>
      </c>
      <c r="Y334" s="11">
        <f t="shared" si="172"/>
        <v>1.8399999139999998</v>
      </c>
      <c r="Z334" s="7">
        <f t="shared" ref="Z334:AB349" si="182">ABS(G334-G229)</f>
        <v>307829888</v>
      </c>
      <c r="AA334" s="7">
        <f t="shared" si="182"/>
        <v>9.7999954200000019</v>
      </c>
      <c r="AB334" s="7">
        <f t="shared" si="182"/>
        <v>2.999997100000007E-2</v>
      </c>
    </row>
    <row r="335" spans="1:28" x14ac:dyDescent="0.25">
      <c r="A335" s="2">
        <v>331</v>
      </c>
      <c r="B335">
        <v>4</v>
      </c>
      <c r="C335">
        <v>0</v>
      </c>
      <c r="D335">
        <v>2</v>
      </c>
      <c r="E335">
        <v>1</v>
      </c>
      <c r="G335">
        <v>863999488</v>
      </c>
      <c r="H335">
        <v>87.050003050000001</v>
      </c>
      <c r="I335">
        <v>2.5699999330000001</v>
      </c>
      <c r="J335" s="9">
        <f t="shared" ref="J335" si="183">ABS(G335-G334)</f>
        <v>9662464</v>
      </c>
      <c r="L335" s="9">
        <f t="shared" ref="L335:M340" si="184">ABS(H335-H334)</f>
        <v>2.6300048800000013</v>
      </c>
      <c r="M335" s="9">
        <f t="shared" si="184"/>
        <v>0</v>
      </c>
      <c r="N335" s="29">
        <f t="shared" si="173"/>
        <v>622817648</v>
      </c>
      <c r="O335" s="30">
        <f t="shared" si="174"/>
        <v>0.86078571532030212</v>
      </c>
      <c r="P335" s="30">
        <f t="shared" si="175"/>
        <v>1.7215714306406042</v>
      </c>
      <c r="Q335" s="29">
        <f t="shared" si="176"/>
        <v>38.800003050000001</v>
      </c>
      <c r="R335" s="30">
        <f t="shared" si="177"/>
        <v>0.26804838031088085</v>
      </c>
      <c r="S335" s="30">
        <f t="shared" si="178"/>
        <v>0.5360967606217617</v>
      </c>
      <c r="T335" s="37">
        <f t="shared" si="179"/>
        <v>0.16999983799999985</v>
      </c>
      <c r="U335" s="30">
        <f t="shared" si="180"/>
        <v>2.3611087676505535E-2</v>
      </c>
      <c r="V335" s="38">
        <f t="shared" si="181"/>
        <v>2.3488751364421395E-3</v>
      </c>
      <c r="W335" s="9">
        <f t="shared" si="172"/>
        <v>1353434112</v>
      </c>
      <c r="X335" s="12">
        <f t="shared" si="172"/>
        <v>10087.040237050001</v>
      </c>
      <c r="Y335" s="11">
        <f t="shared" si="172"/>
        <v>1.8399999139999998</v>
      </c>
      <c r="Z335" s="7">
        <f t="shared" si="182"/>
        <v>308059648</v>
      </c>
      <c r="AA335" s="7">
        <f t="shared" si="182"/>
        <v>10.069999690000003</v>
      </c>
      <c r="AB335" s="7">
        <f t="shared" si="182"/>
        <v>2.999997100000007E-2</v>
      </c>
    </row>
    <row r="336" spans="1:28" x14ac:dyDescent="0.25">
      <c r="A336" s="2">
        <v>332</v>
      </c>
      <c r="B336">
        <v>4</v>
      </c>
      <c r="C336">
        <v>0</v>
      </c>
      <c r="D336">
        <v>2</v>
      </c>
      <c r="E336">
        <v>2</v>
      </c>
      <c r="G336">
        <v>859129344</v>
      </c>
      <c r="H336">
        <v>85.66999817</v>
      </c>
      <c r="I336">
        <v>2.5699999330000001</v>
      </c>
      <c r="J336" s="9">
        <f t="shared" si="162"/>
        <v>4870144</v>
      </c>
      <c r="L336" s="9">
        <f t="shared" si="184"/>
        <v>1.3800048800000013</v>
      </c>
      <c r="M336" s="9">
        <f t="shared" si="184"/>
        <v>0</v>
      </c>
      <c r="N336" s="29">
        <f t="shared" si="173"/>
        <v>620060128</v>
      </c>
      <c r="O336" s="30">
        <f t="shared" si="174"/>
        <v>0.86454756823786694</v>
      </c>
      <c r="P336" s="30">
        <f t="shared" si="175"/>
        <v>1.7290951364757339</v>
      </c>
      <c r="Q336" s="29">
        <f t="shared" si="176"/>
        <v>37.839996339999999</v>
      </c>
      <c r="R336" s="30">
        <f t="shared" si="177"/>
        <v>0.26371172132011045</v>
      </c>
      <c r="S336" s="30">
        <f t="shared" si="178"/>
        <v>0.5274234426402209</v>
      </c>
      <c r="T336" s="37">
        <f t="shared" si="179"/>
        <v>0.16999983799999985</v>
      </c>
      <c r="U336" s="30">
        <f t="shared" si="180"/>
        <v>2.3611087676505535E-2</v>
      </c>
      <c r="V336" s="38">
        <f t="shared" si="181"/>
        <v>2.3695007526060392E-3</v>
      </c>
      <c r="W336" s="9">
        <f t="shared" si="172"/>
        <v>1368630784</v>
      </c>
      <c r="X336" s="12">
        <f t="shared" si="172"/>
        <v>10085.660232170001</v>
      </c>
      <c r="Y336" s="11">
        <f t="shared" si="172"/>
        <v>1.8399999139999998</v>
      </c>
      <c r="Z336" s="7">
        <f t="shared" si="182"/>
        <v>308117632</v>
      </c>
      <c r="AA336" s="7">
        <f t="shared" si="182"/>
        <v>9.9300003099999969</v>
      </c>
      <c r="AB336" s="7">
        <f t="shared" si="182"/>
        <v>2.999997100000007E-2</v>
      </c>
    </row>
    <row r="337" spans="1:28" x14ac:dyDescent="0.25">
      <c r="A337" s="2">
        <v>333</v>
      </c>
      <c r="B337">
        <v>4</v>
      </c>
      <c r="C337">
        <v>0</v>
      </c>
      <c r="D337">
        <v>2</v>
      </c>
      <c r="E337">
        <v>3</v>
      </c>
      <c r="G337">
        <v>862512192</v>
      </c>
      <c r="H337">
        <v>90</v>
      </c>
      <c r="I337">
        <v>2.5699999330000001</v>
      </c>
      <c r="J337" s="9">
        <f t="shared" si="162"/>
        <v>3382848</v>
      </c>
      <c r="L337" s="9">
        <f t="shared" si="184"/>
        <v>4.3300018300000005</v>
      </c>
      <c r="M337" s="9">
        <f t="shared" si="184"/>
        <v>0</v>
      </c>
      <c r="N337" s="29">
        <f t="shared" si="173"/>
        <v>621006800</v>
      </c>
      <c r="O337" s="30">
        <f t="shared" si="174"/>
        <v>0.85713310561060541</v>
      </c>
      <c r="P337" s="30">
        <f t="shared" si="175"/>
        <v>1.7142662112212108</v>
      </c>
      <c r="Q337" s="29">
        <f t="shared" si="176"/>
        <v>41.150001529999997</v>
      </c>
      <c r="R337" s="30">
        <f t="shared" si="177"/>
        <v>0.28079155795860283</v>
      </c>
      <c r="S337" s="30">
        <f t="shared" si="178"/>
        <v>0.56158311591720567</v>
      </c>
      <c r="T337" s="37">
        <f t="shared" si="179"/>
        <v>0.15999984699999992</v>
      </c>
      <c r="U337" s="30">
        <f t="shared" si="180"/>
        <v>2.2129991879731952E-2</v>
      </c>
      <c r="V337" s="38">
        <f t="shared" si="181"/>
        <v>2.1835530810133635E-3</v>
      </c>
      <c r="W337" s="9">
        <f t="shared" si="172"/>
        <v>1291837120</v>
      </c>
      <c r="X337" s="12">
        <f t="shared" si="172"/>
        <v>10089.990234000001</v>
      </c>
      <c r="Y337" s="11">
        <f t="shared" si="172"/>
        <v>1.8399999139999998</v>
      </c>
      <c r="Z337" s="7">
        <f t="shared" si="182"/>
        <v>303013440</v>
      </c>
      <c r="AA337" s="7">
        <f t="shared" si="182"/>
        <v>10.400001529999997</v>
      </c>
      <c r="AB337" s="7">
        <f t="shared" si="182"/>
        <v>2.999997100000007E-2</v>
      </c>
    </row>
    <row r="338" spans="1:28" x14ac:dyDescent="0.25">
      <c r="A338" s="2">
        <v>334</v>
      </c>
      <c r="B338">
        <v>4</v>
      </c>
      <c r="C338">
        <v>0</v>
      </c>
      <c r="D338">
        <v>2</v>
      </c>
      <c r="E338">
        <v>4</v>
      </c>
      <c r="G338">
        <v>808455168</v>
      </c>
      <c r="H338">
        <v>88.550003050000001</v>
      </c>
      <c r="I338">
        <v>2.579999924</v>
      </c>
      <c r="J338" s="9">
        <f t="shared" si="162"/>
        <v>54057024</v>
      </c>
      <c r="L338" s="9">
        <f t="shared" si="184"/>
        <v>1.4499969499999992</v>
      </c>
      <c r="M338" s="9">
        <f t="shared" si="184"/>
        <v>9.9999909999999304E-3</v>
      </c>
      <c r="N338" s="29">
        <f t="shared" si="173"/>
        <v>582911168</v>
      </c>
      <c r="O338" s="30">
        <f t="shared" si="174"/>
        <v>0.86148921126993694</v>
      </c>
      <c r="P338" s="30">
        <f t="shared" si="175"/>
        <v>1.7229784225398739</v>
      </c>
      <c r="Q338" s="29">
        <f t="shared" si="176"/>
        <v>40.870002740000004</v>
      </c>
      <c r="R338" s="30">
        <f t="shared" si="177"/>
        <v>0.28572429022844253</v>
      </c>
      <c r="S338" s="30">
        <f t="shared" si="178"/>
        <v>0.57144858045688507</v>
      </c>
      <c r="T338" s="37">
        <f t="shared" si="179"/>
        <v>0.16999983799999985</v>
      </c>
      <c r="U338" s="30">
        <f t="shared" si="180"/>
        <v>2.3513116450016015E-2</v>
      </c>
      <c r="V338" s="38">
        <f t="shared" si="181"/>
        <v>2.3769552138522888E-3</v>
      </c>
      <c r="W338" s="9">
        <f t="shared" si="172"/>
        <v>1155983872</v>
      </c>
      <c r="X338" s="12">
        <f t="shared" si="172"/>
        <v>10088.540237050001</v>
      </c>
      <c r="Y338" s="11">
        <f t="shared" si="172"/>
        <v>1.8299999229999999</v>
      </c>
      <c r="Z338" s="7">
        <f t="shared" si="182"/>
        <v>280371616</v>
      </c>
      <c r="AA338" s="7">
        <f t="shared" si="182"/>
        <v>10.300003050000001</v>
      </c>
      <c r="AB338" s="7">
        <f t="shared" si="182"/>
        <v>3.9999962E-2</v>
      </c>
    </row>
    <row r="339" spans="1:28" x14ac:dyDescent="0.25">
      <c r="A339" s="2">
        <v>335</v>
      </c>
      <c r="B339">
        <v>4</v>
      </c>
      <c r="C339">
        <v>0</v>
      </c>
      <c r="D339">
        <v>2</v>
      </c>
      <c r="E339">
        <v>5</v>
      </c>
      <c r="G339">
        <v>759328192</v>
      </c>
      <c r="H339">
        <v>88.550003050000001</v>
      </c>
      <c r="I339">
        <v>2.579999924</v>
      </c>
      <c r="J339" s="9">
        <f t="shared" si="162"/>
        <v>49126976</v>
      </c>
      <c r="L339" s="9">
        <f t="shared" si="184"/>
        <v>0</v>
      </c>
      <c r="M339" s="9">
        <f t="shared" si="184"/>
        <v>0</v>
      </c>
      <c r="N339" s="29">
        <f t="shared" si="173"/>
        <v>548270544</v>
      </c>
      <c r="O339" s="30">
        <f t="shared" si="174"/>
        <v>0.86590962105291724</v>
      </c>
      <c r="P339" s="30">
        <f t="shared" si="175"/>
        <v>1.7318192421058345</v>
      </c>
      <c r="Q339" s="29">
        <f t="shared" si="176"/>
        <v>41.440002440000001</v>
      </c>
      <c r="R339" s="30">
        <f t="shared" si="177"/>
        <v>0.29321447607314449</v>
      </c>
      <c r="S339" s="30">
        <f t="shared" si="178"/>
        <v>0.58642895214628898</v>
      </c>
      <c r="T339" s="37">
        <f t="shared" si="179"/>
        <v>0.16999983799999985</v>
      </c>
      <c r="U339" s="30">
        <f t="shared" si="180"/>
        <v>2.3513116450016015E-2</v>
      </c>
      <c r="V339" s="38">
        <f t="shared" si="181"/>
        <v>2.4057147923126133E-3</v>
      </c>
      <c r="W339" s="9">
        <f t="shared" si="172"/>
        <v>1079779264</v>
      </c>
      <c r="X339" s="12">
        <f t="shared" si="172"/>
        <v>10088.540237050001</v>
      </c>
      <c r="Y339" s="11">
        <f t="shared" si="172"/>
        <v>1.8299999229999999</v>
      </c>
      <c r="Z339" s="7">
        <f t="shared" si="182"/>
        <v>262566912</v>
      </c>
      <c r="AA339" s="7">
        <f t="shared" si="182"/>
        <v>10.319999690000003</v>
      </c>
      <c r="AB339" s="7">
        <f t="shared" si="182"/>
        <v>3.9999962E-2</v>
      </c>
    </row>
    <row r="340" spans="1:28" x14ac:dyDescent="0.25">
      <c r="A340" s="2">
        <v>336</v>
      </c>
      <c r="B340">
        <v>4</v>
      </c>
      <c r="C340">
        <v>0</v>
      </c>
      <c r="D340">
        <v>2</v>
      </c>
      <c r="E340">
        <v>6</v>
      </c>
      <c r="G340">
        <v>642355136</v>
      </c>
      <c r="H340">
        <v>83.930000309999997</v>
      </c>
      <c r="I340">
        <v>2.579999924</v>
      </c>
      <c r="J340" s="9">
        <f t="shared" si="162"/>
        <v>116973056</v>
      </c>
      <c r="L340" s="9">
        <f t="shared" si="184"/>
        <v>4.6200027400000039</v>
      </c>
      <c r="M340" s="9">
        <f t="shared" si="184"/>
        <v>0</v>
      </c>
      <c r="N340" s="29">
        <f t="shared" si="173"/>
        <v>466082656</v>
      </c>
      <c r="O340" s="30">
        <f t="shared" si="174"/>
        <v>0.88136778544973859</v>
      </c>
      <c r="P340" s="30">
        <f t="shared" si="175"/>
        <v>1.7627355708994772</v>
      </c>
      <c r="Q340" s="29">
        <f t="shared" si="176"/>
        <v>39.680000309999997</v>
      </c>
      <c r="R340" s="30">
        <f t="shared" si="177"/>
        <v>0.29890772361581919</v>
      </c>
      <c r="S340" s="30">
        <f t="shared" si="178"/>
        <v>0.59781544723163837</v>
      </c>
      <c r="T340" s="37">
        <f t="shared" si="179"/>
        <v>0.16999983799999985</v>
      </c>
      <c r="U340" s="30">
        <f t="shared" si="180"/>
        <v>2.3513116450016015E-2</v>
      </c>
      <c r="V340" s="38">
        <f t="shared" si="181"/>
        <v>2.5612028323917114E-3</v>
      </c>
      <c r="W340" s="9">
        <f t="shared" si="172"/>
        <v>861371712</v>
      </c>
      <c r="X340" s="12">
        <f t="shared" si="172"/>
        <v>10083.920234310001</v>
      </c>
      <c r="Y340" s="11">
        <f t="shared" si="172"/>
        <v>1.8299999229999999</v>
      </c>
      <c r="Z340" s="7">
        <f t="shared" si="182"/>
        <v>219072448</v>
      </c>
      <c r="AA340" s="7">
        <f t="shared" si="182"/>
        <v>9.8700027499999976</v>
      </c>
      <c r="AB340" s="7">
        <f t="shared" si="182"/>
        <v>2.9999972000000152E-2</v>
      </c>
    </row>
    <row r="341" spans="1:28" x14ac:dyDescent="0.25">
      <c r="A341" s="2">
        <v>337</v>
      </c>
      <c r="B341">
        <v>4</v>
      </c>
      <c r="C341">
        <v>1</v>
      </c>
      <c r="D341">
        <v>0</v>
      </c>
      <c r="E341">
        <v>0</v>
      </c>
      <c r="G341">
        <v>15493634</v>
      </c>
      <c r="H341">
        <v>19.93000031</v>
      </c>
      <c r="I341">
        <v>2.3399999139999998</v>
      </c>
      <c r="N341" s="29">
        <f t="shared" si="173"/>
        <v>838843390</v>
      </c>
      <c r="O341" s="30">
        <f t="shared" si="174"/>
        <v>0.32728824278758323</v>
      </c>
      <c r="P341" s="30">
        <f t="shared" si="175"/>
        <v>1.0909608092919441</v>
      </c>
      <c r="Q341" s="29">
        <f t="shared" si="176"/>
        <v>64.489997860000003</v>
      </c>
      <c r="R341" s="30">
        <f t="shared" si="177"/>
        <v>0.25463949797824703</v>
      </c>
      <c r="S341" s="30">
        <f t="shared" si="178"/>
        <v>0.84879832659415677</v>
      </c>
      <c r="T341" s="37">
        <f t="shared" si="179"/>
        <v>0.23000001900000022</v>
      </c>
      <c r="U341" s="30">
        <f t="shared" si="180"/>
        <v>2.9831391050079092E-2</v>
      </c>
      <c r="V341" s="38">
        <f t="shared" si="181"/>
        <v>3.0271923976122835E-3</v>
      </c>
      <c r="W341" s="9">
        <f t="shared" si="172"/>
        <v>1175578</v>
      </c>
      <c r="X341" s="12">
        <f t="shared" si="172"/>
        <v>0.39999961999999911</v>
      </c>
      <c r="Y341" s="11">
        <f t="shared" si="172"/>
        <v>0</v>
      </c>
      <c r="Z341" s="7">
        <f t="shared" si="182"/>
        <v>10508611</v>
      </c>
      <c r="AA341" s="7">
        <f t="shared" si="182"/>
        <v>4.7000007700000008</v>
      </c>
      <c r="AB341" s="7">
        <f t="shared" si="182"/>
        <v>0</v>
      </c>
    </row>
    <row r="342" spans="1:28" x14ac:dyDescent="0.25">
      <c r="A342" s="2">
        <v>338</v>
      </c>
      <c r="B342">
        <v>4</v>
      </c>
      <c r="C342">
        <v>1</v>
      </c>
      <c r="D342">
        <v>0</v>
      </c>
      <c r="E342">
        <v>1</v>
      </c>
      <c r="G342">
        <v>16834934</v>
      </c>
      <c r="H342">
        <v>20.5</v>
      </c>
      <c r="I342">
        <v>2.3399999139999998</v>
      </c>
      <c r="J342" s="9">
        <f t="shared" ref="J342" si="185">ABS(G342-G341)</f>
        <v>1341300</v>
      </c>
      <c r="L342" s="9">
        <f t="shared" ref="L342:M347" si="186">ABS(H342-H341)</f>
        <v>0.5699996899999995</v>
      </c>
      <c r="M342" s="9">
        <f t="shared" si="186"/>
        <v>0</v>
      </c>
      <c r="N342" s="29">
        <f t="shared" si="173"/>
        <v>847164554</v>
      </c>
      <c r="O342" s="30">
        <f t="shared" si="174"/>
        <v>0.32683837037952812</v>
      </c>
      <c r="P342" s="30">
        <f t="shared" si="175"/>
        <v>1.0894612345984271</v>
      </c>
      <c r="Q342" s="29">
        <f t="shared" si="176"/>
        <v>66.550003050000001</v>
      </c>
      <c r="R342" s="30">
        <f t="shared" si="177"/>
        <v>0.25483438911838158</v>
      </c>
      <c r="S342" s="30">
        <f t="shared" si="178"/>
        <v>0.84944796372793852</v>
      </c>
      <c r="T342" s="37">
        <f t="shared" si="179"/>
        <v>0.23000001900000022</v>
      </c>
      <c r="U342" s="30">
        <f t="shared" si="180"/>
        <v>2.9831391050079092E-2</v>
      </c>
      <c r="V342" s="38">
        <f t="shared" si="181"/>
        <v>2.9357331155965638E-3</v>
      </c>
      <c r="W342" s="9">
        <f t="shared" si="172"/>
        <v>1175964</v>
      </c>
      <c r="X342" s="12">
        <f t="shared" si="172"/>
        <v>0.40999984999999839</v>
      </c>
      <c r="Y342" s="11">
        <f t="shared" si="172"/>
        <v>0</v>
      </c>
      <c r="Z342" s="7">
        <f t="shared" si="182"/>
        <v>10842606</v>
      </c>
      <c r="AA342" s="7">
        <f t="shared" si="182"/>
        <v>4.6800003100000005</v>
      </c>
      <c r="AB342" s="7">
        <f t="shared" si="182"/>
        <v>0</v>
      </c>
    </row>
    <row r="343" spans="1:28" x14ac:dyDescent="0.25">
      <c r="A343" s="2">
        <v>339</v>
      </c>
      <c r="B343">
        <v>4</v>
      </c>
      <c r="C343">
        <v>1</v>
      </c>
      <c r="D343">
        <v>0</v>
      </c>
      <c r="E343">
        <v>2</v>
      </c>
      <c r="G343">
        <v>16094101</v>
      </c>
      <c r="H343">
        <v>20.200000760000002</v>
      </c>
      <c r="I343">
        <v>2.3399999139999998</v>
      </c>
      <c r="J343" s="9">
        <f t="shared" si="159"/>
        <v>740833</v>
      </c>
      <c r="L343" s="9">
        <f t="shared" si="186"/>
        <v>0.29999923999999822</v>
      </c>
      <c r="M343" s="9">
        <f t="shared" si="186"/>
        <v>0</v>
      </c>
      <c r="N343" s="29">
        <f t="shared" si="173"/>
        <v>843035243</v>
      </c>
      <c r="O343" s="30">
        <f t="shared" si="174"/>
        <v>0.32708898797276637</v>
      </c>
      <c r="P343" s="30">
        <f t="shared" si="175"/>
        <v>1.090296626575888</v>
      </c>
      <c r="Q343" s="29">
        <f t="shared" si="176"/>
        <v>65.469997409999991</v>
      </c>
      <c r="R343" s="30">
        <f t="shared" si="177"/>
        <v>0.25473716512395245</v>
      </c>
      <c r="S343" s="30">
        <f t="shared" si="178"/>
        <v>0.84912388374650816</v>
      </c>
      <c r="T343" s="37">
        <f t="shared" si="179"/>
        <v>0.23000001900000022</v>
      </c>
      <c r="U343" s="30">
        <f t="shared" si="180"/>
        <v>2.9831391050079092E-2</v>
      </c>
      <c r="V343" s="38">
        <f t="shared" si="181"/>
        <v>2.9830230200256686E-3</v>
      </c>
      <c r="W343" s="9">
        <f t="shared" si="172"/>
        <v>1167361</v>
      </c>
      <c r="X343" s="12">
        <f t="shared" si="172"/>
        <v>0.40000152000000355</v>
      </c>
      <c r="Y343" s="11">
        <f t="shared" si="172"/>
        <v>0</v>
      </c>
      <c r="Z343" s="7">
        <f t="shared" si="182"/>
        <v>10637411</v>
      </c>
      <c r="AA343" s="7">
        <f t="shared" si="182"/>
        <v>4.6800003000000014</v>
      </c>
      <c r="AB343" s="7">
        <f t="shared" si="182"/>
        <v>0</v>
      </c>
    </row>
    <row r="344" spans="1:28" x14ac:dyDescent="0.25">
      <c r="A344" s="2">
        <v>340</v>
      </c>
      <c r="B344">
        <v>4</v>
      </c>
      <c r="C344">
        <v>1</v>
      </c>
      <c r="D344">
        <v>0</v>
      </c>
      <c r="E344">
        <v>3</v>
      </c>
      <c r="G344">
        <v>17843996</v>
      </c>
      <c r="H344">
        <v>20.920000080000001</v>
      </c>
      <c r="I344">
        <v>2.3399999139999998</v>
      </c>
      <c r="J344" s="9">
        <f t="shared" si="159"/>
        <v>1749895</v>
      </c>
      <c r="L344" s="9">
        <f t="shared" si="186"/>
        <v>0.71999931999999944</v>
      </c>
      <c r="M344" s="9">
        <f t="shared" si="186"/>
        <v>0</v>
      </c>
      <c r="N344" s="29">
        <f t="shared" si="173"/>
        <v>844668196</v>
      </c>
      <c r="O344" s="30">
        <f t="shared" si="174"/>
        <v>0.32643720047650449</v>
      </c>
      <c r="P344" s="30">
        <f t="shared" si="175"/>
        <v>1.0881240015883482</v>
      </c>
      <c r="Q344" s="29">
        <f t="shared" si="176"/>
        <v>69.079999920000006</v>
      </c>
      <c r="R344" s="30">
        <f t="shared" si="177"/>
        <v>0.25585185155555557</v>
      </c>
      <c r="S344" s="30">
        <f t="shared" si="178"/>
        <v>0.85283950518518514</v>
      </c>
      <c r="T344" s="37">
        <f t="shared" si="179"/>
        <v>0.23000001900000022</v>
      </c>
      <c r="U344" s="30">
        <f t="shared" si="180"/>
        <v>2.9831391050079092E-2</v>
      </c>
      <c r="V344" s="38">
        <f t="shared" si="181"/>
        <v>2.8395064074074102E-3</v>
      </c>
      <c r="W344" s="9">
        <f t="shared" si="172"/>
        <v>1141297</v>
      </c>
      <c r="X344" s="12">
        <f t="shared" si="172"/>
        <v>0.370000840000003</v>
      </c>
      <c r="Y344" s="11">
        <f t="shared" si="172"/>
        <v>0</v>
      </c>
      <c r="Z344" s="7">
        <f t="shared" si="182"/>
        <v>11032763.5</v>
      </c>
      <c r="AA344" s="7">
        <f t="shared" si="182"/>
        <v>4.6299991600000006</v>
      </c>
      <c r="AB344" s="7">
        <f t="shared" si="182"/>
        <v>0</v>
      </c>
    </row>
    <row r="345" spans="1:28" x14ac:dyDescent="0.25">
      <c r="A345" s="2">
        <v>341</v>
      </c>
      <c r="B345">
        <v>4</v>
      </c>
      <c r="C345">
        <v>1</v>
      </c>
      <c r="D345">
        <v>0</v>
      </c>
      <c r="E345">
        <v>4</v>
      </c>
      <c r="G345">
        <v>16289627</v>
      </c>
      <c r="H345">
        <v>20.25</v>
      </c>
      <c r="I345">
        <v>2.3399999139999998</v>
      </c>
      <c r="J345" s="9">
        <f t="shared" si="159"/>
        <v>1554369</v>
      </c>
      <c r="L345" s="9">
        <f t="shared" si="186"/>
        <v>0.67000008000000122</v>
      </c>
      <c r="M345" s="9">
        <f t="shared" si="186"/>
        <v>0</v>
      </c>
      <c r="N345" s="29">
        <f t="shared" si="173"/>
        <v>792165541</v>
      </c>
      <c r="O345" s="30">
        <f t="shared" si="174"/>
        <v>0.32661697368645348</v>
      </c>
      <c r="P345" s="30">
        <f t="shared" si="175"/>
        <v>1.0887232456215117</v>
      </c>
      <c r="Q345" s="29">
        <f t="shared" si="176"/>
        <v>68.300003050000001</v>
      </c>
      <c r="R345" s="30">
        <f t="shared" si="177"/>
        <v>0.25710521625254007</v>
      </c>
      <c r="S345" s="30">
        <f t="shared" si="178"/>
        <v>0.8570173875084669</v>
      </c>
      <c r="T345" s="37">
        <f t="shared" si="179"/>
        <v>0.24000001000000015</v>
      </c>
      <c r="U345" s="30">
        <f t="shared" si="180"/>
        <v>3.1007754143380889E-2</v>
      </c>
      <c r="V345" s="38">
        <f t="shared" si="181"/>
        <v>3.0114812941023149E-3</v>
      </c>
      <c r="W345" s="9">
        <f t="shared" si="172"/>
        <v>1088790</v>
      </c>
      <c r="X345" s="12">
        <f t="shared" si="172"/>
        <v>0.37999916000000056</v>
      </c>
      <c r="Y345" s="11">
        <f t="shared" si="172"/>
        <v>0</v>
      </c>
      <c r="Z345" s="7">
        <f t="shared" si="182"/>
        <v>10603246</v>
      </c>
      <c r="AA345" s="7">
        <f t="shared" si="182"/>
        <v>4.6199998900000008</v>
      </c>
      <c r="AB345" s="7">
        <f t="shared" si="182"/>
        <v>0</v>
      </c>
    </row>
    <row r="346" spans="1:28" x14ac:dyDescent="0.25">
      <c r="A346" s="2">
        <v>342</v>
      </c>
      <c r="B346">
        <v>4</v>
      </c>
      <c r="C346">
        <v>1</v>
      </c>
      <c r="D346">
        <v>0</v>
      </c>
      <c r="E346">
        <v>5</v>
      </c>
      <c r="G346">
        <v>14439257</v>
      </c>
      <c r="H346">
        <v>19.659999849999998</v>
      </c>
      <c r="I346">
        <v>2.3399999139999998</v>
      </c>
      <c r="J346" s="9">
        <f t="shared" si="159"/>
        <v>1850370</v>
      </c>
      <c r="L346" s="9">
        <f t="shared" si="186"/>
        <v>0.59000015000000161</v>
      </c>
      <c r="M346" s="9">
        <f t="shared" si="186"/>
        <v>0</v>
      </c>
      <c r="N346" s="29">
        <f t="shared" si="173"/>
        <v>744888935</v>
      </c>
      <c r="O346" s="30">
        <f t="shared" si="174"/>
        <v>0.32699472281238134</v>
      </c>
      <c r="P346" s="30">
        <f t="shared" si="175"/>
        <v>1.0899824093746044</v>
      </c>
      <c r="Q346" s="29">
        <f t="shared" si="176"/>
        <v>68.890003199999995</v>
      </c>
      <c r="R346" s="30">
        <f t="shared" si="177"/>
        <v>0.2593261841790529</v>
      </c>
      <c r="S346" s="30">
        <f t="shared" si="178"/>
        <v>0.86442061393017633</v>
      </c>
      <c r="T346" s="37">
        <f t="shared" si="179"/>
        <v>0.24000001000000015</v>
      </c>
      <c r="U346" s="30">
        <f t="shared" si="180"/>
        <v>3.1007754143380889E-2</v>
      </c>
      <c r="V346" s="38">
        <f t="shared" si="181"/>
        <v>3.0114812941023149E-3</v>
      </c>
      <c r="W346" s="9">
        <f t="shared" ref="W346:Y361" si="187">ABS(G346-G325)</f>
        <v>947976</v>
      </c>
      <c r="X346" s="12">
        <f t="shared" si="187"/>
        <v>0.36000061000000017</v>
      </c>
      <c r="Y346" s="11">
        <f t="shared" si="187"/>
        <v>0</v>
      </c>
      <c r="Z346" s="7">
        <f t="shared" si="182"/>
        <v>9828285</v>
      </c>
      <c r="AA346" s="7">
        <f t="shared" si="182"/>
        <v>4.6099996599999979</v>
      </c>
      <c r="AB346" s="7">
        <f t="shared" si="182"/>
        <v>0</v>
      </c>
    </row>
    <row r="347" spans="1:28" x14ac:dyDescent="0.25">
      <c r="A347" s="2">
        <v>343</v>
      </c>
      <c r="B347">
        <v>4</v>
      </c>
      <c r="C347">
        <v>1</v>
      </c>
      <c r="D347">
        <v>0</v>
      </c>
      <c r="E347">
        <v>6</v>
      </c>
      <c r="G347">
        <v>10081856</v>
      </c>
      <c r="H347">
        <v>17.709999079999999</v>
      </c>
      <c r="I347">
        <v>2.3399999139999998</v>
      </c>
      <c r="J347" s="9">
        <f t="shared" si="159"/>
        <v>4357401</v>
      </c>
      <c r="L347" s="9">
        <f t="shared" si="186"/>
        <v>1.9500007699999991</v>
      </c>
      <c r="M347" s="9">
        <f t="shared" si="186"/>
        <v>0</v>
      </c>
      <c r="N347" s="29">
        <f t="shared" si="173"/>
        <v>632273280</v>
      </c>
      <c r="O347" s="30">
        <f t="shared" si="174"/>
        <v>0.32810161885278361</v>
      </c>
      <c r="P347" s="30">
        <f t="shared" si="175"/>
        <v>1.093672062842612</v>
      </c>
      <c r="Q347" s="29">
        <f t="shared" si="176"/>
        <v>66.220001229999994</v>
      </c>
      <c r="R347" s="30">
        <f t="shared" si="177"/>
        <v>0.26299694580965421</v>
      </c>
      <c r="S347" s="30">
        <f t="shared" si="178"/>
        <v>0.87665648603218072</v>
      </c>
      <c r="T347" s="37">
        <f t="shared" si="179"/>
        <v>0.24000001000000015</v>
      </c>
      <c r="U347" s="30">
        <f t="shared" si="180"/>
        <v>3.1007754143380889E-2</v>
      </c>
      <c r="V347" s="38">
        <f t="shared" si="181"/>
        <v>3.1772510043230093E-3</v>
      </c>
      <c r="W347" s="9">
        <f t="shared" si="187"/>
        <v>776162</v>
      </c>
      <c r="X347" s="12">
        <f t="shared" si="187"/>
        <v>0.32999991999999878</v>
      </c>
      <c r="Y347" s="11">
        <f t="shared" si="187"/>
        <v>0</v>
      </c>
      <c r="Z347" s="7">
        <f t="shared" si="182"/>
        <v>8474820.620000001</v>
      </c>
      <c r="AA347" s="7">
        <f t="shared" si="182"/>
        <v>4.5699987399999991</v>
      </c>
      <c r="AB347" s="7">
        <f t="shared" si="182"/>
        <v>0</v>
      </c>
    </row>
    <row r="348" spans="1:28" x14ac:dyDescent="0.25">
      <c r="A348" s="2">
        <v>344</v>
      </c>
      <c r="B348">
        <v>4</v>
      </c>
      <c r="C348">
        <v>1</v>
      </c>
      <c r="D348">
        <v>1</v>
      </c>
      <c r="E348">
        <v>0</v>
      </c>
      <c r="G348">
        <v>255190848</v>
      </c>
      <c r="H348">
        <v>50.200000760000002</v>
      </c>
      <c r="I348">
        <v>2.4000000950000002</v>
      </c>
      <c r="N348" s="29">
        <f t="shared" si="173"/>
        <v>239697214</v>
      </c>
      <c r="O348" s="30">
        <f t="shared" si="174"/>
        <v>5.1568967831132015</v>
      </c>
      <c r="P348" s="30">
        <f t="shared" si="175"/>
        <v>5.1568967831132015</v>
      </c>
      <c r="Q348" s="29">
        <f t="shared" si="176"/>
        <v>30.270000450000001</v>
      </c>
      <c r="R348" s="30">
        <f t="shared" si="177"/>
        <v>0.5062719514829751</v>
      </c>
      <c r="S348" s="30">
        <f t="shared" si="178"/>
        <v>0.5062719514829751</v>
      </c>
      <c r="T348" s="37">
        <f t="shared" si="179"/>
        <v>6.0000181000000374E-2</v>
      </c>
      <c r="U348" s="30">
        <f t="shared" si="180"/>
        <v>8.5470346446061708E-3</v>
      </c>
      <c r="V348" s="38">
        <f t="shared" si="181"/>
        <v>1.0035153046785606E-3</v>
      </c>
      <c r="W348" s="9">
        <f t="shared" si="187"/>
        <v>17845472</v>
      </c>
      <c r="X348" s="12">
        <f t="shared" si="187"/>
        <v>2.7299995400000014</v>
      </c>
      <c r="Y348" s="11">
        <f t="shared" si="187"/>
        <v>0</v>
      </c>
      <c r="Z348" s="7">
        <f t="shared" si="182"/>
        <v>106896704</v>
      </c>
      <c r="AA348" s="7">
        <f t="shared" si="182"/>
        <v>7.1700019800000021</v>
      </c>
      <c r="AB348" s="7">
        <f t="shared" si="182"/>
        <v>9.9999900000002917E-3</v>
      </c>
    </row>
    <row r="349" spans="1:28" x14ac:dyDescent="0.25">
      <c r="A349" s="2">
        <v>345</v>
      </c>
      <c r="B349">
        <v>4</v>
      </c>
      <c r="C349">
        <v>1</v>
      </c>
      <c r="D349">
        <v>1</v>
      </c>
      <c r="E349">
        <v>1</v>
      </c>
      <c r="G349">
        <v>259094992</v>
      </c>
      <c r="H349">
        <v>51.060001370000002</v>
      </c>
      <c r="I349">
        <v>2.4000000950000002</v>
      </c>
      <c r="J349" s="9">
        <f t="shared" ref="J349" si="188">ABS(G349-G348)</f>
        <v>3904144</v>
      </c>
      <c r="L349" s="9">
        <f t="shared" ref="L349:M354" si="189">ABS(H349-H348)</f>
        <v>0.86000061000000017</v>
      </c>
      <c r="M349" s="9">
        <f t="shared" si="189"/>
        <v>0</v>
      </c>
      <c r="N349" s="29">
        <f t="shared" si="173"/>
        <v>242260058</v>
      </c>
      <c r="O349" s="30">
        <f t="shared" si="174"/>
        <v>4.796772750440641</v>
      </c>
      <c r="P349" s="30">
        <f t="shared" si="175"/>
        <v>4.796772750440641</v>
      </c>
      <c r="Q349" s="29">
        <f t="shared" si="176"/>
        <v>30.560001370000002</v>
      </c>
      <c r="R349" s="30">
        <f t="shared" si="177"/>
        <v>0.49691059138211385</v>
      </c>
      <c r="S349" s="30">
        <f t="shared" si="178"/>
        <v>0.49691059138211385</v>
      </c>
      <c r="T349" s="37">
        <f t="shared" si="179"/>
        <v>6.0000181000000374E-2</v>
      </c>
      <c r="U349" s="30">
        <f t="shared" si="180"/>
        <v>8.5470346446061708E-3</v>
      </c>
      <c r="V349" s="38">
        <f t="shared" si="181"/>
        <v>9.7561269918699795E-4</v>
      </c>
      <c r="W349" s="9">
        <f t="shared" si="187"/>
        <v>17913152</v>
      </c>
      <c r="X349" s="12">
        <f t="shared" si="187"/>
        <v>2.8100013700000019</v>
      </c>
      <c r="Y349" s="11">
        <f t="shared" si="187"/>
        <v>0</v>
      </c>
      <c r="Z349" s="7">
        <f t="shared" si="182"/>
        <v>107201584</v>
      </c>
      <c r="AA349" s="7">
        <f t="shared" si="182"/>
        <v>7.2000007600000018</v>
      </c>
      <c r="AB349" s="7">
        <f t="shared" si="182"/>
        <v>9.9999900000002917E-3</v>
      </c>
    </row>
    <row r="350" spans="1:28" x14ac:dyDescent="0.25">
      <c r="A350" s="2">
        <v>346</v>
      </c>
      <c r="B350">
        <v>4</v>
      </c>
      <c r="C350">
        <v>1</v>
      </c>
      <c r="D350">
        <v>1</v>
      </c>
      <c r="E350">
        <v>2</v>
      </c>
      <c r="G350">
        <v>256944832</v>
      </c>
      <c r="H350">
        <v>50.619998930000001</v>
      </c>
      <c r="I350">
        <v>2.4000000950000002</v>
      </c>
      <c r="J350" s="9">
        <f t="shared" si="162"/>
        <v>2150160</v>
      </c>
      <c r="L350" s="9">
        <f t="shared" si="189"/>
        <v>0.44000244000000066</v>
      </c>
      <c r="M350" s="9">
        <f t="shared" si="189"/>
        <v>0</v>
      </c>
      <c r="N350" s="29">
        <f t="shared" si="173"/>
        <v>240850731</v>
      </c>
      <c r="O350" s="30">
        <f t="shared" si="174"/>
        <v>4.9883853096236939</v>
      </c>
      <c r="P350" s="30">
        <f t="shared" si="175"/>
        <v>4.9883853096236939</v>
      </c>
      <c r="Q350" s="29">
        <f t="shared" si="176"/>
        <v>30.41999817</v>
      </c>
      <c r="R350" s="30">
        <f t="shared" si="177"/>
        <v>0.50198014893540022</v>
      </c>
      <c r="S350" s="30">
        <f t="shared" si="178"/>
        <v>0.50198014893540022</v>
      </c>
      <c r="T350" s="37">
        <f t="shared" si="179"/>
        <v>6.0000181000000374E-2</v>
      </c>
      <c r="U350" s="30">
        <f t="shared" si="180"/>
        <v>8.5470346446061708E-3</v>
      </c>
      <c r="V350" s="38">
        <f t="shared" si="181"/>
        <v>9.9010195944831524E-4</v>
      </c>
      <c r="W350" s="9">
        <f t="shared" si="187"/>
        <v>17875616</v>
      </c>
      <c r="X350" s="12">
        <f t="shared" si="187"/>
        <v>2.7899971000000008</v>
      </c>
      <c r="Y350" s="11">
        <f t="shared" si="187"/>
        <v>0</v>
      </c>
      <c r="Z350" s="7">
        <f t="shared" ref="Z350:AB365" si="190">ABS(G350-G245)</f>
        <v>107053696</v>
      </c>
      <c r="AA350" s="7">
        <f t="shared" si="190"/>
        <v>7.1800003000000032</v>
      </c>
      <c r="AB350" s="7">
        <f t="shared" si="190"/>
        <v>9.9999900000002917E-3</v>
      </c>
    </row>
    <row r="351" spans="1:28" x14ac:dyDescent="0.25">
      <c r="A351" s="2">
        <v>347</v>
      </c>
      <c r="B351">
        <v>4</v>
      </c>
      <c r="C351">
        <v>1</v>
      </c>
      <c r="D351">
        <v>1</v>
      </c>
      <c r="E351">
        <v>3</v>
      </c>
      <c r="G351">
        <v>259016848</v>
      </c>
      <c r="H351">
        <v>51.740001679999999</v>
      </c>
      <c r="I351">
        <v>2.4100000860000002</v>
      </c>
      <c r="J351" s="9">
        <f t="shared" si="162"/>
        <v>2072016</v>
      </c>
      <c r="L351" s="9">
        <f t="shared" si="189"/>
        <v>1.1200027499999976</v>
      </c>
      <c r="M351" s="9">
        <f t="shared" si="189"/>
        <v>9.9999909999999304E-3</v>
      </c>
      <c r="N351" s="29">
        <f t="shared" si="173"/>
        <v>241172852</v>
      </c>
      <c r="O351" s="30">
        <f t="shared" si="174"/>
        <v>4.5052100811200964</v>
      </c>
      <c r="P351" s="30">
        <f t="shared" si="175"/>
        <v>4.5052100811200964</v>
      </c>
      <c r="Q351" s="29">
        <f t="shared" si="176"/>
        <v>30.820001599999998</v>
      </c>
      <c r="R351" s="30">
        <f t="shared" si="177"/>
        <v>0.49107714280021481</v>
      </c>
      <c r="S351" s="30">
        <f t="shared" si="178"/>
        <v>0.49107714280021481</v>
      </c>
      <c r="T351" s="37">
        <f t="shared" si="179"/>
        <v>7.0000172000000305E-2</v>
      </c>
      <c r="U351" s="30">
        <f t="shared" si="180"/>
        <v>9.9715348394097281E-3</v>
      </c>
      <c r="V351" s="38">
        <f t="shared" si="181"/>
        <v>1.1153628383096434E-3</v>
      </c>
      <c r="W351" s="9">
        <f t="shared" si="187"/>
        <v>17511456</v>
      </c>
      <c r="X351" s="12">
        <f t="shared" si="187"/>
        <v>2.8900032099999962</v>
      </c>
      <c r="Y351" s="11">
        <f t="shared" si="187"/>
        <v>0</v>
      </c>
      <c r="Z351" s="7">
        <f t="shared" si="190"/>
        <v>105534240</v>
      </c>
      <c r="AA351" s="7">
        <f t="shared" si="190"/>
        <v>7.2200012200000003</v>
      </c>
      <c r="AB351" s="7">
        <f t="shared" si="190"/>
        <v>1.9999981000000222E-2</v>
      </c>
    </row>
    <row r="352" spans="1:28" x14ac:dyDescent="0.25">
      <c r="A352" s="2">
        <v>348</v>
      </c>
      <c r="B352">
        <v>4</v>
      </c>
      <c r="C352">
        <v>1</v>
      </c>
      <c r="D352">
        <v>1</v>
      </c>
      <c r="E352">
        <v>4</v>
      </c>
      <c r="G352">
        <v>241544512</v>
      </c>
      <c r="H352">
        <v>50.41999817</v>
      </c>
      <c r="I352">
        <v>2.4100000860000002</v>
      </c>
      <c r="J352" s="9">
        <f t="shared" si="162"/>
        <v>17472336</v>
      </c>
      <c r="L352" s="9">
        <f t="shared" si="189"/>
        <v>1.3200035099999994</v>
      </c>
      <c r="M352" s="9">
        <f t="shared" si="189"/>
        <v>0</v>
      </c>
      <c r="N352" s="29">
        <f t="shared" si="173"/>
        <v>225254885</v>
      </c>
      <c r="O352" s="30">
        <f t="shared" si="174"/>
        <v>4.6093726803361834</v>
      </c>
      <c r="P352" s="30">
        <f t="shared" si="175"/>
        <v>4.6093726803361834</v>
      </c>
      <c r="Q352" s="29">
        <f t="shared" si="176"/>
        <v>30.16999817</v>
      </c>
      <c r="R352" s="30">
        <f t="shared" si="177"/>
        <v>0.49662548427983538</v>
      </c>
      <c r="S352" s="30">
        <f t="shared" si="178"/>
        <v>0.49662548427983538</v>
      </c>
      <c r="T352" s="37">
        <f t="shared" si="179"/>
        <v>7.0000172000000305E-2</v>
      </c>
      <c r="U352" s="30">
        <f t="shared" si="180"/>
        <v>9.9715348394097281E-3</v>
      </c>
      <c r="V352" s="38">
        <f t="shared" si="181"/>
        <v>1.1522662057613219E-3</v>
      </c>
      <c r="W352" s="9">
        <f t="shared" si="187"/>
        <v>16000512</v>
      </c>
      <c r="X352" s="12">
        <f t="shared" si="187"/>
        <v>2.7399978600000026</v>
      </c>
      <c r="Y352" s="11">
        <f t="shared" si="187"/>
        <v>0</v>
      </c>
      <c r="Z352" s="7">
        <f t="shared" si="190"/>
        <v>97578416</v>
      </c>
      <c r="AA352" s="7">
        <f t="shared" si="190"/>
        <v>7.0799980199999979</v>
      </c>
      <c r="AB352" s="7">
        <f t="shared" si="190"/>
        <v>1.9999981000000222E-2</v>
      </c>
    </row>
    <row r="353" spans="1:28" x14ac:dyDescent="0.25">
      <c r="A353" s="2">
        <v>349</v>
      </c>
      <c r="B353">
        <v>4</v>
      </c>
      <c r="C353">
        <v>1</v>
      </c>
      <c r="D353">
        <v>1</v>
      </c>
      <c r="E353">
        <v>5</v>
      </c>
      <c r="G353">
        <v>226044624</v>
      </c>
      <c r="H353">
        <v>49.840000150000002</v>
      </c>
      <c r="I353">
        <v>2.4100000860000002</v>
      </c>
      <c r="J353" s="9">
        <f t="shared" si="162"/>
        <v>15499888</v>
      </c>
      <c r="L353" s="9">
        <f t="shared" si="189"/>
        <v>0.57999801999999789</v>
      </c>
      <c r="M353" s="9">
        <f t="shared" si="189"/>
        <v>0</v>
      </c>
      <c r="N353" s="29">
        <f t="shared" si="173"/>
        <v>211605367</v>
      </c>
      <c r="O353" s="30">
        <f t="shared" si="174"/>
        <v>4.8849551146110448</v>
      </c>
      <c r="P353" s="30">
        <f t="shared" si="175"/>
        <v>4.8849551146110448</v>
      </c>
      <c r="Q353" s="29">
        <f t="shared" si="176"/>
        <v>30.180000300000003</v>
      </c>
      <c r="R353" s="30">
        <f t="shared" si="177"/>
        <v>0.51169888996718382</v>
      </c>
      <c r="S353" s="30">
        <f t="shared" si="178"/>
        <v>0.51169888996718382</v>
      </c>
      <c r="T353" s="37">
        <f t="shared" si="179"/>
        <v>7.0000172000000305E-2</v>
      </c>
      <c r="U353" s="30">
        <f t="shared" si="180"/>
        <v>9.9715348394097281E-3</v>
      </c>
      <c r="V353" s="38">
        <f t="shared" si="181"/>
        <v>1.1868459229243977E-3</v>
      </c>
      <c r="W353" s="9">
        <f t="shared" si="187"/>
        <v>14986976</v>
      </c>
      <c r="X353" s="12">
        <f t="shared" si="187"/>
        <v>2.7299995400000014</v>
      </c>
      <c r="Y353" s="11">
        <f t="shared" si="187"/>
        <v>0</v>
      </c>
      <c r="Z353" s="7">
        <f t="shared" si="190"/>
        <v>91407648</v>
      </c>
      <c r="AA353" s="7">
        <f t="shared" si="190"/>
        <v>7.0400009100000034</v>
      </c>
      <c r="AB353" s="7">
        <f t="shared" si="190"/>
        <v>1.9999981000000222E-2</v>
      </c>
    </row>
    <row r="354" spans="1:28" x14ac:dyDescent="0.25">
      <c r="A354" s="2">
        <v>350</v>
      </c>
      <c r="B354">
        <v>4</v>
      </c>
      <c r="C354">
        <v>1</v>
      </c>
      <c r="D354">
        <v>1</v>
      </c>
      <c r="E354">
        <v>6</v>
      </c>
      <c r="G354">
        <v>188531120</v>
      </c>
      <c r="H354">
        <v>46.700000760000002</v>
      </c>
      <c r="I354">
        <v>2.4100000860000002</v>
      </c>
      <c r="J354" s="9">
        <f t="shared" si="162"/>
        <v>37513504</v>
      </c>
      <c r="L354" s="9">
        <f t="shared" si="189"/>
        <v>3.1399993899999998</v>
      </c>
      <c r="M354" s="9">
        <f t="shared" si="189"/>
        <v>0</v>
      </c>
      <c r="N354" s="29">
        <f t="shared" si="173"/>
        <v>178449264</v>
      </c>
      <c r="O354" s="30">
        <f t="shared" si="174"/>
        <v>5.900013648280634</v>
      </c>
      <c r="P354" s="30">
        <f t="shared" si="175"/>
        <v>5.900013648280634</v>
      </c>
      <c r="Q354" s="29">
        <f t="shared" si="176"/>
        <v>28.990001680000002</v>
      </c>
      <c r="R354" s="30">
        <f t="shared" si="177"/>
        <v>0.54564282299970246</v>
      </c>
      <c r="S354" s="30">
        <f t="shared" si="178"/>
        <v>0.54564282299970246</v>
      </c>
      <c r="T354" s="37">
        <f t="shared" si="179"/>
        <v>7.0000172000000305E-2</v>
      </c>
      <c r="U354" s="30">
        <f t="shared" si="180"/>
        <v>9.9715348394097281E-3</v>
      </c>
      <c r="V354" s="38">
        <f t="shared" si="181"/>
        <v>1.3175263624387928E-3</v>
      </c>
      <c r="W354" s="9">
        <f t="shared" si="187"/>
        <v>12258640</v>
      </c>
      <c r="X354" s="12">
        <f t="shared" si="187"/>
        <v>2.4500007600000018</v>
      </c>
      <c r="Y354" s="11">
        <f t="shared" si="187"/>
        <v>0</v>
      </c>
      <c r="Z354" s="7">
        <f t="shared" si="190"/>
        <v>76196360</v>
      </c>
      <c r="AA354" s="7">
        <f t="shared" si="190"/>
        <v>6.7800025900000023</v>
      </c>
      <c r="AB354" s="7">
        <f t="shared" si="190"/>
        <v>1.9999981000000222E-2</v>
      </c>
    </row>
    <row r="355" spans="1:28" x14ac:dyDescent="0.25">
      <c r="A355" s="2">
        <v>351</v>
      </c>
      <c r="B355">
        <v>4</v>
      </c>
      <c r="C355">
        <v>1</v>
      </c>
      <c r="D355">
        <v>2</v>
      </c>
      <c r="E355">
        <v>0</v>
      </c>
      <c r="G355">
        <v>874969472</v>
      </c>
      <c r="H355">
        <v>89.77999878</v>
      </c>
      <c r="I355">
        <v>2.5699999330000001</v>
      </c>
      <c r="N355" s="29">
        <f t="shared" si="173"/>
        <v>619778624</v>
      </c>
      <c r="O355" s="30">
        <f t="shared" si="174"/>
        <v>0.80956224051838521</v>
      </c>
      <c r="P355" s="30">
        <f t="shared" si="175"/>
        <v>1.6191244810367704</v>
      </c>
      <c r="Q355" s="29">
        <f t="shared" si="176"/>
        <v>39.579998019999998</v>
      </c>
      <c r="R355" s="30">
        <f t="shared" si="177"/>
        <v>0.26281538792019199</v>
      </c>
      <c r="S355" s="30">
        <f t="shared" si="178"/>
        <v>0.52563077584038398</v>
      </c>
      <c r="T355" s="37">
        <f t="shared" si="179"/>
        <v>0.16999983799999985</v>
      </c>
      <c r="U355" s="30">
        <f t="shared" si="180"/>
        <v>2.3611087676505535E-2</v>
      </c>
      <c r="V355" s="38">
        <f t="shared" si="181"/>
        <v>2.2576339366042119E-3</v>
      </c>
      <c r="W355" s="9">
        <f t="shared" si="187"/>
        <v>20632448</v>
      </c>
      <c r="X355" s="12">
        <f t="shared" si="187"/>
        <v>5.3600006100000002</v>
      </c>
      <c r="Y355" s="11">
        <f t="shared" si="187"/>
        <v>0</v>
      </c>
      <c r="Z355" s="7">
        <f t="shared" si="190"/>
        <v>313034240</v>
      </c>
      <c r="AA355" s="7">
        <f t="shared" si="190"/>
        <v>11.040000919999997</v>
      </c>
      <c r="AB355" s="7">
        <f t="shared" si="190"/>
        <v>3.9999962E-2</v>
      </c>
    </row>
    <row r="356" spans="1:28" x14ac:dyDescent="0.25">
      <c r="A356" s="2">
        <v>352</v>
      </c>
      <c r="B356">
        <v>4</v>
      </c>
      <c r="C356">
        <v>1</v>
      </c>
      <c r="D356">
        <v>2</v>
      </c>
      <c r="E356">
        <v>1</v>
      </c>
      <c r="G356">
        <v>884287232</v>
      </c>
      <c r="H356">
        <v>92.650001529999997</v>
      </c>
      <c r="I356">
        <v>2.5699999330000001</v>
      </c>
      <c r="J356" s="9">
        <f t="shared" ref="J356" si="191">ABS(G356-G355)</f>
        <v>9317760</v>
      </c>
      <c r="L356" s="9">
        <f t="shared" ref="L356:M361" si="192">ABS(H356-H355)</f>
        <v>2.8700027499999976</v>
      </c>
      <c r="M356" s="9">
        <f t="shared" si="192"/>
        <v>0</v>
      </c>
      <c r="N356" s="29">
        <f t="shared" si="173"/>
        <v>625192240</v>
      </c>
      <c r="O356" s="30">
        <f t="shared" si="174"/>
        <v>0.80432821848340985</v>
      </c>
      <c r="P356" s="30">
        <f t="shared" si="175"/>
        <v>1.6086564369668197</v>
      </c>
      <c r="Q356" s="29">
        <f t="shared" si="176"/>
        <v>41.590000159999995</v>
      </c>
      <c r="R356" s="30">
        <f t="shared" si="177"/>
        <v>0.27151063483543075</v>
      </c>
      <c r="S356" s="30">
        <f t="shared" si="178"/>
        <v>0.54302126967086151</v>
      </c>
      <c r="T356" s="37">
        <f t="shared" si="179"/>
        <v>0.16999983799999985</v>
      </c>
      <c r="U356" s="30">
        <f t="shared" si="180"/>
        <v>2.3611087676505535E-2</v>
      </c>
      <c r="V356" s="38">
        <f t="shared" si="181"/>
        <v>2.219608740549731E-3</v>
      </c>
      <c r="W356" s="9">
        <f t="shared" si="187"/>
        <v>20287744</v>
      </c>
      <c r="X356" s="12">
        <f t="shared" si="187"/>
        <v>5.5999984799999964</v>
      </c>
      <c r="Y356" s="11">
        <f t="shared" si="187"/>
        <v>0</v>
      </c>
      <c r="Z356" s="7">
        <f t="shared" si="190"/>
        <v>313210944</v>
      </c>
      <c r="AA356" s="7">
        <f t="shared" si="190"/>
        <v>11.380004889999995</v>
      </c>
      <c r="AB356" s="7">
        <f t="shared" si="190"/>
        <v>3.9999962E-2</v>
      </c>
    </row>
    <row r="357" spans="1:28" x14ac:dyDescent="0.25">
      <c r="A357" s="2">
        <v>353</v>
      </c>
      <c r="B357">
        <v>4</v>
      </c>
      <c r="C357">
        <v>1</v>
      </c>
      <c r="D357">
        <v>2</v>
      </c>
      <c r="E357">
        <v>2</v>
      </c>
      <c r="G357">
        <v>879618816</v>
      </c>
      <c r="H357">
        <v>91.150001529999997</v>
      </c>
      <c r="I357">
        <v>2.5699999330000001</v>
      </c>
      <c r="J357" s="9">
        <f t="shared" si="159"/>
        <v>4668416</v>
      </c>
      <c r="L357" s="9">
        <f t="shared" si="192"/>
        <v>1.5</v>
      </c>
      <c r="M357" s="9">
        <f t="shared" si="192"/>
        <v>0</v>
      </c>
      <c r="N357" s="29">
        <f t="shared" si="173"/>
        <v>622673984</v>
      </c>
      <c r="O357" s="30">
        <f t="shared" si="174"/>
        <v>0.80779205812813026</v>
      </c>
      <c r="P357" s="30">
        <f t="shared" si="175"/>
        <v>1.6155841162562605</v>
      </c>
      <c r="Q357" s="29">
        <f t="shared" si="176"/>
        <v>40.530002599999996</v>
      </c>
      <c r="R357" s="30">
        <f t="shared" si="177"/>
        <v>0.26689057985459474</v>
      </c>
      <c r="S357" s="30">
        <f t="shared" si="178"/>
        <v>0.53378115970918949</v>
      </c>
      <c r="T357" s="37">
        <f t="shared" si="179"/>
        <v>0.16999983799999985</v>
      </c>
      <c r="U357" s="30">
        <f t="shared" si="180"/>
        <v>2.3611087676505535E-2</v>
      </c>
      <c r="V357" s="38">
        <f t="shared" si="181"/>
        <v>2.2389021676996949E-3</v>
      </c>
      <c r="W357" s="9">
        <f t="shared" si="187"/>
        <v>20489472</v>
      </c>
      <c r="X357" s="12">
        <f t="shared" si="187"/>
        <v>5.4800033599999978</v>
      </c>
      <c r="Y357" s="11">
        <f t="shared" si="187"/>
        <v>0</v>
      </c>
      <c r="Z357" s="7">
        <f t="shared" si="190"/>
        <v>313314624</v>
      </c>
      <c r="AA357" s="7">
        <f t="shared" si="190"/>
        <v>11.200004579999998</v>
      </c>
      <c r="AB357" s="7">
        <f t="shared" si="190"/>
        <v>3.9999962E-2</v>
      </c>
    </row>
    <row r="358" spans="1:28" x14ac:dyDescent="0.25">
      <c r="A358" s="2">
        <v>354</v>
      </c>
      <c r="B358">
        <v>4</v>
      </c>
      <c r="C358">
        <v>1</v>
      </c>
      <c r="D358">
        <v>2</v>
      </c>
      <c r="E358">
        <v>3</v>
      </c>
      <c r="G358">
        <v>881630464</v>
      </c>
      <c r="H358">
        <v>95.690002440000001</v>
      </c>
      <c r="I358">
        <v>2.5699999330000001</v>
      </c>
      <c r="J358" s="9">
        <f t="shared" si="159"/>
        <v>2011648</v>
      </c>
      <c r="L358" s="9">
        <f t="shared" si="192"/>
        <v>4.5400009100000034</v>
      </c>
      <c r="M358" s="9">
        <f t="shared" si="192"/>
        <v>0</v>
      </c>
      <c r="N358" s="29">
        <f t="shared" si="173"/>
        <v>622613616</v>
      </c>
      <c r="O358" s="30">
        <f t="shared" si="174"/>
        <v>0.8012524034729972</v>
      </c>
      <c r="P358" s="30">
        <f t="shared" si="175"/>
        <v>1.6025048069459944</v>
      </c>
      <c r="Q358" s="29">
        <f t="shared" si="176"/>
        <v>43.950000760000002</v>
      </c>
      <c r="R358" s="30">
        <f t="shared" si="177"/>
        <v>0.28314649744196402</v>
      </c>
      <c r="S358" s="30">
        <f t="shared" si="178"/>
        <v>0.56629299488392804</v>
      </c>
      <c r="T358" s="37">
        <f t="shared" si="179"/>
        <v>0.15999984699999992</v>
      </c>
      <c r="U358" s="30">
        <f t="shared" si="180"/>
        <v>2.2129991879731952E-2</v>
      </c>
      <c r="V358" s="38">
        <f t="shared" si="181"/>
        <v>2.0615879629532052E-3</v>
      </c>
      <c r="W358" s="9">
        <f t="shared" si="187"/>
        <v>19118272</v>
      </c>
      <c r="X358" s="12">
        <f t="shared" si="187"/>
        <v>5.6900024400000007</v>
      </c>
      <c r="Y358" s="11">
        <f t="shared" si="187"/>
        <v>0</v>
      </c>
      <c r="Z358" s="7">
        <f t="shared" si="190"/>
        <v>307955584</v>
      </c>
      <c r="AA358" s="7">
        <f t="shared" si="190"/>
        <v>11.75</v>
      </c>
      <c r="AB358" s="7">
        <f t="shared" si="190"/>
        <v>2.999997100000007E-2</v>
      </c>
    </row>
    <row r="359" spans="1:28" x14ac:dyDescent="0.25">
      <c r="A359" s="2">
        <v>355</v>
      </c>
      <c r="B359">
        <v>4</v>
      </c>
      <c r="C359">
        <v>1</v>
      </c>
      <c r="D359">
        <v>2</v>
      </c>
      <c r="E359">
        <v>4</v>
      </c>
      <c r="G359">
        <v>824621120</v>
      </c>
      <c r="H359">
        <v>93.63999939</v>
      </c>
      <c r="I359">
        <v>2.579999924</v>
      </c>
      <c r="J359" s="9">
        <f t="shared" si="159"/>
        <v>57009344</v>
      </c>
      <c r="L359" s="9">
        <f t="shared" si="192"/>
        <v>2.0500030500000008</v>
      </c>
      <c r="M359" s="9">
        <f t="shared" si="192"/>
        <v>9.9999909999999304E-3</v>
      </c>
      <c r="N359" s="29">
        <f t="shared" si="173"/>
        <v>583076608</v>
      </c>
      <c r="O359" s="30">
        <f t="shared" si="174"/>
        <v>0.80465032189732932</v>
      </c>
      <c r="P359" s="30">
        <f t="shared" si="175"/>
        <v>1.6093006437946586</v>
      </c>
      <c r="Q359" s="29">
        <f t="shared" si="176"/>
        <v>43.22000122</v>
      </c>
      <c r="R359" s="30">
        <f t="shared" si="177"/>
        <v>0.28573319310244105</v>
      </c>
      <c r="S359" s="30">
        <f t="shared" si="178"/>
        <v>0.5714663862048821</v>
      </c>
      <c r="T359" s="37">
        <f t="shared" si="179"/>
        <v>0.16999983799999985</v>
      </c>
      <c r="U359" s="30">
        <f t="shared" si="180"/>
        <v>2.3513116450016015E-2</v>
      </c>
      <c r="V359" s="38">
        <f t="shared" si="181"/>
        <v>2.2477832099717676E-3</v>
      </c>
      <c r="W359" s="9">
        <f t="shared" si="187"/>
        <v>16165952</v>
      </c>
      <c r="X359" s="12">
        <f t="shared" si="187"/>
        <v>5.089996339999999</v>
      </c>
      <c r="Y359" s="11">
        <f t="shared" si="187"/>
        <v>0</v>
      </c>
      <c r="Z359" s="7">
        <f t="shared" si="190"/>
        <v>284486720</v>
      </c>
      <c r="AA359" s="7">
        <f t="shared" si="190"/>
        <v>11.519996640000002</v>
      </c>
      <c r="AB359" s="7">
        <f t="shared" si="190"/>
        <v>3.9999962E-2</v>
      </c>
    </row>
    <row r="360" spans="1:28" x14ac:dyDescent="0.25">
      <c r="A360" s="2">
        <v>356</v>
      </c>
      <c r="B360">
        <v>4</v>
      </c>
      <c r="C360">
        <v>1</v>
      </c>
      <c r="D360">
        <v>2</v>
      </c>
      <c r="E360">
        <v>5</v>
      </c>
      <c r="G360">
        <v>774367040</v>
      </c>
      <c r="H360">
        <v>93.61000061</v>
      </c>
      <c r="I360">
        <v>2.579999924</v>
      </c>
      <c r="J360" s="9">
        <f t="shared" si="159"/>
        <v>50254080</v>
      </c>
      <c r="L360" s="9">
        <f t="shared" si="192"/>
        <v>2.999877999999967E-2</v>
      </c>
      <c r="M360" s="9">
        <f t="shared" si="192"/>
        <v>0</v>
      </c>
      <c r="N360" s="29">
        <f t="shared" si="173"/>
        <v>548322416</v>
      </c>
      <c r="O360" s="30">
        <f t="shared" si="174"/>
        <v>0.80857547254327378</v>
      </c>
      <c r="P360" s="30">
        <f t="shared" si="175"/>
        <v>1.6171509450865476</v>
      </c>
      <c r="Q360" s="29">
        <f t="shared" si="176"/>
        <v>43.770000459999999</v>
      </c>
      <c r="R360" s="30">
        <f t="shared" si="177"/>
        <v>0.29273675981987995</v>
      </c>
      <c r="S360" s="30">
        <f t="shared" si="178"/>
        <v>0.58547351963975991</v>
      </c>
      <c r="T360" s="37">
        <f t="shared" si="179"/>
        <v>0.16999983799999985</v>
      </c>
      <c r="U360" s="30">
        <f t="shared" si="180"/>
        <v>2.3513116450016015E-2</v>
      </c>
      <c r="V360" s="38">
        <f t="shared" si="181"/>
        <v>2.2739411114013255E-3</v>
      </c>
      <c r="W360" s="9">
        <f t="shared" si="187"/>
        <v>15038848</v>
      </c>
      <c r="X360" s="12">
        <f t="shared" si="187"/>
        <v>5.0599975599999993</v>
      </c>
      <c r="Y360" s="11">
        <f t="shared" si="187"/>
        <v>0</v>
      </c>
      <c r="Z360" s="7">
        <f t="shared" si="190"/>
        <v>266630112</v>
      </c>
      <c r="AA360" s="7">
        <f t="shared" si="190"/>
        <v>11.550003050000001</v>
      </c>
      <c r="AB360" s="7">
        <f t="shared" si="190"/>
        <v>3.9999962E-2</v>
      </c>
    </row>
    <row r="361" spans="1:28" x14ac:dyDescent="0.25">
      <c r="A361" s="2">
        <v>357</v>
      </c>
      <c r="B361">
        <v>4</v>
      </c>
      <c r="C361">
        <v>1</v>
      </c>
      <c r="D361">
        <v>2</v>
      </c>
      <c r="E361">
        <v>6</v>
      </c>
      <c r="G361">
        <v>653770880</v>
      </c>
      <c r="H361">
        <v>88.02999878</v>
      </c>
      <c r="I361">
        <v>2.579999924</v>
      </c>
      <c r="J361" s="9">
        <f t="shared" si="159"/>
        <v>120596160</v>
      </c>
      <c r="L361" s="9">
        <f t="shared" si="192"/>
        <v>5.5800018300000005</v>
      </c>
      <c r="M361" s="9">
        <f t="shared" si="192"/>
        <v>0</v>
      </c>
      <c r="N361" s="29">
        <f t="shared" si="173"/>
        <v>465239760</v>
      </c>
      <c r="O361" s="30">
        <f t="shared" si="174"/>
        <v>0.82256934558071892</v>
      </c>
      <c r="P361" s="30">
        <f t="shared" si="175"/>
        <v>1.6451386911614378</v>
      </c>
      <c r="Q361" s="29">
        <f t="shared" si="176"/>
        <v>41.329998019999998</v>
      </c>
      <c r="R361" s="30">
        <f t="shared" si="177"/>
        <v>0.29500354994569522</v>
      </c>
      <c r="S361" s="30">
        <f t="shared" si="178"/>
        <v>0.59000709989139044</v>
      </c>
      <c r="T361" s="37">
        <f t="shared" si="179"/>
        <v>0.16999983799999985</v>
      </c>
      <c r="U361" s="30">
        <f t="shared" si="180"/>
        <v>2.3513116450016015E-2</v>
      </c>
      <c r="V361" s="38">
        <f t="shared" si="181"/>
        <v>2.4268356207481404E-3</v>
      </c>
      <c r="W361" s="9">
        <f t="shared" si="187"/>
        <v>11415744</v>
      </c>
      <c r="X361" s="12">
        <f t="shared" si="187"/>
        <v>4.0999984700000027</v>
      </c>
      <c r="Y361" s="11">
        <f t="shared" si="187"/>
        <v>0</v>
      </c>
      <c r="Z361" s="7">
        <f t="shared" si="190"/>
        <v>222303872</v>
      </c>
      <c r="AA361" s="7">
        <f t="shared" si="190"/>
        <v>10.91999817</v>
      </c>
      <c r="AB361" s="7">
        <f t="shared" si="190"/>
        <v>3.9999962E-2</v>
      </c>
    </row>
    <row r="362" spans="1:28" x14ac:dyDescent="0.25">
      <c r="A362" s="2">
        <v>358</v>
      </c>
      <c r="B362">
        <v>4</v>
      </c>
      <c r="C362">
        <v>2</v>
      </c>
      <c r="D362">
        <v>0</v>
      </c>
      <c r="E362">
        <v>0</v>
      </c>
      <c r="G362">
        <v>86688800</v>
      </c>
      <c r="H362">
        <v>45.090000150000002</v>
      </c>
      <c r="I362">
        <v>2.8900001049999999</v>
      </c>
      <c r="N362" s="29">
        <f t="shared" si="173"/>
        <v>788280672</v>
      </c>
      <c r="O362" s="30">
        <f t="shared" si="174"/>
        <v>0.30030787634154166</v>
      </c>
      <c r="P362" s="30">
        <f t="shared" si="175"/>
        <v>1.0010262544718056</v>
      </c>
      <c r="Q362" s="29">
        <f t="shared" si="176"/>
        <v>44.689998629999998</v>
      </c>
      <c r="R362" s="30">
        <f t="shared" si="177"/>
        <v>0.16592410795753409</v>
      </c>
      <c r="S362" s="30">
        <f t="shared" si="178"/>
        <v>0.55308035985844695</v>
      </c>
      <c r="T362" s="37">
        <f t="shared" si="179"/>
        <v>0.32000017199999986</v>
      </c>
      <c r="U362" s="30">
        <f t="shared" si="180"/>
        <v>4.1504562949729831E-2</v>
      </c>
      <c r="V362" s="38">
        <f t="shared" si="181"/>
        <v>3.9603001949012331E-3</v>
      </c>
      <c r="W362" s="9">
        <f t="shared" ref="W362:Y377" si="193">ABS(G362-G341)</f>
        <v>71195166</v>
      </c>
      <c r="X362" s="12">
        <f t="shared" si="193"/>
        <v>25.159999840000001</v>
      </c>
      <c r="Y362" s="11">
        <f t="shared" si="193"/>
        <v>0.55000019100000008</v>
      </c>
      <c r="Z362" s="7">
        <f t="shared" si="190"/>
        <v>26400212</v>
      </c>
      <c r="AA362" s="7">
        <f t="shared" si="190"/>
        <v>5.2799987799999997</v>
      </c>
      <c r="AB362" s="7">
        <f t="shared" si="190"/>
        <v>9.9999909999999304E-3</v>
      </c>
    </row>
    <row r="363" spans="1:28" x14ac:dyDescent="0.25">
      <c r="A363" s="2">
        <v>359</v>
      </c>
      <c r="B363">
        <v>4</v>
      </c>
      <c r="C363">
        <v>2</v>
      </c>
      <c r="D363">
        <v>0</v>
      </c>
      <c r="E363">
        <v>1</v>
      </c>
      <c r="G363">
        <v>88519728</v>
      </c>
      <c r="H363">
        <v>46.319999690000003</v>
      </c>
      <c r="I363">
        <v>2.8900001049999999</v>
      </c>
      <c r="J363" s="9">
        <f t="shared" ref="J363" si="194">ABS(G363-G362)</f>
        <v>1830928</v>
      </c>
      <c r="L363" s="9">
        <f t="shared" ref="L363:M368" si="195">ABS(H363-H362)</f>
        <v>1.2299995400000014</v>
      </c>
      <c r="M363" s="9">
        <f t="shared" si="195"/>
        <v>0</v>
      </c>
      <c r="N363" s="29">
        <f t="shared" si="173"/>
        <v>795767504</v>
      </c>
      <c r="O363" s="30">
        <f t="shared" si="174"/>
        <v>0.29996569561084274</v>
      </c>
      <c r="P363" s="30">
        <f t="shared" si="175"/>
        <v>0.99988565203614244</v>
      </c>
      <c r="Q363" s="29">
        <f t="shared" si="176"/>
        <v>46.330001839999994</v>
      </c>
      <c r="R363" s="30">
        <f t="shared" si="177"/>
        <v>0.16668465938088653</v>
      </c>
      <c r="S363" s="30">
        <f t="shared" si="178"/>
        <v>0.55561553126962182</v>
      </c>
      <c r="T363" s="37">
        <f t="shared" si="179"/>
        <v>0.32000017199999986</v>
      </c>
      <c r="U363" s="30">
        <f t="shared" si="180"/>
        <v>4.1504562949729831E-2</v>
      </c>
      <c r="V363" s="38">
        <f t="shared" si="181"/>
        <v>3.8376226745289134E-3</v>
      </c>
      <c r="W363" s="9">
        <f t="shared" si="193"/>
        <v>71684794</v>
      </c>
      <c r="X363" s="12">
        <f t="shared" si="193"/>
        <v>25.819999690000003</v>
      </c>
      <c r="Y363" s="11">
        <f t="shared" si="193"/>
        <v>0.55000019100000008</v>
      </c>
      <c r="Z363" s="7">
        <f t="shared" si="190"/>
        <v>26663548</v>
      </c>
      <c r="AA363" s="7">
        <f t="shared" si="190"/>
        <v>5.4000015200000036</v>
      </c>
      <c r="AB363" s="7">
        <f t="shared" si="190"/>
        <v>9.9999909999999304E-3</v>
      </c>
    </row>
    <row r="364" spans="1:28" x14ac:dyDescent="0.25">
      <c r="A364" s="2">
        <v>360</v>
      </c>
      <c r="B364">
        <v>4</v>
      </c>
      <c r="C364">
        <v>2</v>
      </c>
      <c r="D364">
        <v>0</v>
      </c>
      <c r="E364">
        <v>2</v>
      </c>
      <c r="G364">
        <v>87376872</v>
      </c>
      <c r="H364">
        <v>45.72000122</v>
      </c>
      <c r="I364">
        <v>2.8900001049999999</v>
      </c>
      <c r="J364" s="9">
        <f t="shared" si="162"/>
        <v>1142856</v>
      </c>
      <c r="L364" s="9">
        <f t="shared" si="195"/>
        <v>0.59999847000000273</v>
      </c>
      <c r="M364" s="9">
        <f t="shared" si="195"/>
        <v>0</v>
      </c>
      <c r="N364" s="29">
        <f t="shared" si="173"/>
        <v>792241944</v>
      </c>
      <c r="O364" s="30">
        <f t="shared" si="174"/>
        <v>0.30022169057374964</v>
      </c>
      <c r="P364" s="30">
        <f t="shared" si="175"/>
        <v>1.0007389685791654</v>
      </c>
      <c r="Q364" s="29">
        <f t="shared" si="176"/>
        <v>45.430000309999997</v>
      </c>
      <c r="R364" s="30">
        <f t="shared" si="177"/>
        <v>0.16613640353788225</v>
      </c>
      <c r="S364" s="30">
        <f t="shared" si="178"/>
        <v>0.5537880117929409</v>
      </c>
      <c r="T364" s="37">
        <f t="shared" si="179"/>
        <v>0.32000017199999986</v>
      </c>
      <c r="U364" s="30">
        <f t="shared" si="180"/>
        <v>4.1504562949729831E-2</v>
      </c>
      <c r="V364" s="38">
        <f t="shared" si="181"/>
        <v>3.9007760910420085E-3</v>
      </c>
      <c r="W364" s="9">
        <f t="shared" si="193"/>
        <v>71282771</v>
      </c>
      <c r="X364" s="12">
        <f t="shared" si="193"/>
        <v>25.520000459999999</v>
      </c>
      <c r="Y364" s="11">
        <f t="shared" si="193"/>
        <v>0.55000019100000008</v>
      </c>
      <c r="Z364" s="7">
        <f t="shared" si="190"/>
        <v>26477740</v>
      </c>
      <c r="AA364" s="7">
        <f t="shared" si="190"/>
        <v>5.3400001500000016</v>
      </c>
      <c r="AB364" s="7">
        <f t="shared" si="190"/>
        <v>9.9999909999999304E-3</v>
      </c>
    </row>
    <row r="365" spans="1:28" x14ac:dyDescent="0.25">
      <c r="A365" s="2">
        <v>361</v>
      </c>
      <c r="B365">
        <v>4</v>
      </c>
      <c r="C365">
        <v>2</v>
      </c>
      <c r="D365">
        <v>0</v>
      </c>
      <c r="E365">
        <v>3</v>
      </c>
      <c r="G365">
        <v>88669680</v>
      </c>
      <c r="H365">
        <v>47.450000760000002</v>
      </c>
      <c r="I365">
        <v>2.8900001049999999</v>
      </c>
      <c r="J365" s="9">
        <f t="shared" si="162"/>
        <v>1292808</v>
      </c>
      <c r="L365" s="9">
        <f t="shared" si="195"/>
        <v>1.7299995400000014</v>
      </c>
      <c r="M365" s="9">
        <f t="shared" si="195"/>
        <v>0</v>
      </c>
      <c r="N365" s="29">
        <f t="shared" si="173"/>
        <v>792960784</v>
      </c>
      <c r="O365" s="30">
        <f t="shared" si="174"/>
        <v>0.29980844824043346</v>
      </c>
      <c r="P365" s="30">
        <f t="shared" si="175"/>
        <v>0.99936149413477826</v>
      </c>
      <c r="Q365" s="29">
        <f t="shared" si="176"/>
        <v>48.240001679999999</v>
      </c>
      <c r="R365" s="30">
        <f t="shared" si="177"/>
        <v>0.1680426392514992</v>
      </c>
      <c r="S365" s="30">
        <f t="shared" si="178"/>
        <v>0.56014213083833064</v>
      </c>
      <c r="T365" s="37">
        <f t="shared" si="179"/>
        <v>0.32000017199999986</v>
      </c>
      <c r="U365" s="30">
        <f t="shared" si="180"/>
        <v>4.1504562949729831E-2</v>
      </c>
      <c r="V365" s="38">
        <f t="shared" si="181"/>
        <v>3.715704228240654E-3</v>
      </c>
      <c r="W365" s="9">
        <f t="shared" si="193"/>
        <v>70825684</v>
      </c>
      <c r="X365" s="12">
        <f t="shared" si="193"/>
        <v>26.530000680000001</v>
      </c>
      <c r="Y365" s="11">
        <f t="shared" si="193"/>
        <v>0.55000019100000008</v>
      </c>
      <c r="Z365" s="7">
        <f t="shared" si="190"/>
        <v>26414716</v>
      </c>
      <c r="AA365" s="7">
        <f t="shared" si="190"/>
        <v>5.5200004500000048</v>
      </c>
      <c r="AB365" s="7">
        <f t="shared" si="190"/>
        <v>9.9999909999999304E-3</v>
      </c>
    </row>
    <row r="366" spans="1:28" x14ac:dyDescent="0.25">
      <c r="A366" s="2">
        <v>362</v>
      </c>
      <c r="B366">
        <v>4</v>
      </c>
      <c r="C366">
        <v>2</v>
      </c>
      <c r="D366">
        <v>0</v>
      </c>
      <c r="E366">
        <v>4</v>
      </c>
      <c r="G366">
        <v>82615344</v>
      </c>
      <c r="H366">
        <v>46.130001069999999</v>
      </c>
      <c r="I366">
        <v>2.8900001049999999</v>
      </c>
      <c r="J366" s="9">
        <f t="shared" si="162"/>
        <v>6054336</v>
      </c>
      <c r="L366" s="9">
        <f t="shared" si="195"/>
        <v>1.3199996900000031</v>
      </c>
      <c r="M366" s="9">
        <f t="shared" si="195"/>
        <v>0</v>
      </c>
      <c r="N366" s="29">
        <f t="shared" si="173"/>
        <v>742005776</v>
      </c>
      <c r="O366" s="30">
        <f t="shared" si="174"/>
        <v>0.2999380596347892</v>
      </c>
      <c r="P366" s="30">
        <f t="shared" si="175"/>
        <v>0.999793532115964</v>
      </c>
      <c r="Q366" s="29">
        <f t="shared" si="176"/>
        <v>47.509998320000001</v>
      </c>
      <c r="R366" s="30">
        <f t="shared" si="177"/>
        <v>0.16912287708064525</v>
      </c>
      <c r="S366" s="30">
        <f t="shared" si="178"/>
        <v>0.56374292360215084</v>
      </c>
      <c r="T366" s="37">
        <f t="shared" si="179"/>
        <v>0.31000018099999993</v>
      </c>
      <c r="U366" s="30">
        <f t="shared" si="180"/>
        <v>4.0051704151393856E-2</v>
      </c>
      <c r="V366" s="38">
        <f t="shared" si="181"/>
        <v>3.6783922234021223E-3</v>
      </c>
      <c r="W366" s="9">
        <f t="shared" si="193"/>
        <v>66325717</v>
      </c>
      <c r="X366" s="12">
        <f t="shared" si="193"/>
        <v>25.880001069999999</v>
      </c>
      <c r="Y366" s="11">
        <f t="shared" si="193"/>
        <v>0.55000019100000008</v>
      </c>
      <c r="Z366" s="7">
        <f t="shared" ref="Z366:AB381" si="196">ABS(G366-G261)</f>
        <v>24715016</v>
      </c>
      <c r="AA366" s="7">
        <f t="shared" si="196"/>
        <v>5.4200019899999958</v>
      </c>
      <c r="AB366" s="7">
        <f t="shared" si="196"/>
        <v>9.9999909999999304E-3</v>
      </c>
    </row>
    <row r="367" spans="1:28" x14ac:dyDescent="0.25">
      <c r="A367" s="2">
        <v>363</v>
      </c>
      <c r="B367">
        <v>4</v>
      </c>
      <c r="C367">
        <v>2</v>
      </c>
      <c r="D367">
        <v>0</v>
      </c>
      <c r="E367">
        <v>5</v>
      </c>
      <c r="G367">
        <v>75509920</v>
      </c>
      <c r="H367">
        <v>44.569999690000003</v>
      </c>
      <c r="I367">
        <v>2.8900001049999999</v>
      </c>
      <c r="J367" s="9">
        <f t="shared" si="162"/>
        <v>7105424</v>
      </c>
      <c r="L367" s="9">
        <f t="shared" si="195"/>
        <v>1.5600013799999957</v>
      </c>
      <c r="M367" s="9">
        <f t="shared" si="195"/>
        <v>0</v>
      </c>
      <c r="N367" s="29">
        <f t="shared" si="173"/>
        <v>698857120</v>
      </c>
      <c r="O367" s="30">
        <f t="shared" si="174"/>
        <v>0.30082940169216571</v>
      </c>
      <c r="P367" s="30">
        <f t="shared" si="175"/>
        <v>1.002764672307219</v>
      </c>
      <c r="Q367" s="29">
        <f t="shared" si="176"/>
        <v>49.040000919999997</v>
      </c>
      <c r="R367" s="30">
        <f t="shared" si="177"/>
        <v>0.17462522024155483</v>
      </c>
      <c r="S367" s="30">
        <f t="shared" si="178"/>
        <v>0.58208406747184949</v>
      </c>
      <c r="T367" s="37">
        <f t="shared" si="179"/>
        <v>0.31000018099999993</v>
      </c>
      <c r="U367" s="30">
        <f t="shared" si="180"/>
        <v>4.0051704151393856E-2</v>
      </c>
      <c r="V367" s="38">
        <f t="shared" si="181"/>
        <v>3.6795710213761044E-3</v>
      </c>
      <c r="W367" s="9">
        <f t="shared" si="193"/>
        <v>61070663</v>
      </c>
      <c r="X367" s="12">
        <f t="shared" si="193"/>
        <v>24.909999840000005</v>
      </c>
      <c r="Y367" s="11">
        <f t="shared" si="193"/>
        <v>0.55000019100000008</v>
      </c>
      <c r="Z367" s="7">
        <f t="shared" si="196"/>
        <v>22953080</v>
      </c>
      <c r="AA367" s="7">
        <f t="shared" si="196"/>
        <v>5.3699989300000013</v>
      </c>
      <c r="AB367" s="7">
        <f t="shared" si="196"/>
        <v>9.9999909999999304E-3</v>
      </c>
    </row>
    <row r="368" spans="1:28" x14ac:dyDescent="0.25">
      <c r="A368" s="2">
        <v>364</v>
      </c>
      <c r="B368">
        <v>4</v>
      </c>
      <c r="C368">
        <v>2</v>
      </c>
      <c r="D368">
        <v>0</v>
      </c>
      <c r="E368">
        <v>6</v>
      </c>
      <c r="G368">
        <v>61134112</v>
      </c>
      <c r="H368">
        <v>40.540000919999997</v>
      </c>
      <c r="I368">
        <v>2.8900001049999999</v>
      </c>
      <c r="J368" s="9">
        <f t="shared" si="162"/>
        <v>14375808</v>
      </c>
      <c r="L368" s="9">
        <f t="shared" si="195"/>
        <v>4.0299987700000059</v>
      </c>
      <c r="M368" s="9">
        <f t="shared" si="195"/>
        <v>0</v>
      </c>
      <c r="N368" s="29">
        <f t="shared" si="173"/>
        <v>592636768</v>
      </c>
      <c r="O368" s="30">
        <f t="shared" si="174"/>
        <v>0.30216333485721075</v>
      </c>
      <c r="P368" s="30">
        <f t="shared" si="175"/>
        <v>1.0072111161907025</v>
      </c>
      <c r="Q368" s="29">
        <f t="shared" si="176"/>
        <v>47.489997860000003</v>
      </c>
      <c r="R368" s="30">
        <f t="shared" si="177"/>
        <v>0.17982505402764096</v>
      </c>
      <c r="S368" s="30">
        <f t="shared" si="178"/>
        <v>0.59941684675880325</v>
      </c>
      <c r="T368" s="37">
        <f t="shared" si="179"/>
        <v>0.31000018099999993</v>
      </c>
      <c r="U368" s="30">
        <f t="shared" si="180"/>
        <v>4.0051704151393856E-2</v>
      </c>
      <c r="V368" s="38">
        <f t="shared" si="181"/>
        <v>3.9128098412948252E-3</v>
      </c>
      <c r="W368" s="9">
        <f t="shared" si="193"/>
        <v>51052256</v>
      </c>
      <c r="X368" s="12">
        <f t="shared" si="193"/>
        <v>22.830001839999998</v>
      </c>
      <c r="Y368" s="11">
        <f t="shared" si="193"/>
        <v>0.55000019100000008</v>
      </c>
      <c r="Z368" s="7">
        <f t="shared" si="196"/>
        <v>19200576</v>
      </c>
      <c r="AA368" s="7">
        <f t="shared" si="196"/>
        <v>5.1300010699999987</v>
      </c>
      <c r="AB368" s="7">
        <f t="shared" si="196"/>
        <v>9.9999909999999304E-3</v>
      </c>
    </row>
    <row r="369" spans="1:28" x14ac:dyDescent="0.25">
      <c r="A369" s="2">
        <v>365</v>
      </c>
      <c r="B369">
        <v>4</v>
      </c>
      <c r="C369">
        <v>2</v>
      </c>
      <c r="D369">
        <v>1</v>
      </c>
      <c r="E369">
        <v>0</v>
      </c>
      <c r="G369">
        <v>566627584</v>
      </c>
      <c r="H369">
        <v>147.3500061</v>
      </c>
      <c r="I369">
        <v>2.9900000100000002</v>
      </c>
      <c r="N369" s="29">
        <f t="shared" si="173"/>
        <v>479938784</v>
      </c>
      <c r="O369" s="30">
        <f t="shared" si="174"/>
        <v>1.845447101201847</v>
      </c>
      <c r="P369" s="30">
        <f t="shared" si="175"/>
        <v>1.845447101201847</v>
      </c>
      <c r="Q369" s="29">
        <f t="shared" si="176"/>
        <v>102.26000594999999</v>
      </c>
      <c r="R369" s="30">
        <f t="shared" si="177"/>
        <v>0.75596958386792101</v>
      </c>
      <c r="S369" s="30">
        <f t="shared" si="178"/>
        <v>0.75596958386792101</v>
      </c>
      <c r="T369" s="37">
        <f t="shared" si="179"/>
        <v>9.9999905000000222E-2</v>
      </c>
      <c r="U369" s="30">
        <f t="shared" si="180"/>
        <v>1.1534013998475872E-2</v>
      </c>
      <c r="V369" s="38">
        <f t="shared" si="181"/>
        <v>7.3926151154973417E-4</v>
      </c>
      <c r="W369" s="9">
        <f t="shared" si="193"/>
        <v>311436736</v>
      </c>
      <c r="X369" s="12">
        <f t="shared" si="193"/>
        <v>97.150005340000007</v>
      </c>
      <c r="Y369" s="11">
        <f t="shared" si="193"/>
        <v>0.58999991499999993</v>
      </c>
      <c r="Z369" s="7">
        <f t="shared" si="196"/>
        <v>154075360</v>
      </c>
      <c r="AA369" s="7">
        <f t="shared" si="196"/>
        <v>14.760009800000006</v>
      </c>
      <c r="AB369" s="7">
        <f t="shared" si="196"/>
        <v>1.9999981000000222E-2</v>
      </c>
    </row>
    <row r="370" spans="1:28" x14ac:dyDescent="0.25">
      <c r="A370" s="2">
        <v>366</v>
      </c>
      <c r="B370">
        <v>4</v>
      </c>
      <c r="C370">
        <v>2</v>
      </c>
      <c r="D370">
        <v>1</v>
      </c>
      <c r="E370">
        <v>1</v>
      </c>
      <c r="G370">
        <v>570980928</v>
      </c>
      <c r="H370">
        <v>153.7599945</v>
      </c>
      <c r="I370">
        <v>2.9900000100000002</v>
      </c>
      <c r="J370" s="9">
        <f t="shared" ref="J370:J417" si="197">ABS(G370-G369)</f>
        <v>4353344</v>
      </c>
      <c r="L370" s="9">
        <f t="shared" ref="L370:M375" si="198">ABS(H370-H369)</f>
        <v>6.4099884000000031</v>
      </c>
      <c r="M370" s="9">
        <f t="shared" si="198"/>
        <v>0</v>
      </c>
      <c r="N370" s="29">
        <f t="shared" si="173"/>
        <v>482461200</v>
      </c>
      <c r="O370" s="30">
        <f t="shared" si="174"/>
        <v>1.8167746742285518</v>
      </c>
      <c r="P370" s="30">
        <f t="shared" si="175"/>
        <v>1.8167746742285518</v>
      </c>
      <c r="Q370" s="29">
        <f t="shared" si="176"/>
        <v>107.43999481</v>
      </c>
      <c r="R370" s="30">
        <f t="shared" si="177"/>
        <v>0.77317210369207012</v>
      </c>
      <c r="S370" s="30">
        <f t="shared" si="178"/>
        <v>0.77317210369207012</v>
      </c>
      <c r="T370" s="37">
        <f t="shared" si="179"/>
        <v>9.9999905000000222E-2</v>
      </c>
      <c r="U370" s="30">
        <f t="shared" si="180"/>
        <v>1.1534013998475872E-2</v>
      </c>
      <c r="V370" s="38">
        <f t="shared" si="181"/>
        <v>7.1963086981330544E-4</v>
      </c>
      <c r="W370" s="9">
        <f t="shared" si="193"/>
        <v>311885936</v>
      </c>
      <c r="X370" s="12">
        <f t="shared" si="193"/>
        <v>102.69999313</v>
      </c>
      <c r="Y370" s="11">
        <f t="shared" si="193"/>
        <v>0.58999991499999993</v>
      </c>
      <c r="Z370" s="7">
        <f t="shared" si="196"/>
        <v>153999616</v>
      </c>
      <c r="AA370" s="7">
        <f t="shared" si="196"/>
        <v>15.339996299999996</v>
      </c>
      <c r="AB370" s="7">
        <f t="shared" si="196"/>
        <v>1.9999981000000222E-2</v>
      </c>
    </row>
    <row r="371" spans="1:28" x14ac:dyDescent="0.25">
      <c r="A371" s="2">
        <v>367</v>
      </c>
      <c r="B371">
        <v>4</v>
      </c>
      <c r="C371">
        <v>2</v>
      </c>
      <c r="D371">
        <v>1</v>
      </c>
      <c r="E371">
        <v>2</v>
      </c>
      <c r="G371">
        <v>568101888</v>
      </c>
      <c r="H371">
        <v>150.86999510000001</v>
      </c>
      <c r="I371">
        <v>2.9900000100000002</v>
      </c>
      <c r="J371" s="9">
        <f t="shared" si="197"/>
        <v>2879040</v>
      </c>
      <c r="L371" s="9">
        <f t="shared" si="198"/>
        <v>2.8899993999999936</v>
      </c>
      <c r="M371" s="9">
        <f t="shared" si="198"/>
        <v>0</v>
      </c>
      <c r="N371" s="29">
        <f t="shared" si="173"/>
        <v>480725016</v>
      </c>
      <c r="O371" s="30">
        <f t="shared" si="174"/>
        <v>1.8339140361994188</v>
      </c>
      <c r="P371" s="30">
        <f t="shared" si="175"/>
        <v>1.8339140361994188</v>
      </c>
      <c r="Q371" s="29">
        <f t="shared" si="176"/>
        <v>105.14999388000001</v>
      </c>
      <c r="R371" s="30">
        <f t="shared" si="177"/>
        <v>0.76662285705862032</v>
      </c>
      <c r="S371" s="30">
        <f t="shared" si="178"/>
        <v>0.76662285705862032</v>
      </c>
      <c r="T371" s="37">
        <f t="shared" si="179"/>
        <v>9.9999905000000222E-2</v>
      </c>
      <c r="U371" s="30">
        <f t="shared" si="180"/>
        <v>1.1534013998475872E-2</v>
      </c>
      <c r="V371" s="38">
        <f t="shared" si="181"/>
        <v>7.2907482014863219E-4</v>
      </c>
      <c r="W371" s="9">
        <f t="shared" si="193"/>
        <v>311157056</v>
      </c>
      <c r="X371" s="12">
        <f t="shared" si="193"/>
        <v>100.24999617</v>
      </c>
      <c r="Y371" s="11">
        <f t="shared" si="193"/>
        <v>0.58999991499999993</v>
      </c>
      <c r="Z371" s="7">
        <f t="shared" si="196"/>
        <v>153970944</v>
      </c>
      <c r="AA371" s="7">
        <f t="shared" si="196"/>
        <v>15.089996300000024</v>
      </c>
      <c r="AB371" s="7">
        <f t="shared" si="196"/>
        <v>1.9999981000000222E-2</v>
      </c>
    </row>
    <row r="372" spans="1:28" x14ac:dyDescent="0.25">
      <c r="A372" s="2">
        <v>368</v>
      </c>
      <c r="B372">
        <v>4</v>
      </c>
      <c r="C372">
        <v>2</v>
      </c>
      <c r="D372">
        <v>1</v>
      </c>
      <c r="E372">
        <v>3</v>
      </c>
      <c r="G372">
        <v>564675456</v>
      </c>
      <c r="H372">
        <v>160.61999510000001</v>
      </c>
      <c r="I372">
        <v>2.9900000100000002</v>
      </c>
      <c r="J372" s="9">
        <f t="shared" si="197"/>
        <v>3426432</v>
      </c>
      <c r="L372" s="9">
        <f t="shared" si="198"/>
        <v>9.75</v>
      </c>
      <c r="M372" s="9">
        <f t="shared" si="198"/>
        <v>0</v>
      </c>
      <c r="N372" s="29">
        <f t="shared" si="173"/>
        <v>476005776</v>
      </c>
      <c r="O372" s="30">
        <f t="shared" si="174"/>
        <v>1.7894345846291539</v>
      </c>
      <c r="P372" s="30">
        <f t="shared" si="175"/>
        <v>1.7894345846291539</v>
      </c>
      <c r="Q372" s="29">
        <f t="shared" si="176"/>
        <v>113.16999434000002</v>
      </c>
      <c r="R372" s="30">
        <f t="shared" si="177"/>
        <v>0.79501224114767899</v>
      </c>
      <c r="S372" s="30">
        <f t="shared" si="178"/>
        <v>0.79501224114767899</v>
      </c>
      <c r="T372" s="37">
        <f t="shared" si="179"/>
        <v>9.9999905000000222E-2</v>
      </c>
      <c r="U372" s="30">
        <f t="shared" si="180"/>
        <v>1.1534013998475872E-2</v>
      </c>
      <c r="V372" s="38">
        <f t="shared" si="181"/>
        <v>7.0249317455789093E-4</v>
      </c>
      <c r="W372" s="9">
        <f t="shared" si="193"/>
        <v>305658608</v>
      </c>
      <c r="X372" s="12">
        <f t="shared" si="193"/>
        <v>108.87999342000001</v>
      </c>
      <c r="Y372" s="11">
        <f t="shared" si="193"/>
        <v>0.579999924</v>
      </c>
      <c r="Z372" s="7">
        <f t="shared" si="196"/>
        <v>150888224</v>
      </c>
      <c r="AA372" s="7">
        <f t="shared" si="196"/>
        <v>15.979995700000018</v>
      </c>
      <c r="AB372" s="7">
        <f t="shared" si="196"/>
        <v>1.9999981000000222E-2</v>
      </c>
    </row>
    <row r="373" spans="1:28" x14ac:dyDescent="0.25">
      <c r="A373" s="2">
        <v>369</v>
      </c>
      <c r="B373">
        <v>4</v>
      </c>
      <c r="C373">
        <v>2</v>
      </c>
      <c r="D373">
        <v>1</v>
      </c>
      <c r="E373">
        <v>4</v>
      </c>
      <c r="G373">
        <v>525305664</v>
      </c>
      <c r="H373">
        <v>155.5099945</v>
      </c>
      <c r="I373">
        <v>2.9900000100000002</v>
      </c>
      <c r="J373" s="9">
        <f t="shared" si="197"/>
        <v>39369792</v>
      </c>
      <c r="L373" s="9">
        <f t="shared" si="198"/>
        <v>5.1100006000000064</v>
      </c>
      <c r="M373" s="9">
        <f t="shared" si="198"/>
        <v>0</v>
      </c>
      <c r="N373" s="29">
        <f t="shared" si="173"/>
        <v>442690320</v>
      </c>
      <c r="O373" s="30">
        <f t="shared" si="174"/>
        <v>1.7861505242900158</v>
      </c>
      <c r="P373" s="30">
        <f t="shared" si="175"/>
        <v>1.7861505242900158</v>
      </c>
      <c r="Q373" s="29">
        <f t="shared" si="176"/>
        <v>109.37999343000001</v>
      </c>
      <c r="R373" s="30">
        <f t="shared" si="177"/>
        <v>0.79037496128980689</v>
      </c>
      <c r="S373" s="30">
        <f t="shared" si="178"/>
        <v>0.79037496128980689</v>
      </c>
      <c r="T373" s="37">
        <f t="shared" si="179"/>
        <v>9.9999905000000222E-2</v>
      </c>
      <c r="U373" s="30">
        <f t="shared" si="180"/>
        <v>1.1534013998475872E-2</v>
      </c>
      <c r="V373" s="38">
        <f t="shared" si="181"/>
        <v>7.2259486003664088E-4</v>
      </c>
      <c r="W373" s="9">
        <f t="shared" si="193"/>
        <v>283761152</v>
      </c>
      <c r="X373" s="12">
        <f t="shared" si="193"/>
        <v>105.08999633000001</v>
      </c>
      <c r="Y373" s="11">
        <f t="shared" si="193"/>
        <v>0.579999924</v>
      </c>
      <c r="Z373" s="7">
        <f t="shared" si="196"/>
        <v>139230496</v>
      </c>
      <c r="AA373" s="7">
        <f t="shared" si="196"/>
        <v>15.51998900000001</v>
      </c>
      <c r="AB373" s="7">
        <f t="shared" si="196"/>
        <v>1.9999981000000222E-2</v>
      </c>
    </row>
    <row r="374" spans="1:28" x14ac:dyDescent="0.25">
      <c r="A374" s="2">
        <v>370</v>
      </c>
      <c r="B374">
        <v>4</v>
      </c>
      <c r="C374">
        <v>2</v>
      </c>
      <c r="D374">
        <v>1</v>
      </c>
      <c r="E374">
        <v>5</v>
      </c>
      <c r="G374">
        <v>487304000</v>
      </c>
      <c r="H374">
        <v>150.57000729999999</v>
      </c>
      <c r="I374">
        <v>2.9900000100000002</v>
      </c>
      <c r="J374" s="9">
        <f t="shared" si="197"/>
        <v>38001664</v>
      </c>
      <c r="L374" s="9">
        <f t="shared" si="198"/>
        <v>4.9399872000000187</v>
      </c>
      <c r="M374" s="9">
        <f t="shared" si="198"/>
        <v>0</v>
      </c>
      <c r="N374" s="29">
        <f t="shared" si="173"/>
        <v>411794080</v>
      </c>
      <c r="O374" s="30">
        <f t="shared" si="174"/>
        <v>1.8178365615184513</v>
      </c>
      <c r="P374" s="30">
        <f t="shared" si="175"/>
        <v>1.8178365615184513</v>
      </c>
      <c r="Q374" s="29">
        <f t="shared" si="176"/>
        <v>106.00000760999998</v>
      </c>
      <c r="R374" s="30">
        <f t="shared" si="177"/>
        <v>0.79276051415202486</v>
      </c>
      <c r="S374" s="30">
        <f t="shared" si="178"/>
        <v>0.79276051415202486</v>
      </c>
      <c r="T374" s="37">
        <f t="shared" si="179"/>
        <v>9.9999905000000222E-2</v>
      </c>
      <c r="U374" s="30">
        <f t="shared" si="180"/>
        <v>1.1534013998475872E-2</v>
      </c>
      <c r="V374" s="38">
        <f t="shared" si="181"/>
        <v>7.4788651331639125E-4</v>
      </c>
      <c r="W374" s="9">
        <f t="shared" si="193"/>
        <v>261259376</v>
      </c>
      <c r="X374" s="12">
        <f t="shared" si="193"/>
        <v>100.73000714999998</v>
      </c>
      <c r="Y374" s="11">
        <f t="shared" si="193"/>
        <v>0.579999924</v>
      </c>
      <c r="Z374" s="7">
        <f t="shared" si="196"/>
        <v>129608192</v>
      </c>
      <c r="AA374" s="7">
        <f t="shared" si="196"/>
        <v>15.090011599999997</v>
      </c>
      <c r="AB374" s="7">
        <f t="shared" si="196"/>
        <v>1.9999981000000222E-2</v>
      </c>
    </row>
    <row r="375" spans="1:28" x14ac:dyDescent="0.25">
      <c r="A375" s="2">
        <v>371</v>
      </c>
      <c r="B375">
        <v>4</v>
      </c>
      <c r="C375">
        <v>2</v>
      </c>
      <c r="D375">
        <v>1</v>
      </c>
      <c r="E375">
        <v>6</v>
      </c>
      <c r="G375">
        <v>404634272</v>
      </c>
      <c r="H375">
        <v>135.1600037</v>
      </c>
      <c r="I375">
        <v>2.9900000100000002</v>
      </c>
      <c r="J375" s="9">
        <f t="shared" si="197"/>
        <v>82669728</v>
      </c>
      <c r="L375" s="9">
        <f t="shared" si="198"/>
        <v>15.410003599999982</v>
      </c>
      <c r="M375" s="9">
        <f t="shared" si="198"/>
        <v>0</v>
      </c>
      <c r="N375" s="29">
        <f t="shared" si="173"/>
        <v>343500160</v>
      </c>
      <c r="O375" s="30">
        <f t="shared" si="174"/>
        <v>1.8729323055078206</v>
      </c>
      <c r="P375" s="30">
        <f t="shared" si="175"/>
        <v>1.8729323055078206</v>
      </c>
      <c r="Q375" s="29">
        <f t="shared" si="176"/>
        <v>94.620002780000007</v>
      </c>
      <c r="R375" s="30">
        <f t="shared" si="177"/>
        <v>0.77799704516303381</v>
      </c>
      <c r="S375" s="30">
        <f t="shared" si="178"/>
        <v>0.77799704516303381</v>
      </c>
      <c r="T375" s="37">
        <f t="shared" si="179"/>
        <v>9.9999905000000222E-2</v>
      </c>
      <c r="U375" s="30">
        <f t="shared" si="180"/>
        <v>1.1534013998475872E-2</v>
      </c>
      <c r="V375" s="38">
        <f t="shared" si="181"/>
        <v>8.2223238555039337E-4</v>
      </c>
      <c r="W375" s="9">
        <f t="shared" si="193"/>
        <v>216103152</v>
      </c>
      <c r="X375" s="12">
        <f t="shared" si="193"/>
        <v>88.46000294000001</v>
      </c>
      <c r="Y375" s="11">
        <f t="shared" si="193"/>
        <v>0.579999924</v>
      </c>
      <c r="Z375" s="7">
        <f t="shared" si="196"/>
        <v>107271488</v>
      </c>
      <c r="AA375" s="7">
        <f t="shared" si="196"/>
        <v>13.670005799999998</v>
      </c>
      <c r="AB375" s="7">
        <f t="shared" si="196"/>
        <v>1.9999981000000222E-2</v>
      </c>
    </row>
    <row r="376" spans="1:28" x14ac:dyDescent="0.25">
      <c r="A376" s="2">
        <v>372</v>
      </c>
      <c r="B376">
        <v>4</v>
      </c>
      <c r="C376">
        <v>2</v>
      </c>
      <c r="D376">
        <v>2</v>
      </c>
      <c r="E376">
        <v>0</v>
      </c>
      <c r="G376">
        <v>2015755520</v>
      </c>
      <c r="H376">
        <v>405.17001340000002</v>
      </c>
      <c r="I376">
        <v>3.1800000669999999</v>
      </c>
      <c r="N376" s="29">
        <f t="shared" si="173"/>
        <v>1449127936</v>
      </c>
      <c r="O376" s="30">
        <f t="shared" si="174"/>
        <v>0.85248699317351517</v>
      </c>
      <c r="P376" s="30">
        <f t="shared" si="175"/>
        <v>1.7049739863470303</v>
      </c>
      <c r="Q376" s="29">
        <f t="shared" si="176"/>
        <v>257.82000730000004</v>
      </c>
      <c r="R376" s="30">
        <f t="shared" si="177"/>
        <v>0.58323718273217873</v>
      </c>
      <c r="S376" s="30">
        <f t="shared" si="178"/>
        <v>1.1664743654643575</v>
      </c>
      <c r="T376" s="37">
        <f t="shared" si="179"/>
        <v>0.19000005699999978</v>
      </c>
      <c r="U376" s="30">
        <f t="shared" si="180"/>
        <v>2.1181723117563889E-2</v>
      </c>
      <c r="V376" s="38">
        <f t="shared" si="181"/>
        <v>8.5963148573406486E-4</v>
      </c>
      <c r="W376" s="9">
        <f t="shared" si="193"/>
        <v>1140786048</v>
      </c>
      <c r="X376" s="12">
        <f t="shared" si="193"/>
        <v>315.39001461999999</v>
      </c>
      <c r="Y376" s="11">
        <f t="shared" si="193"/>
        <v>0.61000013399999986</v>
      </c>
      <c r="Z376" s="7">
        <f t="shared" si="196"/>
        <v>504982912</v>
      </c>
      <c r="AA376" s="7">
        <f t="shared" si="196"/>
        <v>45.840026800000032</v>
      </c>
      <c r="AB376" s="7">
        <f t="shared" si="196"/>
        <v>3.9999962E-2</v>
      </c>
    </row>
    <row r="377" spans="1:28" x14ac:dyDescent="0.25">
      <c r="A377" s="2">
        <v>373</v>
      </c>
      <c r="B377">
        <v>4</v>
      </c>
      <c r="C377">
        <v>2</v>
      </c>
      <c r="D377">
        <v>2</v>
      </c>
      <c r="E377">
        <v>1</v>
      </c>
      <c r="G377">
        <v>2014934016</v>
      </c>
      <c r="H377">
        <v>423.64999390000003</v>
      </c>
      <c r="I377">
        <v>3.1800000669999999</v>
      </c>
      <c r="J377" s="9">
        <f t="shared" ref="J377:J424" si="199">ABS(G377-G376)</f>
        <v>821504</v>
      </c>
      <c r="L377" s="9">
        <f t="shared" ref="L377:M382" si="200">ABS(H377-H376)</f>
        <v>18.479980500000011</v>
      </c>
      <c r="M377" s="9">
        <f t="shared" si="200"/>
        <v>0</v>
      </c>
      <c r="N377" s="29">
        <f t="shared" si="173"/>
        <v>1443953088</v>
      </c>
      <c r="O377" s="30">
        <f t="shared" si="174"/>
        <v>0.84296632758984202</v>
      </c>
      <c r="P377" s="30">
        <f t="shared" si="175"/>
        <v>1.685932655179684</v>
      </c>
      <c r="Q377" s="29">
        <f t="shared" si="176"/>
        <v>269.88999940000002</v>
      </c>
      <c r="R377" s="30">
        <f t="shared" si="177"/>
        <v>0.58508933631194515</v>
      </c>
      <c r="S377" s="30">
        <f t="shared" si="178"/>
        <v>1.1701786726238903</v>
      </c>
      <c r="T377" s="37">
        <f t="shared" si="179"/>
        <v>0.19000005699999978</v>
      </c>
      <c r="U377" s="30">
        <f t="shared" si="180"/>
        <v>2.1181723117563889E-2</v>
      </c>
      <c r="V377" s="38">
        <f t="shared" si="181"/>
        <v>8.2379493494757182E-4</v>
      </c>
      <c r="W377" s="9">
        <f t="shared" si="193"/>
        <v>1130646784</v>
      </c>
      <c r="X377" s="12">
        <f t="shared" si="193"/>
        <v>330.99999237000003</v>
      </c>
      <c r="Y377" s="11">
        <f t="shared" si="193"/>
        <v>0.61000013399999986</v>
      </c>
      <c r="Z377" s="7">
        <f t="shared" si="196"/>
        <v>501744000</v>
      </c>
      <c r="AA377" s="7">
        <f t="shared" si="196"/>
        <v>47.589996300000053</v>
      </c>
      <c r="AB377" s="7">
        <f t="shared" si="196"/>
        <v>3.9999962E-2</v>
      </c>
    </row>
    <row r="378" spans="1:28" x14ac:dyDescent="0.25">
      <c r="A378" s="2">
        <v>374</v>
      </c>
      <c r="B378">
        <v>4</v>
      </c>
      <c r="C378">
        <v>2</v>
      </c>
      <c r="D378">
        <v>2</v>
      </c>
      <c r="E378">
        <v>2</v>
      </c>
      <c r="G378">
        <v>2014975104</v>
      </c>
      <c r="H378">
        <v>414.4599915</v>
      </c>
      <c r="I378">
        <v>3.1800000669999999</v>
      </c>
      <c r="J378" s="9">
        <f t="shared" si="199"/>
        <v>41088</v>
      </c>
      <c r="L378" s="9">
        <f t="shared" si="200"/>
        <v>9.1900024000000258</v>
      </c>
      <c r="M378" s="9">
        <f t="shared" si="200"/>
        <v>0</v>
      </c>
      <c r="N378" s="29">
        <f t="shared" si="173"/>
        <v>1446873216</v>
      </c>
      <c r="O378" s="30">
        <f t="shared" si="174"/>
        <v>0.8489517148022574</v>
      </c>
      <c r="P378" s="30">
        <f t="shared" si="175"/>
        <v>1.6979034296045148</v>
      </c>
      <c r="Q378" s="29">
        <f t="shared" si="176"/>
        <v>263.58999640000002</v>
      </c>
      <c r="R378" s="30">
        <f t="shared" si="177"/>
        <v>0.58237777548210001</v>
      </c>
      <c r="S378" s="30">
        <f t="shared" si="178"/>
        <v>1.1647555509642</v>
      </c>
      <c r="T378" s="37">
        <f t="shared" si="179"/>
        <v>0.19000005699999978</v>
      </c>
      <c r="U378" s="30">
        <f t="shared" si="180"/>
        <v>2.1181723117563889E-2</v>
      </c>
      <c r="V378" s="38">
        <f t="shared" si="181"/>
        <v>8.3957518910707848E-4</v>
      </c>
      <c r="W378" s="9">
        <f t="shared" ref="W378:Y393" si="201">ABS(G378-G357)</f>
        <v>1135356288</v>
      </c>
      <c r="X378" s="12">
        <f t="shared" si="201"/>
        <v>323.30998997</v>
      </c>
      <c r="Y378" s="11">
        <f t="shared" si="201"/>
        <v>0.61000013399999986</v>
      </c>
      <c r="Z378" s="7">
        <f t="shared" si="196"/>
        <v>503811200</v>
      </c>
      <c r="AA378" s="7">
        <f t="shared" si="196"/>
        <v>46.619995200000005</v>
      </c>
      <c r="AB378" s="7">
        <f t="shared" si="196"/>
        <v>3.9999962E-2</v>
      </c>
    </row>
    <row r="379" spans="1:28" x14ac:dyDescent="0.25">
      <c r="A379" s="2">
        <v>375</v>
      </c>
      <c r="B379">
        <v>4</v>
      </c>
      <c r="C379">
        <v>2</v>
      </c>
      <c r="D379">
        <v>2</v>
      </c>
      <c r="E379">
        <v>3</v>
      </c>
      <c r="G379">
        <v>1973417984</v>
      </c>
      <c r="H379">
        <v>442.26000979999998</v>
      </c>
      <c r="I379">
        <v>3.1800000669999999</v>
      </c>
      <c r="J379" s="9">
        <f t="shared" si="199"/>
        <v>41557120</v>
      </c>
      <c r="L379" s="9">
        <f t="shared" si="200"/>
        <v>27.800018299999977</v>
      </c>
      <c r="M379" s="9">
        <f t="shared" si="200"/>
        <v>0</v>
      </c>
      <c r="N379" s="29">
        <f t="shared" si="173"/>
        <v>1408742528</v>
      </c>
      <c r="O379" s="30">
        <f t="shared" si="174"/>
        <v>0.83159421518520305</v>
      </c>
      <c r="P379" s="30">
        <f t="shared" si="175"/>
        <v>1.6631884303704061</v>
      </c>
      <c r="Q379" s="29">
        <f t="shared" si="176"/>
        <v>281.64001469999994</v>
      </c>
      <c r="R379" s="30">
        <f t="shared" si="177"/>
        <v>0.58448516849693244</v>
      </c>
      <c r="S379" s="30">
        <f t="shared" si="178"/>
        <v>1.1689703369938649</v>
      </c>
      <c r="T379" s="37">
        <f t="shared" si="179"/>
        <v>0.19000005699999978</v>
      </c>
      <c r="U379" s="30">
        <f t="shared" si="180"/>
        <v>2.1181723117563889E-2</v>
      </c>
      <c r="V379" s="38">
        <f t="shared" si="181"/>
        <v>7.8861106045860236E-4</v>
      </c>
      <c r="W379" s="9">
        <f t="shared" si="201"/>
        <v>1091787520</v>
      </c>
      <c r="X379" s="12">
        <f t="shared" si="201"/>
        <v>346.57000735999998</v>
      </c>
      <c r="Y379" s="11">
        <f t="shared" si="201"/>
        <v>0.61000013399999986</v>
      </c>
      <c r="Z379" s="7">
        <f t="shared" si="196"/>
        <v>488825600</v>
      </c>
      <c r="AA379" s="7">
        <f t="shared" si="196"/>
        <v>49.140014699999995</v>
      </c>
      <c r="AB379" s="7">
        <f t="shared" si="196"/>
        <v>3.9999962E-2</v>
      </c>
    </row>
    <row r="380" spans="1:28" x14ac:dyDescent="0.25">
      <c r="A380" s="2">
        <v>376</v>
      </c>
      <c r="B380">
        <v>4</v>
      </c>
      <c r="C380">
        <v>2</v>
      </c>
      <c r="D380">
        <v>2</v>
      </c>
      <c r="E380">
        <v>4</v>
      </c>
      <c r="G380">
        <v>1819754624</v>
      </c>
      <c r="H380">
        <v>428.98001099999999</v>
      </c>
      <c r="I380">
        <v>3.1800000669999999</v>
      </c>
      <c r="J380" s="9">
        <f t="shared" si="199"/>
        <v>153663360</v>
      </c>
      <c r="L380" s="9">
        <f t="shared" si="200"/>
        <v>13.279998799999987</v>
      </c>
      <c r="M380" s="9">
        <f t="shared" si="200"/>
        <v>0</v>
      </c>
      <c r="N380" s="29">
        <f t="shared" si="173"/>
        <v>1294448960</v>
      </c>
      <c r="O380" s="30">
        <f t="shared" si="174"/>
        <v>0.82139412581446425</v>
      </c>
      <c r="P380" s="30">
        <f t="shared" si="175"/>
        <v>1.6427882516289285</v>
      </c>
      <c r="Q380" s="29">
        <f t="shared" si="176"/>
        <v>273.47001649999999</v>
      </c>
      <c r="R380" s="30">
        <f t="shared" si="177"/>
        <v>0.58617886560768062</v>
      </c>
      <c r="S380" s="30">
        <f t="shared" si="178"/>
        <v>1.1723577312153612</v>
      </c>
      <c r="T380" s="37">
        <f t="shared" si="179"/>
        <v>0.19000005699999978</v>
      </c>
      <c r="U380" s="30">
        <f t="shared" si="180"/>
        <v>2.1181723117563889E-2</v>
      </c>
      <c r="V380" s="38">
        <f t="shared" si="181"/>
        <v>8.1452452669636291E-4</v>
      </c>
      <c r="W380" s="9">
        <f t="shared" si="201"/>
        <v>995133504</v>
      </c>
      <c r="X380" s="12">
        <f t="shared" si="201"/>
        <v>335.34001160999998</v>
      </c>
      <c r="Y380" s="11">
        <f t="shared" si="201"/>
        <v>0.60000014299999993</v>
      </c>
      <c r="Z380" s="7">
        <f t="shared" si="196"/>
        <v>447382528</v>
      </c>
      <c r="AA380" s="7">
        <f t="shared" si="196"/>
        <v>47.830017099999964</v>
      </c>
      <c r="AB380" s="7">
        <f t="shared" si="196"/>
        <v>3.9999962E-2</v>
      </c>
    </row>
    <row r="381" spans="1:28" x14ac:dyDescent="0.25">
      <c r="A381" s="2">
        <v>377</v>
      </c>
      <c r="B381">
        <v>4</v>
      </c>
      <c r="C381">
        <v>2</v>
      </c>
      <c r="D381">
        <v>2</v>
      </c>
      <c r="E381">
        <v>5</v>
      </c>
      <c r="G381">
        <v>1694294528</v>
      </c>
      <c r="H381">
        <v>411.19000240000003</v>
      </c>
      <c r="I381">
        <v>3.1800000669999999</v>
      </c>
      <c r="J381" s="9">
        <f t="shared" si="199"/>
        <v>125460096</v>
      </c>
      <c r="L381" s="9">
        <f t="shared" si="200"/>
        <v>17.790008599999965</v>
      </c>
      <c r="M381" s="9">
        <f t="shared" si="200"/>
        <v>0</v>
      </c>
      <c r="N381" s="29">
        <f t="shared" si="173"/>
        <v>1206990528</v>
      </c>
      <c r="O381" s="30">
        <f t="shared" si="174"/>
        <v>0.82562461215175753</v>
      </c>
      <c r="P381" s="30">
        <f t="shared" si="175"/>
        <v>1.6512492243035151</v>
      </c>
      <c r="Q381" s="29">
        <f t="shared" si="176"/>
        <v>260.61999510000004</v>
      </c>
      <c r="R381" s="30">
        <f t="shared" si="177"/>
        <v>0.57696305697130701</v>
      </c>
      <c r="S381" s="30">
        <f t="shared" si="178"/>
        <v>1.153926113942614</v>
      </c>
      <c r="T381" s="37">
        <f t="shared" si="179"/>
        <v>0.19000005699999978</v>
      </c>
      <c r="U381" s="30">
        <f t="shared" si="180"/>
        <v>2.1181723117563889E-2</v>
      </c>
      <c r="V381" s="38">
        <f t="shared" si="181"/>
        <v>8.4124791476095345E-4</v>
      </c>
      <c r="W381" s="9">
        <f t="shared" si="201"/>
        <v>919927488</v>
      </c>
      <c r="X381" s="12">
        <f t="shared" si="201"/>
        <v>317.58000179000004</v>
      </c>
      <c r="Y381" s="11">
        <f t="shared" si="201"/>
        <v>0.60000014299999993</v>
      </c>
      <c r="Z381" s="7">
        <f t="shared" si="196"/>
        <v>416921344</v>
      </c>
      <c r="AA381" s="7">
        <f t="shared" si="196"/>
        <v>45.380004800000052</v>
      </c>
      <c r="AB381" s="7">
        <f t="shared" si="196"/>
        <v>3.9999962E-2</v>
      </c>
    </row>
    <row r="382" spans="1:28" x14ac:dyDescent="0.25">
      <c r="A382" s="2">
        <v>378</v>
      </c>
      <c r="B382">
        <v>4</v>
      </c>
      <c r="C382">
        <v>2</v>
      </c>
      <c r="D382">
        <v>2</v>
      </c>
      <c r="E382">
        <v>6</v>
      </c>
      <c r="G382">
        <v>1401500416</v>
      </c>
      <c r="H382">
        <v>367.36999509999998</v>
      </c>
      <c r="I382">
        <v>3.1800000669999999</v>
      </c>
      <c r="J382" s="9">
        <f t="shared" si="199"/>
        <v>292794112</v>
      </c>
      <c r="L382" s="9">
        <f t="shared" si="200"/>
        <v>43.820007300000043</v>
      </c>
      <c r="M382" s="9">
        <f t="shared" si="200"/>
        <v>0</v>
      </c>
      <c r="N382" s="29">
        <f t="shared" si="173"/>
        <v>996866144</v>
      </c>
      <c r="O382" s="30">
        <f t="shared" si="174"/>
        <v>0.82120753890729914</v>
      </c>
      <c r="P382" s="30">
        <f t="shared" si="175"/>
        <v>1.6424150778145983</v>
      </c>
      <c r="Q382" s="29">
        <f t="shared" si="176"/>
        <v>232.20999139999998</v>
      </c>
      <c r="R382" s="30">
        <f t="shared" si="177"/>
        <v>0.57267925679012588</v>
      </c>
      <c r="S382" s="30">
        <f t="shared" si="178"/>
        <v>1.1453585135802518</v>
      </c>
      <c r="T382" s="37">
        <f t="shared" si="179"/>
        <v>0.19000005699999978</v>
      </c>
      <c r="U382" s="30">
        <f t="shared" si="180"/>
        <v>2.1181723117563889E-2</v>
      </c>
      <c r="V382" s="38">
        <f t="shared" si="181"/>
        <v>9.3716115122203505E-4</v>
      </c>
      <c r="W382" s="9">
        <f t="shared" si="201"/>
        <v>747729536</v>
      </c>
      <c r="X382" s="12">
        <f t="shared" si="201"/>
        <v>279.33999631999995</v>
      </c>
      <c r="Y382" s="11">
        <f t="shared" si="201"/>
        <v>0.60000014299999993</v>
      </c>
      <c r="Z382" s="7">
        <f t="shared" ref="Z382:AB397" si="202">ABS(G382-G277)</f>
        <v>343501376</v>
      </c>
      <c r="AA382" s="7">
        <f t="shared" si="202"/>
        <v>40.709991399999979</v>
      </c>
      <c r="AB382" s="7">
        <f t="shared" si="202"/>
        <v>3.9999962E-2</v>
      </c>
    </row>
    <row r="383" spans="1:28" x14ac:dyDescent="0.25">
      <c r="A383" s="2">
        <v>379</v>
      </c>
      <c r="B383">
        <v>4</v>
      </c>
      <c r="C383">
        <v>3</v>
      </c>
      <c r="D383">
        <v>0</v>
      </c>
      <c r="E383">
        <v>0</v>
      </c>
      <c r="G383">
        <v>175275424</v>
      </c>
      <c r="H383">
        <v>84.370002749999998</v>
      </c>
      <c r="I383">
        <v>3.4400000569999998</v>
      </c>
      <c r="N383" s="29">
        <f t="shared" si="173"/>
        <v>1840480096</v>
      </c>
      <c r="O383" s="30">
        <f t="shared" si="174"/>
        <v>0.30434909355145079</v>
      </c>
      <c r="P383" s="30">
        <f t="shared" si="175"/>
        <v>1.0144969785048359</v>
      </c>
      <c r="Q383" s="29">
        <f t="shared" si="176"/>
        <v>320.80001064999999</v>
      </c>
      <c r="R383" s="30">
        <f t="shared" si="177"/>
        <v>0.26392213971117467</v>
      </c>
      <c r="S383" s="30">
        <f t="shared" si="178"/>
        <v>0.87974046570391562</v>
      </c>
      <c r="T383" s="37">
        <f t="shared" si="179"/>
        <v>0.25999998999999985</v>
      </c>
      <c r="U383" s="30">
        <f t="shared" si="180"/>
        <v>2.7253667140672195E-2</v>
      </c>
      <c r="V383" s="38">
        <f t="shared" si="181"/>
        <v>7.1300656076088962E-4</v>
      </c>
      <c r="W383" s="9">
        <f t="shared" si="201"/>
        <v>88586624</v>
      </c>
      <c r="X383" s="12">
        <f t="shared" si="201"/>
        <v>39.280002599999996</v>
      </c>
      <c r="Y383" s="11">
        <f t="shared" si="201"/>
        <v>0.54999995199999985</v>
      </c>
      <c r="Z383" s="7">
        <f t="shared" si="202"/>
        <v>43266192</v>
      </c>
      <c r="AA383" s="7">
        <f t="shared" si="202"/>
        <v>8.7600021399999974</v>
      </c>
      <c r="AB383" s="7">
        <f t="shared" si="202"/>
        <v>0</v>
      </c>
    </row>
    <row r="384" spans="1:28" x14ac:dyDescent="0.25">
      <c r="A384" s="2">
        <v>380</v>
      </c>
      <c r="B384">
        <v>4</v>
      </c>
      <c r="C384">
        <v>3</v>
      </c>
      <c r="D384">
        <v>0</v>
      </c>
      <c r="E384">
        <v>1</v>
      </c>
      <c r="G384">
        <v>175580320</v>
      </c>
      <c r="H384">
        <v>85.959999080000003</v>
      </c>
      <c r="I384">
        <v>3.4400000569999998</v>
      </c>
      <c r="J384" s="9">
        <f t="shared" ref="J384" si="203">ABS(G384-G383)</f>
        <v>304896</v>
      </c>
      <c r="L384" s="9">
        <f t="shared" ref="L384:M389" si="204">ABS(H384-H383)</f>
        <v>1.5899963300000053</v>
      </c>
      <c r="M384" s="9">
        <f t="shared" si="204"/>
        <v>0</v>
      </c>
      <c r="N384" s="29">
        <f t="shared" si="173"/>
        <v>1839353696</v>
      </c>
      <c r="O384" s="30">
        <f t="shared" si="174"/>
        <v>0.30428683708651366</v>
      </c>
      <c r="P384" s="30">
        <f t="shared" si="175"/>
        <v>1.0142894569550454</v>
      </c>
      <c r="Q384" s="29">
        <f t="shared" si="176"/>
        <v>337.68999482000004</v>
      </c>
      <c r="R384" s="30">
        <f t="shared" si="177"/>
        <v>0.2656988864096067</v>
      </c>
      <c r="S384" s="30">
        <f t="shared" si="178"/>
        <v>0.88566295469868894</v>
      </c>
      <c r="T384" s="37">
        <f t="shared" si="179"/>
        <v>0.25999998999999985</v>
      </c>
      <c r="U384" s="30">
        <f t="shared" si="180"/>
        <v>2.7253667140672195E-2</v>
      </c>
      <c r="V384" s="38">
        <f t="shared" si="181"/>
        <v>6.8190459562704031E-4</v>
      </c>
      <c r="W384" s="9">
        <f t="shared" si="201"/>
        <v>87060592</v>
      </c>
      <c r="X384" s="12">
        <f t="shared" si="201"/>
        <v>39.63999939</v>
      </c>
      <c r="Y384" s="11">
        <f t="shared" si="201"/>
        <v>0.54999995199999985</v>
      </c>
      <c r="Z384" s="7">
        <f t="shared" si="202"/>
        <v>43168712</v>
      </c>
      <c r="AA384" s="7">
        <f t="shared" si="202"/>
        <v>8.9300003000000032</v>
      </c>
      <c r="AB384" s="7">
        <f t="shared" si="202"/>
        <v>0</v>
      </c>
    </row>
    <row r="385" spans="1:28" x14ac:dyDescent="0.25">
      <c r="A385" s="2">
        <v>381</v>
      </c>
      <c r="B385">
        <v>4</v>
      </c>
      <c r="C385">
        <v>3</v>
      </c>
      <c r="D385">
        <v>0</v>
      </c>
      <c r="E385">
        <v>2</v>
      </c>
      <c r="G385">
        <v>175157552</v>
      </c>
      <c r="H385">
        <v>84.739997860000003</v>
      </c>
      <c r="I385">
        <v>3.4400000569999998</v>
      </c>
      <c r="J385" s="9">
        <f t="shared" si="197"/>
        <v>422768</v>
      </c>
      <c r="L385" s="9">
        <f t="shared" si="204"/>
        <v>1.2200012200000003</v>
      </c>
      <c r="M385" s="9">
        <f t="shared" si="204"/>
        <v>0</v>
      </c>
      <c r="N385" s="29">
        <f t="shared" si="173"/>
        <v>1839817552</v>
      </c>
      <c r="O385" s="30">
        <f t="shared" si="174"/>
        <v>0.3043573670542648</v>
      </c>
      <c r="P385" s="30">
        <f t="shared" si="175"/>
        <v>1.0145245568475492</v>
      </c>
      <c r="Q385" s="29">
        <f t="shared" si="176"/>
        <v>329.71999363999998</v>
      </c>
      <c r="R385" s="30">
        <f t="shared" si="177"/>
        <v>0.26518039569729296</v>
      </c>
      <c r="S385" s="30">
        <f t="shared" si="178"/>
        <v>0.88393465232430979</v>
      </c>
      <c r="T385" s="37">
        <f t="shared" si="179"/>
        <v>0.25999998999999985</v>
      </c>
      <c r="U385" s="30">
        <f t="shared" si="180"/>
        <v>2.7253667140672195E-2</v>
      </c>
      <c r="V385" s="38">
        <f t="shared" si="181"/>
        <v>6.9702476403630772E-4</v>
      </c>
      <c r="W385" s="9">
        <f t="shared" si="201"/>
        <v>87780680</v>
      </c>
      <c r="X385" s="12">
        <f t="shared" si="201"/>
        <v>39.019996640000002</v>
      </c>
      <c r="Y385" s="11">
        <f t="shared" si="201"/>
        <v>0.54999995199999985</v>
      </c>
      <c r="Z385" s="7">
        <f t="shared" si="202"/>
        <v>43199608</v>
      </c>
      <c r="AA385" s="7">
        <f t="shared" si="202"/>
        <v>8.7999954200000019</v>
      </c>
      <c r="AB385" s="7">
        <f t="shared" si="202"/>
        <v>0</v>
      </c>
    </row>
    <row r="386" spans="1:28" x14ac:dyDescent="0.25">
      <c r="A386" s="2">
        <v>382</v>
      </c>
      <c r="B386">
        <v>4</v>
      </c>
      <c r="C386">
        <v>3</v>
      </c>
      <c r="D386">
        <v>0</v>
      </c>
      <c r="E386">
        <v>3</v>
      </c>
      <c r="G386">
        <v>171829632</v>
      </c>
      <c r="H386">
        <v>86.269996640000002</v>
      </c>
      <c r="I386">
        <v>3.4400000569999998</v>
      </c>
      <c r="J386" s="9">
        <f t="shared" si="197"/>
        <v>3327920</v>
      </c>
      <c r="L386" s="9">
        <f t="shared" si="204"/>
        <v>1.5299987799999997</v>
      </c>
      <c r="M386" s="9">
        <f t="shared" si="204"/>
        <v>0</v>
      </c>
      <c r="N386" s="29">
        <f t="shared" si="173"/>
        <v>1801588352</v>
      </c>
      <c r="O386" s="30">
        <f t="shared" si="174"/>
        <v>0.30430930271012807</v>
      </c>
      <c r="P386" s="30">
        <f t="shared" si="175"/>
        <v>1.0143643423670934</v>
      </c>
      <c r="Q386" s="29">
        <f t="shared" si="176"/>
        <v>355.99001315999999</v>
      </c>
      <c r="R386" s="30">
        <f t="shared" si="177"/>
        <v>0.26831125376599674</v>
      </c>
      <c r="S386" s="30">
        <f t="shared" si="178"/>
        <v>0.89437084588665572</v>
      </c>
      <c r="T386" s="37">
        <f t="shared" si="179"/>
        <v>0.25999998999999985</v>
      </c>
      <c r="U386" s="30">
        <f t="shared" si="180"/>
        <v>2.7253667140672195E-2</v>
      </c>
      <c r="V386" s="38">
        <f t="shared" si="181"/>
        <v>6.5321049015582423E-4</v>
      </c>
      <c r="W386" s="9">
        <f t="shared" si="201"/>
        <v>83159952</v>
      </c>
      <c r="X386" s="12">
        <f t="shared" si="201"/>
        <v>38.81999588</v>
      </c>
      <c r="Y386" s="11">
        <f t="shared" si="201"/>
        <v>0.54999995199999985</v>
      </c>
      <c r="Z386" s="7">
        <f t="shared" si="202"/>
        <v>42114960</v>
      </c>
      <c r="AA386" s="7">
        <f t="shared" si="202"/>
        <v>8.9799957200000051</v>
      </c>
      <c r="AB386" s="7">
        <f t="shared" si="202"/>
        <v>0</v>
      </c>
    </row>
    <row r="387" spans="1:28" x14ac:dyDescent="0.25">
      <c r="A387" s="2">
        <v>383</v>
      </c>
      <c r="B387">
        <v>4</v>
      </c>
      <c r="C387">
        <v>3</v>
      </c>
      <c r="D387">
        <v>0</v>
      </c>
      <c r="E387">
        <v>4</v>
      </c>
      <c r="G387">
        <v>158084000</v>
      </c>
      <c r="H387">
        <v>83.569999690000003</v>
      </c>
      <c r="I387">
        <v>3.4400000569999998</v>
      </c>
      <c r="J387" s="9">
        <f t="shared" si="197"/>
        <v>13745632</v>
      </c>
      <c r="L387" s="9">
        <f t="shared" si="204"/>
        <v>2.6999969499999992</v>
      </c>
      <c r="M387" s="9">
        <f t="shared" si="204"/>
        <v>0</v>
      </c>
      <c r="N387" s="29">
        <f t="shared" si="173"/>
        <v>1661670624</v>
      </c>
      <c r="O387" s="30">
        <f t="shared" si="174"/>
        <v>0.30437631573782992</v>
      </c>
      <c r="P387" s="30">
        <f t="shared" si="175"/>
        <v>1.0145877191260997</v>
      </c>
      <c r="Q387" s="29">
        <f t="shared" si="176"/>
        <v>345.41001130999996</v>
      </c>
      <c r="R387" s="30">
        <f t="shared" si="177"/>
        <v>0.26839635294024611</v>
      </c>
      <c r="S387" s="30">
        <f t="shared" si="178"/>
        <v>0.89465450980082029</v>
      </c>
      <c r="T387" s="37">
        <f t="shared" si="179"/>
        <v>0.25999998999999985</v>
      </c>
      <c r="U387" s="30">
        <f t="shared" si="180"/>
        <v>2.7253667140672195E-2</v>
      </c>
      <c r="V387" s="38">
        <f t="shared" si="181"/>
        <v>6.7343202566559125E-4</v>
      </c>
      <c r="W387" s="9">
        <f t="shared" si="201"/>
        <v>75468656</v>
      </c>
      <c r="X387" s="12">
        <f t="shared" si="201"/>
        <v>37.439998620000004</v>
      </c>
      <c r="Y387" s="11">
        <f t="shared" si="201"/>
        <v>0.54999995199999985</v>
      </c>
      <c r="Z387" s="7">
        <f t="shared" si="202"/>
        <v>38800096</v>
      </c>
      <c r="AA387" s="7">
        <f t="shared" si="202"/>
        <v>8.7799987700000059</v>
      </c>
      <c r="AB387" s="7">
        <f t="shared" si="202"/>
        <v>0</v>
      </c>
    </row>
    <row r="388" spans="1:28" x14ac:dyDescent="0.25">
      <c r="A388" s="2">
        <v>384</v>
      </c>
      <c r="B388">
        <v>4</v>
      </c>
      <c r="C388">
        <v>3</v>
      </c>
      <c r="D388">
        <v>0</v>
      </c>
      <c r="E388">
        <v>5</v>
      </c>
      <c r="G388">
        <v>145046528</v>
      </c>
      <c r="H388">
        <v>77.559997559999999</v>
      </c>
      <c r="I388">
        <v>3.4400000569999998</v>
      </c>
      <c r="J388" s="9">
        <f t="shared" si="197"/>
        <v>13037472</v>
      </c>
      <c r="L388" s="9">
        <f t="shared" si="204"/>
        <v>6.0100021300000037</v>
      </c>
      <c r="M388" s="9">
        <f t="shared" si="204"/>
        <v>0</v>
      </c>
      <c r="N388" s="29">
        <f t="shared" si="173"/>
        <v>1549248000</v>
      </c>
      <c r="O388" s="30">
        <f t="shared" si="174"/>
        <v>0.30479706536595746</v>
      </c>
      <c r="P388" s="30">
        <f t="shared" si="175"/>
        <v>1.0159902178865248</v>
      </c>
      <c r="Q388" s="29">
        <f t="shared" si="176"/>
        <v>333.63000484000003</v>
      </c>
      <c r="R388" s="30">
        <f t="shared" si="177"/>
        <v>0.27045891428349894</v>
      </c>
      <c r="S388" s="30">
        <f t="shared" si="178"/>
        <v>0.90152971427832984</v>
      </c>
      <c r="T388" s="37">
        <f t="shared" si="179"/>
        <v>0.25999998999999985</v>
      </c>
      <c r="U388" s="30">
        <f t="shared" si="180"/>
        <v>2.7253667140672195E-2</v>
      </c>
      <c r="V388" s="38">
        <f t="shared" si="181"/>
        <v>7.0256785449941564E-4</v>
      </c>
      <c r="W388" s="9">
        <f t="shared" si="201"/>
        <v>69536608</v>
      </c>
      <c r="X388" s="12">
        <f t="shared" si="201"/>
        <v>32.989997869999996</v>
      </c>
      <c r="Y388" s="11">
        <f t="shared" si="201"/>
        <v>0.54999995199999985</v>
      </c>
      <c r="Z388" s="7">
        <f t="shared" si="202"/>
        <v>36093008</v>
      </c>
      <c r="AA388" s="7">
        <f t="shared" si="202"/>
        <v>8.2200012200000003</v>
      </c>
      <c r="AB388" s="7">
        <f t="shared" si="202"/>
        <v>0</v>
      </c>
    </row>
    <row r="389" spans="1:28" x14ac:dyDescent="0.25">
      <c r="A389" s="2">
        <v>385</v>
      </c>
      <c r="B389">
        <v>4</v>
      </c>
      <c r="C389">
        <v>3</v>
      </c>
      <c r="D389">
        <v>0</v>
      </c>
      <c r="E389">
        <v>6</v>
      </c>
      <c r="G389">
        <v>117088040</v>
      </c>
      <c r="H389">
        <v>68.760002139999997</v>
      </c>
      <c r="I389">
        <v>3.4400000569999998</v>
      </c>
      <c r="J389" s="9">
        <f t="shared" si="197"/>
        <v>27958488</v>
      </c>
      <c r="L389" s="9">
        <f t="shared" si="204"/>
        <v>8.7999954200000019</v>
      </c>
      <c r="M389" s="9">
        <f t="shared" si="204"/>
        <v>0</v>
      </c>
      <c r="N389" s="29">
        <f t="shared" si="173"/>
        <v>1284412376</v>
      </c>
      <c r="O389" s="30">
        <f t="shared" si="174"/>
        <v>0.3054850742667683</v>
      </c>
      <c r="P389" s="30">
        <f t="shared" si="175"/>
        <v>1.0182835808892277</v>
      </c>
      <c r="Q389" s="29">
        <f t="shared" si="176"/>
        <v>298.60999296</v>
      </c>
      <c r="R389" s="30">
        <f t="shared" si="177"/>
        <v>0.27094391389505179</v>
      </c>
      <c r="S389" s="30">
        <f t="shared" si="178"/>
        <v>0.90314637965017264</v>
      </c>
      <c r="T389" s="37">
        <f t="shared" si="179"/>
        <v>0.25999998999999985</v>
      </c>
      <c r="U389" s="30">
        <f t="shared" si="180"/>
        <v>2.7253667140672195E-2</v>
      </c>
      <c r="V389" s="38">
        <f t="shared" si="181"/>
        <v>7.8637036674467813E-4</v>
      </c>
      <c r="W389" s="9">
        <f t="shared" si="201"/>
        <v>55953928</v>
      </c>
      <c r="X389" s="12">
        <f t="shared" si="201"/>
        <v>28.22000122</v>
      </c>
      <c r="Y389" s="11">
        <f t="shared" si="201"/>
        <v>0.54999995199999985</v>
      </c>
      <c r="Z389" s="7">
        <f t="shared" si="202"/>
        <v>29712936</v>
      </c>
      <c r="AA389" s="7">
        <f t="shared" si="202"/>
        <v>7.5000038199999963</v>
      </c>
      <c r="AB389" s="7">
        <f t="shared" si="202"/>
        <v>0</v>
      </c>
    </row>
    <row r="390" spans="1:28" x14ac:dyDescent="0.25">
      <c r="A390" s="2">
        <v>386</v>
      </c>
      <c r="B390">
        <v>4</v>
      </c>
      <c r="C390">
        <v>3</v>
      </c>
      <c r="D390">
        <v>1</v>
      </c>
      <c r="E390">
        <v>0</v>
      </c>
      <c r="G390">
        <v>906228544</v>
      </c>
      <c r="H390">
        <v>356.42999270000001</v>
      </c>
      <c r="I390">
        <v>3.5999999049999998</v>
      </c>
      <c r="N390" s="29">
        <f t="shared" si="173"/>
        <v>730953120</v>
      </c>
      <c r="O390" s="30">
        <f t="shared" si="174"/>
        <v>1.3901038402280517</v>
      </c>
      <c r="P390" s="30">
        <f t="shared" si="175"/>
        <v>1.3901038402280517</v>
      </c>
      <c r="Q390" s="29">
        <f t="shared" si="176"/>
        <v>272.05998995000004</v>
      </c>
      <c r="R390" s="30">
        <f t="shared" si="177"/>
        <v>1.0748685594497824</v>
      </c>
      <c r="S390" s="30">
        <f t="shared" si="178"/>
        <v>1.0748685594497824</v>
      </c>
      <c r="T390" s="37">
        <f t="shared" si="179"/>
        <v>0.159999848</v>
      </c>
      <c r="U390" s="30">
        <f t="shared" si="180"/>
        <v>1.5503860983414707E-2</v>
      </c>
      <c r="V390" s="38">
        <f t="shared" si="181"/>
        <v>6.3213560422299101E-4</v>
      </c>
      <c r="W390" s="9">
        <f t="shared" si="201"/>
        <v>339600960</v>
      </c>
      <c r="X390" s="12">
        <f t="shared" si="201"/>
        <v>209.07998660000001</v>
      </c>
      <c r="Y390" s="11">
        <f t="shared" si="201"/>
        <v>0.60999989499999963</v>
      </c>
      <c r="Z390" s="7">
        <f t="shared" si="202"/>
        <v>203626304</v>
      </c>
      <c r="AA390" s="7">
        <f t="shared" si="202"/>
        <v>39.279998799999987</v>
      </c>
      <c r="AB390" s="7">
        <f t="shared" si="202"/>
        <v>1.9999980999999778E-2</v>
      </c>
    </row>
    <row r="391" spans="1:28" x14ac:dyDescent="0.25">
      <c r="A391" s="2">
        <v>387</v>
      </c>
      <c r="B391">
        <v>4</v>
      </c>
      <c r="C391">
        <v>3</v>
      </c>
      <c r="D391">
        <v>1</v>
      </c>
      <c r="E391">
        <v>1</v>
      </c>
      <c r="G391">
        <v>903475584</v>
      </c>
      <c r="H391">
        <v>363.23001099999999</v>
      </c>
      <c r="I391">
        <v>3.5999999049999998</v>
      </c>
      <c r="J391" s="9">
        <f t="shared" ref="J391" si="205">ABS(G391-G390)</f>
        <v>2752960</v>
      </c>
      <c r="L391" s="9">
        <f t="shared" ref="L391:M396" si="206">ABS(H391-H390)</f>
        <v>6.8000182999999765</v>
      </c>
      <c r="M391" s="9">
        <f t="shared" si="206"/>
        <v>0</v>
      </c>
      <c r="N391" s="29">
        <f t="shared" si="173"/>
        <v>727895264</v>
      </c>
      <c r="O391" s="30">
        <f t="shared" si="174"/>
        <v>1.3818846819886572</v>
      </c>
      <c r="P391" s="30">
        <f t="shared" si="175"/>
        <v>1.3818846819886572</v>
      </c>
      <c r="Q391" s="29">
        <f t="shared" si="176"/>
        <v>277.27001192</v>
      </c>
      <c r="R391" s="30">
        <f t="shared" si="177"/>
        <v>1.0751900685881983</v>
      </c>
      <c r="S391" s="30">
        <f t="shared" si="178"/>
        <v>1.0751900685881983</v>
      </c>
      <c r="T391" s="37">
        <f t="shared" si="179"/>
        <v>0.159999848</v>
      </c>
      <c r="U391" s="30">
        <f t="shared" si="180"/>
        <v>1.5503860983414707E-2</v>
      </c>
      <c r="V391" s="38">
        <f t="shared" si="181"/>
        <v>6.2044303440523792E-4</v>
      </c>
      <c r="W391" s="9">
        <f t="shared" si="201"/>
        <v>332494656</v>
      </c>
      <c r="X391" s="12">
        <f t="shared" si="201"/>
        <v>209.47001649999999</v>
      </c>
      <c r="Y391" s="11">
        <f t="shared" si="201"/>
        <v>0.60999989499999963</v>
      </c>
      <c r="Z391" s="7">
        <f t="shared" si="202"/>
        <v>202313088</v>
      </c>
      <c r="AA391" s="7">
        <f t="shared" si="202"/>
        <v>39.820007299999986</v>
      </c>
      <c r="AB391" s="7">
        <f t="shared" si="202"/>
        <v>1.9999980999999778E-2</v>
      </c>
    </row>
    <row r="392" spans="1:28" x14ac:dyDescent="0.25">
      <c r="A392" s="2">
        <v>388</v>
      </c>
      <c r="B392">
        <v>4</v>
      </c>
      <c r="C392">
        <v>3</v>
      </c>
      <c r="D392">
        <v>1</v>
      </c>
      <c r="E392">
        <v>2</v>
      </c>
      <c r="G392">
        <v>904658304</v>
      </c>
      <c r="H392">
        <v>357.57000729999999</v>
      </c>
      <c r="I392">
        <v>3.5999999049999998</v>
      </c>
      <c r="J392" s="9">
        <f t="shared" si="199"/>
        <v>1182720</v>
      </c>
      <c r="L392" s="9">
        <f t="shared" si="206"/>
        <v>5.6600037000000043</v>
      </c>
      <c r="M392" s="9">
        <f t="shared" si="206"/>
        <v>0</v>
      </c>
      <c r="N392" s="29">
        <f t="shared" si="173"/>
        <v>729500752</v>
      </c>
      <c r="O392" s="30">
        <f t="shared" si="174"/>
        <v>1.3882753815452578</v>
      </c>
      <c r="P392" s="30">
        <f t="shared" si="175"/>
        <v>1.3882753815452578</v>
      </c>
      <c r="Q392" s="29">
        <f t="shared" si="176"/>
        <v>272.83000943999997</v>
      </c>
      <c r="R392" s="30">
        <f t="shared" si="177"/>
        <v>1.0732043754620881</v>
      </c>
      <c r="S392" s="30">
        <f t="shared" si="178"/>
        <v>1.0732043754620881</v>
      </c>
      <c r="T392" s="37">
        <f t="shared" si="179"/>
        <v>0.159999848</v>
      </c>
      <c r="U392" s="30">
        <f t="shared" si="180"/>
        <v>1.5503860983414707E-2</v>
      </c>
      <c r="V392" s="38">
        <f t="shared" si="181"/>
        <v>6.2937554889698304E-4</v>
      </c>
      <c r="W392" s="9">
        <f t="shared" si="201"/>
        <v>336556416</v>
      </c>
      <c r="X392" s="12">
        <f t="shared" si="201"/>
        <v>206.70001219999997</v>
      </c>
      <c r="Y392" s="11">
        <f t="shared" si="201"/>
        <v>0.60999989499999963</v>
      </c>
      <c r="Z392" s="7">
        <f t="shared" si="202"/>
        <v>203161472</v>
      </c>
      <c r="AA392" s="7">
        <f t="shared" si="202"/>
        <v>39.330017099999964</v>
      </c>
      <c r="AB392" s="7">
        <f t="shared" si="202"/>
        <v>1.9999980999999778E-2</v>
      </c>
    </row>
    <row r="393" spans="1:28" x14ac:dyDescent="0.25">
      <c r="A393" s="2">
        <v>389</v>
      </c>
      <c r="B393">
        <v>4</v>
      </c>
      <c r="C393">
        <v>3</v>
      </c>
      <c r="D393">
        <v>1</v>
      </c>
      <c r="E393">
        <v>3</v>
      </c>
      <c r="G393">
        <v>881290304</v>
      </c>
      <c r="H393">
        <v>362.76998900000001</v>
      </c>
      <c r="I393">
        <v>3.5999999049999998</v>
      </c>
      <c r="J393" s="9">
        <f t="shared" si="199"/>
        <v>23368000</v>
      </c>
      <c r="L393" s="9">
        <f t="shared" si="206"/>
        <v>5.1999817000000235</v>
      </c>
      <c r="M393" s="9">
        <f t="shared" si="206"/>
        <v>0</v>
      </c>
      <c r="N393" s="29">
        <f t="shared" si="173"/>
        <v>709460672</v>
      </c>
      <c r="O393" s="30">
        <f t="shared" si="174"/>
        <v>1.3762870112337007</v>
      </c>
      <c r="P393" s="30">
        <f t="shared" si="175"/>
        <v>1.3762870112337007</v>
      </c>
      <c r="Q393" s="29">
        <f t="shared" si="176"/>
        <v>276.49999236000002</v>
      </c>
      <c r="R393" s="30">
        <f t="shared" si="177"/>
        <v>1.0683513122714781</v>
      </c>
      <c r="S393" s="30">
        <f t="shared" si="178"/>
        <v>1.0683513122714781</v>
      </c>
      <c r="T393" s="37">
        <f t="shared" si="179"/>
        <v>0.159999848</v>
      </c>
      <c r="U393" s="30">
        <f t="shared" si="180"/>
        <v>1.5503860983414707E-2</v>
      </c>
      <c r="V393" s="38">
        <f t="shared" si="181"/>
        <v>6.1821357069507664E-4</v>
      </c>
      <c r="W393" s="9">
        <f t="shared" si="201"/>
        <v>316614848</v>
      </c>
      <c r="X393" s="12">
        <f t="shared" si="201"/>
        <v>202.1499939</v>
      </c>
      <c r="Y393" s="11">
        <f t="shared" si="201"/>
        <v>0.60999989499999963</v>
      </c>
      <c r="Z393" s="7">
        <f t="shared" si="202"/>
        <v>196627840</v>
      </c>
      <c r="AA393" s="7">
        <f t="shared" si="202"/>
        <v>39.529998799999987</v>
      </c>
      <c r="AB393" s="7">
        <f t="shared" si="202"/>
        <v>1.9999980999999778E-2</v>
      </c>
    </row>
    <row r="394" spans="1:28" x14ac:dyDescent="0.25">
      <c r="A394" s="2">
        <v>390</v>
      </c>
      <c r="B394">
        <v>4</v>
      </c>
      <c r="C394">
        <v>3</v>
      </c>
      <c r="D394">
        <v>1</v>
      </c>
      <c r="E394">
        <v>4</v>
      </c>
      <c r="G394">
        <v>810092096</v>
      </c>
      <c r="H394">
        <v>349.98999020000002</v>
      </c>
      <c r="I394">
        <v>3.5999999049999998</v>
      </c>
      <c r="J394" s="9">
        <f t="shared" si="199"/>
        <v>71198208</v>
      </c>
      <c r="L394" s="9">
        <f t="shared" si="206"/>
        <v>12.779998799999987</v>
      </c>
      <c r="M394" s="9">
        <f t="shared" si="206"/>
        <v>0</v>
      </c>
      <c r="N394" s="29">
        <f t="shared" si="173"/>
        <v>652008096</v>
      </c>
      <c r="O394" s="30">
        <f t="shared" si="174"/>
        <v>1.3748135927734622</v>
      </c>
      <c r="P394" s="30">
        <f t="shared" si="175"/>
        <v>1.3748135927734622</v>
      </c>
      <c r="Q394" s="29">
        <f t="shared" si="176"/>
        <v>266.41999051000005</v>
      </c>
      <c r="R394" s="30">
        <f t="shared" si="177"/>
        <v>1.0626620058963572</v>
      </c>
      <c r="S394" s="30">
        <f t="shared" si="178"/>
        <v>1.0626620058963572</v>
      </c>
      <c r="T394" s="37">
        <f t="shared" si="179"/>
        <v>0.159999848</v>
      </c>
      <c r="U394" s="30">
        <f t="shared" si="180"/>
        <v>1.5503860983414707E-2</v>
      </c>
      <c r="V394" s="38">
        <f t="shared" si="181"/>
        <v>6.3818694345464417E-4</v>
      </c>
      <c r="W394" s="9">
        <f t="shared" ref="W394:Y409" si="207">ABS(G394-G373)</f>
        <v>284786432</v>
      </c>
      <c r="X394" s="12">
        <f t="shared" si="207"/>
        <v>194.47999570000002</v>
      </c>
      <c r="Y394" s="11">
        <f t="shared" si="207"/>
        <v>0.60999989499999963</v>
      </c>
      <c r="Z394" s="7">
        <f t="shared" si="202"/>
        <v>179961984</v>
      </c>
      <c r="AA394" s="7">
        <f t="shared" si="202"/>
        <v>38.069976800000006</v>
      </c>
      <c r="AB394" s="7">
        <f t="shared" si="202"/>
        <v>1.9999980999999778E-2</v>
      </c>
    </row>
    <row r="395" spans="1:28" x14ac:dyDescent="0.25">
      <c r="A395" s="2">
        <v>391</v>
      </c>
      <c r="B395">
        <v>4</v>
      </c>
      <c r="C395">
        <v>3</v>
      </c>
      <c r="D395">
        <v>1</v>
      </c>
      <c r="E395">
        <v>5</v>
      </c>
      <c r="G395">
        <v>752169344</v>
      </c>
      <c r="H395">
        <v>317.26998900000001</v>
      </c>
      <c r="I395">
        <v>3.5999999049999998</v>
      </c>
      <c r="J395" s="9">
        <f t="shared" si="199"/>
        <v>57922752</v>
      </c>
      <c r="L395" s="9">
        <f t="shared" si="206"/>
        <v>32.720001200000013</v>
      </c>
      <c r="M395" s="9">
        <f t="shared" si="206"/>
        <v>0</v>
      </c>
      <c r="N395" s="29">
        <f t="shared" si="173"/>
        <v>607122816</v>
      </c>
      <c r="O395" s="30">
        <f t="shared" si="174"/>
        <v>1.3952369270086906</v>
      </c>
      <c r="P395" s="30">
        <f t="shared" si="175"/>
        <v>1.3952369270086906</v>
      </c>
      <c r="Q395" s="29">
        <f t="shared" si="176"/>
        <v>239.70999144000001</v>
      </c>
      <c r="R395" s="30">
        <f t="shared" si="177"/>
        <v>1.030213163921095</v>
      </c>
      <c r="S395" s="30">
        <f t="shared" si="178"/>
        <v>1.030213163921095</v>
      </c>
      <c r="T395" s="37">
        <f t="shared" si="179"/>
        <v>0.159999848</v>
      </c>
      <c r="U395" s="30">
        <f t="shared" si="180"/>
        <v>1.5503860983414707E-2</v>
      </c>
      <c r="V395" s="38">
        <f t="shared" si="181"/>
        <v>6.8763904518444991E-4</v>
      </c>
      <c r="W395" s="9">
        <f t="shared" si="207"/>
        <v>264865344</v>
      </c>
      <c r="X395" s="12">
        <f t="shared" si="207"/>
        <v>166.69998170000002</v>
      </c>
      <c r="Y395" s="11">
        <f t="shared" si="207"/>
        <v>0.60999989499999963</v>
      </c>
      <c r="Z395" s="7">
        <f t="shared" si="202"/>
        <v>168214656</v>
      </c>
      <c r="AA395" s="7">
        <f t="shared" si="202"/>
        <v>34.449981700000023</v>
      </c>
      <c r="AB395" s="7">
        <f t="shared" si="202"/>
        <v>1.9999980999999778E-2</v>
      </c>
    </row>
    <row r="396" spans="1:28" x14ac:dyDescent="0.25">
      <c r="A396" s="2">
        <v>392</v>
      </c>
      <c r="B396">
        <v>4</v>
      </c>
      <c r="C396">
        <v>3</v>
      </c>
      <c r="D396">
        <v>1</v>
      </c>
      <c r="E396">
        <v>6</v>
      </c>
      <c r="G396">
        <v>616280896</v>
      </c>
      <c r="H396">
        <v>274.26998900000001</v>
      </c>
      <c r="I396">
        <v>3.5999999049999998</v>
      </c>
      <c r="J396" s="9">
        <f t="shared" si="199"/>
        <v>135888448</v>
      </c>
      <c r="L396" s="9">
        <f t="shared" si="206"/>
        <v>43</v>
      </c>
      <c r="M396" s="9">
        <f t="shared" si="206"/>
        <v>0</v>
      </c>
      <c r="N396" s="29">
        <f t="shared" si="173"/>
        <v>499192856</v>
      </c>
      <c r="O396" s="30">
        <f t="shared" si="174"/>
        <v>1.4211324971078743</v>
      </c>
      <c r="P396" s="30">
        <f t="shared" si="175"/>
        <v>1.4211324971078743</v>
      </c>
      <c r="Q396" s="29">
        <f t="shared" si="176"/>
        <v>205.50998686000003</v>
      </c>
      <c r="R396" s="30">
        <f t="shared" si="177"/>
        <v>0.99626711491160147</v>
      </c>
      <c r="S396" s="30">
        <f t="shared" si="178"/>
        <v>0.99626711491160147</v>
      </c>
      <c r="T396" s="37">
        <f t="shared" si="179"/>
        <v>0.159999848</v>
      </c>
      <c r="U396" s="30">
        <f t="shared" si="180"/>
        <v>1.5503860983414707E-2</v>
      </c>
      <c r="V396" s="38">
        <f t="shared" si="181"/>
        <v>7.7564399369965849E-4</v>
      </c>
      <c r="W396" s="9">
        <f t="shared" si="207"/>
        <v>211646624</v>
      </c>
      <c r="X396" s="12">
        <f t="shared" si="207"/>
        <v>139.10998530000001</v>
      </c>
      <c r="Y396" s="11">
        <f t="shared" si="207"/>
        <v>0.60999989499999963</v>
      </c>
      <c r="Z396" s="7">
        <f t="shared" si="202"/>
        <v>137889952</v>
      </c>
      <c r="AA396" s="7">
        <f t="shared" si="202"/>
        <v>29.589996299999996</v>
      </c>
      <c r="AB396" s="7">
        <f t="shared" si="202"/>
        <v>1.9999980999999778E-2</v>
      </c>
    </row>
    <row r="397" spans="1:28" x14ac:dyDescent="0.25">
      <c r="A397" s="2">
        <v>393</v>
      </c>
      <c r="B397">
        <v>4</v>
      </c>
      <c r="C397">
        <v>3</v>
      </c>
      <c r="D397">
        <v>2</v>
      </c>
      <c r="E397">
        <v>0</v>
      </c>
      <c r="G397">
        <v>2606264064</v>
      </c>
      <c r="H397">
        <v>-9999.9902340000008</v>
      </c>
      <c r="I397">
        <v>3.920000076</v>
      </c>
      <c r="N397" s="29">
        <f t="shared" ref="N397:N424" si="208">ABS(G397-G390)</f>
        <v>1700035520</v>
      </c>
      <c r="O397" s="30">
        <f t="shared" ref="O397:O424" si="209">(N397/ABS(G390))/3</f>
        <v>0.62531522585396149</v>
      </c>
      <c r="P397" s="30">
        <f t="shared" ref="P397:P424" si="210">(N397/ABS(G390))/(IF(AND(D397=1,D390=0),(2400-600)/600,IF(AND(D397=2,D390=1),(6000-2400)/2400,IF(AND(D397=0,D390=2),ABS(600-6000)/6000,"Not Valid"))))</f>
        <v>1.250630451707923</v>
      </c>
      <c r="Q397" s="29">
        <f t="shared" ref="Q397:Q424" si="211">ABS(H397-H390)</f>
        <v>10356.4202267</v>
      </c>
      <c r="R397" s="30">
        <f t="shared" ref="R397:R424" si="212">(Q397/ABS(H390))/3</f>
        <v>9.6853243168912098</v>
      </c>
      <c r="S397" s="30">
        <f t="shared" ref="S397:S424" si="213">(Q397/ABS(H390))/(IF(AND(D397=1,D390=0),(2400-600)/600,IF(AND(D397=2,D390=1),(6000-2400)/2400,IF(AND(D397=0,D390=2),ABS(600-6000)/6000,"Not Valid"))))</f>
        <v>19.37064863378242</v>
      </c>
      <c r="T397" s="37">
        <f t="shared" ref="T397:T424" si="214">ABS(I397-I390)</f>
        <v>0.32000017100000022</v>
      </c>
      <c r="U397" s="30">
        <f t="shared" ref="U397:U424" si="215">(T397/ABS(I390))/3</f>
        <v>2.9629646244856426E-2</v>
      </c>
      <c r="V397" s="38">
        <f t="shared" ref="V397:V424" si="216">(T397/ABS(H390))/(IF(AND(D397=1,D390=0),(2400-600)/600,IF(AND(D397=2,D390=1),(6000-2400)/2400,IF(AND(D397=0,D390=2),ABS(600-6000)/6000,"Not Valid"))))</f>
        <v>5.9852832730856065E-4</v>
      </c>
      <c r="W397" s="9">
        <f t="shared" si="207"/>
        <v>590508544</v>
      </c>
      <c r="X397" s="12">
        <f t="shared" si="207"/>
        <v>10405.160247400001</v>
      </c>
      <c r="Y397" s="11">
        <f t="shared" si="207"/>
        <v>0.74000000900000007</v>
      </c>
      <c r="Z397" s="7">
        <f t="shared" si="202"/>
        <v>539564800</v>
      </c>
      <c r="AA397" s="7">
        <f t="shared" si="202"/>
        <v>0</v>
      </c>
      <c r="AB397" s="7">
        <f t="shared" si="202"/>
        <v>3.9999962E-2</v>
      </c>
    </row>
    <row r="398" spans="1:28" x14ac:dyDescent="0.25">
      <c r="A398" s="2">
        <v>394</v>
      </c>
      <c r="B398">
        <v>4</v>
      </c>
      <c r="C398">
        <v>3</v>
      </c>
      <c r="D398">
        <v>2</v>
      </c>
      <c r="E398">
        <v>1</v>
      </c>
      <c r="G398">
        <v>2590703104</v>
      </c>
      <c r="H398">
        <v>-9999.9902340000008</v>
      </c>
      <c r="I398">
        <v>3.920000076</v>
      </c>
      <c r="J398" s="9">
        <f t="shared" ref="J398" si="217">ABS(G398-G397)</f>
        <v>15560960</v>
      </c>
      <c r="L398" s="9">
        <f t="shared" ref="L398:M403" si="218">ABS(H398-H397)</f>
        <v>0</v>
      </c>
      <c r="M398" s="9">
        <f t="shared" si="218"/>
        <v>0</v>
      </c>
      <c r="N398" s="29">
        <f t="shared" si="208"/>
        <v>1687227520</v>
      </c>
      <c r="O398" s="30">
        <f t="shared" si="209"/>
        <v>0.62249515459327931</v>
      </c>
      <c r="P398" s="30">
        <f t="shared" si="210"/>
        <v>1.2449903091865586</v>
      </c>
      <c r="Q398" s="29">
        <f t="shared" si="211"/>
        <v>10363.220245</v>
      </c>
      <c r="R398" s="30">
        <f t="shared" si="212"/>
        <v>9.510245970103318</v>
      </c>
      <c r="S398" s="30">
        <f t="shared" si="213"/>
        <v>19.020491940206636</v>
      </c>
      <c r="T398" s="37">
        <f t="shared" si="214"/>
        <v>0.32000017100000022</v>
      </c>
      <c r="U398" s="30">
        <f t="shared" si="215"/>
        <v>2.9629646244856426E-2</v>
      </c>
      <c r="V398" s="38">
        <f t="shared" si="216"/>
        <v>5.873232961836226E-4</v>
      </c>
      <c r="W398" s="9">
        <f t="shared" si="207"/>
        <v>575769088</v>
      </c>
      <c r="X398" s="12">
        <f t="shared" si="207"/>
        <v>10423.640227900001</v>
      </c>
      <c r="Y398" s="11">
        <f t="shared" si="207"/>
        <v>0.74000000900000007</v>
      </c>
      <c r="Z398" s="7">
        <f t="shared" ref="Z398:AB413" si="219">ABS(G398-G293)</f>
        <v>535567360</v>
      </c>
      <c r="AA398" s="7">
        <f t="shared" si="219"/>
        <v>0</v>
      </c>
      <c r="AB398" s="7">
        <f t="shared" si="219"/>
        <v>3.9999962E-2</v>
      </c>
    </row>
    <row r="399" spans="1:28" x14ac:dyDescent="0.25">
      <c r="A399" s="2">
        <v>395</v>
      </c>
      <c r="B399">
        <v>4</v>
      </c>
      <c r="C399">
        <v>3</v>
      </c>
      <c r="D399">
        <v>2</v>
      </c>
      <c r="E399">
        <v>2</v>
      </c>
      <c r="G399">
        <v>2600177664</v>
      </c>
      <c r="H399">
        <v>-9999.9902340000008</v>
      </c>
      <c r="I399">
        <v>3.920000076</v>
      </c>
      <c r="J399" s="9">
        <f t="shared" si="197"/>
        <v>9474560</v>
      </c>
      <c r="L399" s="9">
        <f t="shared" si="218"/>
        <v>0</v>
      </c>
      <c r="M399" s="9">
        <f t="shared" si="218"/>
        <v>0</v>
      </c>
      <c r="N399" s="29">
        <f t="shared" si="208"/>
        <v>1695519360</v>
      </c>
      <c r="O399" s="30">
        <f t="shared" si="209"/>
        <v>0.6247365635191251</v>
      </c>
      <c r="P399" s="30">
        <f t="shared" si="210"/>
        <v>1.2494731270382502</v>
      </c>
      <c r="Q399" s="29">
        <f t="shared" si="211"/>
        <v>10357.560241300002</v>
      </c>
      <c r="R399" s="30">
        <f t="shared" si="212"/>
        <v>9.655508040238626</v>
      </c>
      <c r="S399" s="30">
        <f t="shared" si="213"/>
        <v>19.311016080477252</v>
      </c>
      <c r="T399" s="37">
        <f t="shared" si="214"/>
        <v>0.32000017100000022</v>
      </c>
      <c r="U399" s="30">
        <f t="shared" si="215"/>
        <v>2.9629646244856426E-2</v>
      </c>
      <c r="V399" s="38">
        <f t="shared" si="216"/>
        <v>5.9662008271948671E-4</v>
      </c>
      <c r="W399" s="9">
        <f t="shared" si="207"/>
        <v>585202560</v>
      </c>
      <c r="X399" s="12">
        <f t="shared" si="207"/>
        <v>10414.450225500001</v>
      </c>
      <c r="Y399" s="11">
        <f t="shared" si="207"/>
        <v>0.74000000900000007</v>
      </c>
      <c r="Z399" s="7">
        <f t="shared" si="219"/>
        <v>538177280</v>
      </c>
      <c r="AA399" s="7">
        <f t="shared" si="219"/>
        <v>0</v>
      </c>
      <c r="AB399" s="7">
        <f t="shared" si="219"/>
        <v>3.9999962E-2</v>
      </c>
    </row>
    <row r="400" spans="1:28" x14ac:dyDescent="0.25">
      <c r="A400" s="2">
        <v>396</v>
      </c>
      <c r="B400">
        <v>4</v>
      </c>
      <c r="C400">
        <v>3</v>
      </c>
      <c r="D400">
        <v>2</v>
      </c>
      <c r="E400">
        <v>3</v>
      </c>
      <c r="G400">
        <v>2520626688</v>
      </c>
      <c r="H400">
        <v>-9999.9902340000008</v>
      </c>
      <c r="I400">
        <v>3.920000076</v>
      </c>
      <c r="J400" s="9">
        <f t="shared" si="197"/>
        <v>79550976</v>
      </c>
      <c r="L400" s="9">
        <f t="shared" si="218"/>
        <v>0</v>
      </c>
      <c r="M400" s="9">
        <f t="shared" si="218"/>
        <v>0</v>
      </c>
      <c r="N400" s="29">
        <f t="shared" si="208"/>
        <v>1639336384</v>
      </c>
      <c r="O400" s="30">
        <f t="shared" si="209"/>
        <v>0.62005159804110732</v>
      </c>
      <c r="P400" s="30">
        <f t="shared" si="210"/>
        <v>1.2401031960822146</v>
      </c>
      <c r="Q400" s="29">
        <f t="shared" si="211"/>
        <v>10362.760223000001</v>
      </c>
      <c r="R400" s="30">
        <f t="shared" si="212"/>
        <v>9.5218830454761427</v>
      </c>
      <c r="S400" s="30">
        <f t="shared" si="213"/>
        <v>19.043766090952285</v>
      </c>
      <c r="T400" s="37">
        <f t="shared" si="214"/>
        <v>0.32000017100000022</v>
      </c>
      <c r="U400" s="30">
        <f t="shared" si="215"/>
        <v>2.9629646244856426E-2</v>
      </c>
      <c r="V400" s="38">
        <f t="shared" si="216"/>
        <v>5.880680701328176E-4</v>
      </c>
      <c r="W400" s="9">
        <f t="shared" si="207"/>
        <v>547208704</v>
      </c>
      <c r="X400" s="12">
        <f t="shared" si="207"/>
        <v>10442.250243800001</v>
      </c>
      <c r="Y400" s="11">
        <f t="shared" si="207"/>
        <v>0.74000000900000007</v>
      </c>
      <c r="Z400" s="7">
        <f t="shared" si="219"/>
        <v>520079360</v>
      </c>
      <c r="AA400" s="7">
        <f t="shared" si="219"/>
        <v>0</v>
      </c>
      <c r="AB400" s="7">
        <f t="shared" si="219"/>
        <v>3.9999962E-2</v>
      </c>
    </row>
    <row r="401" spans="1:28" x14ac:dyDescent="0.25">
      <c r="A401" s="2">
        <v>397</v>
      </c>
      <c r="B401">
        <v>4</v>
      </c>
      <c r="C401">
        <v>3</v>
      </c>
      <c r="D401">
        <v>2</v>
      </c>
      <c r="E401">
        <v>4</v>
      </c>
      <c r="G401">
        <v>2305556736</v>
      </c>
      <c r="H401">
        <v>-9999.9902340000008</v>
      </c>
      <c r="I401">
        <v>3.920000076</v>
      </c>
      <c r="J401" s="9">
        <f t="shared" si="197"/>
        <v>215069952</v>
      </c>
      <c r="L401" s="9">
        <f t="shared" si="218"/>
        <v>0</v>
      </c>
      <c r="M401" s="9">
        <f t="shared" si="218"/>
        <v>0</v>
      </c>
      <c r="N401" s="29">
        <f t="shared" si="208"/>
        <v>1495464640</v>
      </c>
      <c r="O401" s="30">
        <f t="shared" si="209"/>
        <v>0.6153475830645968</v>
      </c>
      <c r="P401" s="30">
        <f t="shared" si="210"/>
        <v>1.2306951661291936</v>
      </c>
      <c r="Q401" s="29">
        <f t="shared" si="211"/>
        <v>10349.980224200001</v>
      </c>
      <c r="R401" s="30">
        <f t="shared" si="212"/>
        <v>9.8574059392246784</v>
      </c>
      <c r="S401" s="30">
        <f t="shared" si="213"/>
        <v>19.714811878449357</v>
      </c>
      <c r="T401" s="37">
        <f t="shared" si="214"/>
        <v>0.32000017100000022</v>
      </c>
      <c r="U401" s="30">
        <f t="shared" si="215"/>
        <v>2.9629646244856426E-2</v>
      </c>
      <c r="V401" s="38">
        <f t="shared" si="216"/>
        <v>6.0954156777862469E-4</v>
      </c>
      <c r="W401" s="9">
        <f t="shared" si="207"/>
        <v>485802112</v>
      </c>
      <c r="X401" s="12">
        <f t="shared" si="207"/>
        <v>10428.970245</v>
      </c>
      <c r="Y401" s="11">
        <f t="shared" si="207"/>
        <v>0.74000000900000007</v>
      </c>
      <c r="Z401" s="7">
        <f t="shared" si="219"/>
        <v>474276224</v>
      </c>
      <c r="AA401" s="7">
        <f t="shared" si="219"/>
        <v>0</v>
      </c>
      <c r="AB401" s="7">
        <f t="shared" si="219"/>
        <v>3.9999962E-2</v>
      </c>
    </row>
    <row r="402" spans="1:28" x14ac:dyDescent="0.25">
      <c r="A402" s="2">
        <v>398</v>
      </c>
      <c r="B402">
        <v>4</v>
      </c>
      <c r="C402">
        <v>3</v>
      </c>
      <c r="D402">
        <v>2</v>
      </c>
      <c r="E402">
        <v>5</v>
      </c>
      <c r="G402">
        <v>2152897024</v>
      </c>
      <c r="H402">
        <v>-9999.9902340000008</v>
      </c>
      <c r="I402">
        <v>3.920000076</v>
      </c>
      <c r="J402" s="9">
        <f t="shared" si="197"/>
        <v>152659712</v>
      </c>
      <c r="L402" s="9">
        <f t="shared" si="218"/>
        <v>0</v>
      </c>
      <c r="M402" s="9">
        <f t="shared" si="218"/>
        <v>0</v>
      </c>
      <c r="N402" s="29">
        <f t="shared" si="208"/>
        <v>1400727680</v>
      </c>
      <c r="O402" s="30">
        <f t="shared" si="209"/>
        <v>0.6207501414291442</v>
      </c>
      <c r="P402" s="30">
        <f t="shared" si="210"/>
        <v>1.2415002828582884</v>
      </c>
      <c r="Q402" s="29">
        <f t="shared" si="211"/>
        <v>10317.260223000001</v>
      </c>
      <c r="R402" s="30">
        <f t="shared" si="212"/>
        <v>10.839621963109787</v>
      </c>
      <c r="S402" s="30">
        <f t="shared" si="213"/>
        <v>21.679243926219574</v>
      </c>
      <c r="T402" s="37">
        <f t="shared" si="214"/>
        <v>0.32000017100000022</v>
      </c>
      <c r="U402" s="30">
        <f t="shared" si="215"/>
        <v>2.9629646244856426E-2</v>
      </c>
      <c r="V402" s="38">
        <f t="shared" si="216"/>
        <v>6.724034882900112E-4</v>
      </c>
      <c r="W402" s="9">
        <f t="shared" si="207"/>
        <v>458602496</v>
      </c>
      <c r="X402" s="12">
        <f t="shared" si="207"/>
        <v>10411.180236400001</v>
      </c>
      <c r="Y402" s="11">
        <f t="shared" si="207"/>
        <v>0.74000000900000007</v>
      </c>
      <c r="Z402" s="7">
        <f t="shared" si="219"/>
        <v>444485504</v>
      </c>
      <c r="AA402" s="7">
        <f t="shared" si="219"/>
        <v>0</v>
      </c>
      <c r="AB402" s="7">
        <f t="shared" si="219"/>
        <v>3.9999962E-2</v>
      </c>
    </row>
    <row r="403" spans="1:28" x14ac:dyDescent="0.25">
      <c r="A403" s="2">
        <v>399</v>
      </c>
      <c r="B403">
        <v>4</v>
      </c>
      <c r="C403">
        <v>3</v>
      </c>
      <c r="D403">
        <v>2</v>
      </c>
      <c r="E403">
        <v>6</v>
      </c>
      <c r="G403">
        <v>1763094144</v>
      </c>
      <c r="H403">
        <v>898.4099731</v>
      </c>
      <c r="I403">
        <v>3.920000076</v>
      </c>
      <c r="J403" s="9">
        <f t="shared" si="197"/>
        <v>389802880</v>
      </c>
      <c r="L403" s="9">
        <f t="shared" si="218"/>
        <v>10898.400207100001</v>
      </c>
      <c r="M403" s="9">
        <f t="shared" si="218"/>
        <v>0</v>
      </c>
      <c r="N403" s="29">
        <f t="shared" si="208"/>
        <v>1146813248</v>
      </c>
      <c r="O403" s="30">
        <f t="shared" si="209"/>
        <v>0.62028708848159175</v>
      </c>
      <c r="P403" s="30">
        <f t="shared" si="210"/>
        <v>1.2405741769631835</v>
      </c>
      <c r="Q403" s="29">
        <f t="shared" si="211"/>
        <v>624.13998409999999</v>
      </c>
      <c r="R403" s="30">
        <f t="shared" si="212"/>
        <v>0.75854694173873571</v>
      </c>
      <c r="S403" s="30">
        <f t="shared" si="213"/>
        <v>1.5170938834774714</v>
      </c>
      <c r="T403" s="37">
        <f t="shared" si="214"/>
        <v>0.32000017100000022</v>
      </c>
      <c r="U403" s="30">
        <f t="shared" si="215"/>
        <v>2.9629646244856426E-2</v>
      </c>
      <c r="V403" s="38">
        <f t="shared" si="216"/>
        <v>7.778227873605722E-4</v>
      </c>
      <c r="W403" s="9">
        <f t="shared" si="207"/>
        <v>361593728</v>
      </c>
      <c r="X403" s="12">
        <f t="shared" si="207"/>
        <v>531.03997800000002</v>
      </c>
      <c r="Y403" s="11">
        <f t="shared" si="207"/>
        <v>0.74000000900000007</v>
      </c>
      <c r="Z403" s="7">
        <f t="shared" si="219"/>
        <v>363962496</v>
      </c>
      <c r="AA403" s="7">
        <f t="shared" si="219"/>
        <v>104.04998769999997</v>
      </c>
      <c r="AB403" s="7">
        <f t="shared" si="219"/>
        <v>3.9999962E-2</v>
      </c>
    </row>
    <row r="404" spans="1:28" x14ac:dyDescent="0.25">
      <c r="A404" s="2">
        <v>400</v>
      </c>
      <c r="B404">
        <v>4</v>
      </c>
      <c r="C404">
        <v>4</v>
      </c>
      <c r="D404">
        <v>0</v>
      </c>
      <c r="E404">
        <v>0</v>
      </c>
      <c r="G404">
        <v>227965072</v>
      </c>
      <c r="H404">
        <v>134.0500031</v>
      </c>
      <c r="I404">
        <v>3.9700000289999999</v>
      </c>
      <c r="N404" s="29">
        <f t="shared" si="208"/>
        <v>2378298992</v>
      </c>
      <c r="O404" s="30">
        <f t="shared" si="209"/>
        <v>0.3041772864143158</v>
      </c>
      <c r="P404" s="30">
        <f t="shared" si="210"/>
        <v>1.0139242880477193</v>
      </c>
      <c r="Q404" s="29">
        <f t="shared" si="211"/>
        <v>10134.0402371</v>
      </c>
      <c r="R404" s="30">
        <f t="shared" si="212"/>
        <v>0.33780167113377862</v>
      </c>
      <c r="S404" s="30">
        <f t="shared" si="213"/>
        <v>1.1260055704459289</v>
      </c>
      <c r="T404" s="37">
        <f t="shared" si="214"/>
        <v>4.999995299999993E-2</v>
      </c>
      <c r="U404" s="30">
        <f t="shared" si="215"/>
        <v>4.2516966012426114E-3</v>
      </c>
      <c r="V404" s="38">
        <f t="shared" si="216"/>
        <v>5.5555557588890784E-6</v>
      </c>
      <c r="W404" s="9">
        <f t="shared" si="207"/>
        <v>52689648</v>
      </c>
      <c r="X404" s="12">
        <f t="shared" si="207"/>
        <v>49.68000035</v>
      </c>
      <c r="Y404" s="11">
        <f t="shared" si="207"/>
        <v>0.52999997200000015</v>
      </c>
      <c r="Z404" s="7">
        <f t="shared" si="219"/>
        <v>50263376</v>
      </c>
      <c r="AA404" s="7">
        <f t="shared" si="219"/>
        <v>13.420005799999998</v>
      </c>
      <c r="AB404" s="7">
        <f t="shared" si="219"/>
        <v>9.9999909999999304E-3</v>
      </c>
    </row>
    <row r="405" spans="1:28" x14ac:dyDescent="0.25">
      <c r="A405" s="2">
        <v>401</v>
      </c>
      <c r="B405">
        <v>4</v>
      </c>
      <c r="C405">
        <v>4</v>
      </c>
      <c r="D405">
        <v>0</v>
      </c>
      <c r="E405">
        <v>1</v>
      </c>
      <c r="G405">
        <v>226900560</v>
      </c>
      <c r="H405">
        <v>134.7400055</v>
      </c>
      <c r="I405">
        <v>3.9700000289999999</v>
      </c>
      <c r="J405" s="9">
        <f t="shared" ref="J405" si="220">ABS(G405-G404)</f>
        <v>1064512</v>
      </c>
      <c r="L405" s="9">
        <f t="shared" ref="L405:M410" si="221">ABS(H405-H404)</f>
        <v>0.69000239999999735</v>
      </c>
      <c r="M405" s="9">
        <f t="shared" si="221"/>
        <v>0</v>
      </c>
      <c r="N405" s="29">
        <f t="shared" si="208"/>
        <v>2363802544</v>
      </c>
      <c r="O405" s="30">
        <f t="shared" si="209"/>
        <v>0.30413912737309684</v>
      </c>
      <c r="P405" s="30">
        <f t="shared" si="210"/>
        <v>1.013797091243656</v>
      </c>
      <c r="Q405" s="29">
        <f t="shared" si="211"/>
        <v>10134.730239500001</v>
      </c>
      <c r="R405" s="30">
        <f t="shared" si="212"/>
        <v>0.33782467123624055</v>
      </c>
      <c r="S405" s="30">
        <f t="shared" si="213"/>
        <v>1.1260822374541353</v>
      </c>
      <c r="T405" s="37">
        <f t="shared" si="214"/>
        <v>4.999995299999993E-2</v>
      </c>
      <c r="U405" s="30">
        <f t="shared" si="215"/>
        <v>4.2516966012426114E-3</v>
      </c>
      <c r="V405" s="38">
        <f t="shared" si="216"/>
        <v>5.5555557588890784E-6</v>
      </c>
      <c r="W405" s="9">
        <f t="shared" si="207"/>
        <v>51320240</v>
      </c>
      <c r="X405" s="12">
        <f t="shared" si="207"/>
        <v>48.780006419999992</v>
      </c>
      <c r="Y405" s="11">
        <f t="shared" si="207"/>
        <v>0.52999997200000015</v>
      </c>
      <c r="Z405" s="7">
        <f t="shared" si="219"/>
        <v>49979680</v>
      </c>
      <c r="AA405" s="7">
        <f t="shared" si="219"/>
        <v>13.500007599999989</v>
      </c>
      <c r="AB405" s="7">
        <f t="shared" si="219"/>
        <v>9.9999909999999304E-3</v>
      </c>
    </row>
    <row r="406" spans="1:28" x14ac:dyDescent="0.25">
      <c r="A406" s="2">
        <v>402</v>
      </c>
      <c r="B406">
        <v>4</v>
      </c>
      <c r="C406">
        <v>4</v>
      </c>
      <c r="D406">
        <v>0</v>
      </c>
      <c r="E406">
        <v>2</v>
      </c>
      <c r="G406">
        <v>227459840</v>
      </c>
      <c r="H406">
        <v>134</v>
      </c>
      <c r="I406">
        <v>3.9700000289999999</v>
      </c>
      <c r="J406" s="9">
        <f t="shared" si="199"/>
        <v>559280</v>
      </c>
      <c r="L406" s="9">
        <f t="shared" si="221"/>
        <v>0.74000549999999521</v>
      </c>
      <c r="M406" s="9">
        <f t="shared" si="221"/>
        <v>0</v>
      </c>
      <c r="N406" s="29">
        <f t="shared" si="208"/>
        <v>2372717824</v>
      </c>
      <c r="O406" s="30">
        <f t="shared" si="209"/>
        <v>0.30417380792227794</v>
      </c>
      <c r="P406" s="30">
        <f t="shared" si="210"/>
        <v>1.0139126930742597</v>
      </c>
      <c r="Q406" s="29">
        <f t="shared" si="211"/>
        <v>10133.990234000001</v>
      </c>
      <c r="R406" s="30">
        <f t="shared" si="212"/>
        <v>0.33780000436215096</v>
      </c>
      <c r="S406" s="30">
        <f t="shared" si="213"/>
        <v>1.1260000145405031</v>
      </c>
      <c r="T406" s="37">
        <f t="shared" si="214"/>
        <v>4.999995299999993E-2</v>
      </c>
      <c r="U406" s="30">
        <f t="shared" si="215"/>
        <v>4.2516966012426114E-3</v>
      </c>
      <c r="V406" s="38">
        <f t="shared" si="216"/>
        <v>5.5555557588890784E-6</v>
      </c>
      <c r="W406" s="9">
        <f t="shared" si="207"/>
        <v>52302288</v>
      </c>
      <c r="X406" s="12">
        <f t="shared" si="207"/>
        <v>49.260002139999997</v>
      </c>
      <c r="Y406" s="11">
        <f t="shared" si="207"/>
        <v>0.52999997200000015</v>
      </c>
      <c r="Z406" s="7">
        <f t="shared" si="219"/>
        <v>50150320</v>
      </c>
      <c r="AA406" s="7">
        <f t="shared" si="219"/>
        <v>13.419998199999995</v>
      </c>
      <c r="AB406" s="7">
        <f t="shared" si="219"/>
        <v>9.9999909999999304E-3</v>
      </c>
    </row>
    <row r="407" spans="1:28" x14ac:dyDescent="0.25">
      <c r="A407" s="2">
        <v>403</v>
      </c>
      <c r="B407">
        <v>4</v>
      </c>
      <c r="C407">
        <v>4</v>
      </c>
      <c r="D407">
        <v>0</v>
      </c>
      <c r="E407">
        <v>3</v>
      </c>
      <c r="G407">
        <v>220785600</v>
      </c>
      <c r="H407">
        <v>133.0099945</v>
      </c>
      <c r="I407">
        <v>3.9700000289999999</v>
      </c>
      <c r="J407" s="9">
        <f t="shared" si="199"/>
        <v>6674240</v>
      </c>
      <c r="L407" s="9">
        <f t="shared" si="221"/>
        <v>0.99000549999999521</v>
      </c>
      <c r="M407" s="9">
        <f t="shared" si="221"/>
        <v>0</v>
      </c>
      <c r="N407" s="29">
        <f t="shared" si="208"/>
        <v>2299841088</v>
      </c>
      <c r="O407" s="30">
        <f t="shared" si="209"/>
        <v>0.30413614981132819</v>
      </c>
      <c r="P407" s="30">
        <f t="shared" si="210"/>
        <v>1.0137871660377606</v>
      </c>
      <c r="Q407" s="29">
        <f t="shared" si="211"/>
        <v>10133.000228500001</v>
      </c>
      <c r="R407" s="30">
        <f t="shared" si="212"/>
        <v>0.33776700414658961</v>
      </c>
      <c r="S407" s="30">
        <f t="shared" si="213"/>
        <v>1.1258900138219652</v>
      </c>
      <c r="T407" s="37">
        <f t="shared" si="214"/>
        <v>4.999995299999993E-2</v>
      </c>
      <c r="U407" s="30">
        <f t="shared" si="215"/>
        <v>4.2516966012426114E-3</v>
      </c>
      <c r="V407" s="38">
        <f t="shared" si="216"/>
        <v>5.5555557588890784E-6</v>
      </c>
      <c r="W407" s="9">
        <f t="shared" si="207"/>
        <v>48955968</v>
      </c>
      <c r="X407" s="12">
        <f t="shared" si="207"/>
        <v>46.739997860000003</v>
      </c>
      <c r="Y407" s="11">
        <f t="shared" si="207"/>
        <v>0.52999997200000015</v>
      </c>
      <c r="Z407" s="7">
        <f t="shared" si="219"/>
        <v>48637392</v>
      </c>
      <c r="AA407" s="7">
        <f t="shared" si="219"/>
        <v>13.33999630000001</v>
      </c>
      <c r="AB407" s="7">
        <f t="shared" si="219"/>
        <v>9.9999909999999304E-3</v>
      </c>
    </row>
    <row r="408" spans="1:28" x14ac:dyDescent="0.25">
      <c r="A408" s="2">
        <v>404</v>
      </c>
      <c r="B408">
        <v>4</v>
      </c>
      <c r="C408">
        <v>4</v>
      </c>
      <c r="D408">
        <v>0</v>
      </c>
      <c r="E408">
        <v>4</v>
      </c>
      <c r="G408">
        <v>201145072</v>
      </c>
      <c r="H408">
        <v>126.1600037</v>
      </c>
      <c r="I408">
        <v>3.9700000289999999</v>
      </c>
      <c r="J408" s="9">
        <f t="shared" si="199"/>
        <v>19640528</v>
      </c>
      <c r="L408" s="9">
        <f t="shared" si="221"/>
        <v>6.8499908000000005</v>
      </c>
      <c r="M408" s="9">
        <f t="shared" si="221"/>
        <v>0</v>
      </c>
      <c r="N408" s="29">
        <f t="shared" si="208"/>
        <v>2104411664</v>
      </c>
      <c r="O408" s="30">
        <f t="shared" si="209"/>
        <v>0.30425213299399223</v>
      </c>
      <c r="P408" s="30">
        <f t="shared" si="210"/>
        <v>1.0141737766466408</v>
      </c>
      <c r="Q408" s="29">
        <f t="shared" si="211"/>
        <v>10126.150237700002</v>
      </c>
      <c r="R408" s="30">
        <f t="shared" si="212"/>
        <v>0.33753867089693274</v>
      </c>
      <c r="S408" s="30">
        <f t="shared" si="213"/>
        <v>1.1251289029897757</v>
      </c>
      <c r="T408" s="37">
        <f t="shared" si="214"/>
        <v>4.999995299999993E-2</v>
      </c>
      <c r="U408" s="30">
        <f t="shared" si="215"/>
        <v>4.2516966012426114E-3</v>
      </c>
      <c r="V408" s="38">
        <f t="shared" si="216"/>
        <v>5.5555557588890784E-6</v>
      </c>
      <c r="W408" s="9">
        <f t="shared" si="207"/>
        <v>43061072</v>
      </c>
      <c r="X408" s="12">
        <f t="shared" si="207"/>
        <v>42.590004010000001</v>
      </c>
      <c r="Y408" s="11">
        <f t="shared" si="207"/>
        <v>0.52999997200000015</v>
      </c>
      <c r="Z408" s="7">
        <f t="shared" si="219"/>
        <v>44473712</v>
      </c>
      <c r="AA408" s="7">
        <f t="shared" si="219"/>
        <v>12.75</v>
      </c>
      <c r="AB408" s="7">
        <f t="shared" si="219"/>
        <v>9.9999909999999304E-3</v>
      </c>
    </row>
    <row r="409" spans="1:28" x14ac:dyDescent="0.25">
      <c r="A409" s="2">
        <v>405</v>
      </c>
      <c r="B409">
        <v>4</v>
      </c>
      <c r="C409">
        <v>4</v>
      </c>
      <c r="D409">
        <v>0</v>
      </c>
      <c r="E409">
        <v>5</v>
      </c>
      <c r="G409">
        <v>186270096</v>
      </c>
      <c r="H409">
        <v>116.5400009</v>
      </c>
      <c r="I409">
        <v>3.9700000289999999</v>
      </c>
      <c r="J409" s="9">
        <f t="shared" si="199"/>
        <v>14874976</v>
      </c>
      <c r="L409" s="9">
        <f t="shared" si="221"/>
        <v>9.6200028000000088</v>
      </c>
      <c r="M409" s="9">
        <f t="shared" si="221"/>
        <v>0</v>
      </c>
      <c r="N409" s="29">
        <f t="shared" si="208"/>
        <v>1966626928</v>
      </c>
      <c r="O409" s="30">
        <f t="shared" si="209"/>
        <v>0.30449310952892716</v>
      </c>
      <c r="P409" s="30">
        <f t="shared" si="210"/>
        <v>1.0149770317630906</v>
      </c>
      <c r="Q409" s="29">
        <f t="shared" si="211"/>
        <v>10116.530234900001</v>
      </c>
      <c r="R409" s="30">
        <f t="shared" si="212"/>
        <v>0.33721800382376926</v>
      </c>
      <c r="S409" s="30">
        <f t="shared" si="213"/>
        <v>1.1240600127458975</v>
      </c>
      <c r="T409" s="37">
        <f t="shared" si="214"/>
        <v>4.999995299999993E-2</v>
      </c>
      <c r="U409" s="30">
        <f t="shared" si="215"/>
        <v>4.2516966012426114E-3</v>
      </c>
      <c r="V409" s="38">
        <f t="shared" si="216"/>
        <v>5.5555557588890784E-6</v>
      </c>
      <c r="W409" s="9">
        <f t="shared" si="207"/>
        <v>41223568</v>
      </c>
      <c r="X409" s="12">
        <f t="shared" si="207"/>
        <v>38.980003339999996</v>
      </c>
      <c r="Y409" s="11">
        <f t="shared" si="207"/>
        <v>0.52999997200000015</v>
      </c>
      <c r="Z409" s="7">
        <f t="shared" si="219"/>
        <v>41575856</v>
      </c>
      <c r="AA409" s="7">
        <f t="shared" si="219"/>
        <v>11.840003999999993</v>
      </c>
      <c r="AB409" s="7">
        <f t="shared" si="219"/>
        <v>9.9999909999999304E-3</v>
      </c>
    </row>
    <row r="410" spans="1:28" x14ac:dyDescent="0.25">
      <c r="A410" s="2">
        <v>406</v>
      </c>
      <c r="B410">
        <v>4</v>
      </c>
      <c r="C410">
        <v>4</v>
      </c>
      <c r="D410">
        <v>0</v>
      </c>
      <c r="E410">
        <v>6</v>
      </c>
      <c r="G410">
        <v>149676688</v>
      </c>
      <c r="H410">
        <v>99.230003359999998</v>
      </c>
      <c r="I410">
        <v>3.9700000289999999</v>
      </c>
      <c r="J410" s="9">
        <f t="shared" si="199"/>
        <v>36593408</v>
      </c>
      <c r="L410" s="9">
        <f t="shared" si="221"/>
        <v>17.309997539999998</v>
      </c>
      <c r="M410" s="9">
        <f t="shared" si="221"/>
        <v>0</v>
      </c>
      <c r="N410" s="29">
        <f t="shared" si="208"/>
        <v>1613417456</v>
      </c>
      <c r="O410" s="30">
        <f t="shared" si="209"/>
        <v>0.3050352248612917</v>
      </c>
      <c r="P410" s="30">
        <f t="shared" si="210"/>
        <v>1.0167840828709724</v>
      </c>
      <c r="Q410" s="29">
        <f t="shared" si="211"/>
        <v>799.17996974000005</v>
      </c>
      <c r="R410" s="30">
        <f t="shared" si="212"/>
        <v>0.29651643595124588</v>
      </c>
      <c r="S410" s="30">
        <f t="shared" si="213"/>
        <v>0.9883881198374862</v>
      </c>
      <c r="T410" s="37">
        <f t="shared" si="214"/>
        <v>4.999995299999993E-2</v>
      </c>
      <c r="U410" s="30">
        <f t="shared" si="215"/>
        <v>4.2516966012426114E-3</v>
      </c>
      <c r="V410" s="38">
        <f t="shared" si="216"/>
        <v>6.1837585285965538E-5</v>
      </c>
      <c r="W410" s="9">
        <f t="shared" ref="W410:Y424" si="222">ABS(G410-G389)</f>
        <v>32588648</v>
      </c>
      <c r="X410" s="12">
        <f t="shared" si="222"/>
        <v>30.47000122</v>
      </c>
      <c r="Y410" s="11">
        <f t="shared" si="222"/>
        <v>0.52999997200000015</v>
      </c>
      <c r="Z410" s="7">
        <f t="shared" si="219"/>
        <v>34084488</v>
      </c>
      <c r="AA410" s="7">
        <f t="shared" si="219"/>
        <v>10.290000919999997</v>
      </c>
      <c r="AB410" s="7">
        <f t="shared" si="219"/>
        <v>9.9999909999999304E-3</v>
      </c>
    </row>
    <row r="411" spans="1:28" x14ac:dyDescent="0.25">
      <c r="A411" s="2">
        <v>407</v>
      </c>
      <c r="B411">
        <v>4</v>
      </c>
      <c r="C411">
        <v>4</v>
      </c>
      <c r="D411">
        <v>1</v>
      </c>
      <c r="E411">
        <v>0</v>
      </c>
      <c r="G411">
        <v>1033896384</v>
      </c>
      <c r="H411">
        <v>562.9099731</v>
      </c>
      <c r="I411">
        <v>4.1100001339999999</v>
      </c>
      <c r="N411" s="29">
        <f t="shared" si="208"/>
        <v>805931312</v>
      </c>
      <c r="O411" s="30">
        <f t="shared" si="209"/>
        <v>1.1784426811957696</v>
      </c>
      <c r="P411" s="30">
        <f t="shared" si="210"/>
        <v>1.1784426811957696</v>
      </c>
      <c r="Q411" s="29">
        <f t="shared" si="211"/>
        <v>428.85996999999998</v>
      </c>
      <c r="R411" s="30">
        <f t="shared" si="212"/>
        <v>1.0664179039719346</v>
      </c>
      <c r="S411" s="30">
        <f t="shared" si="213"/>
        <v>1.0664179039719346</v>
      </c>
      <c r="T411" s="37">
        <f t="shared" si="214"/>
        <v>0.14000010499999993</v>
      </c>
      <c r="U411" s="30">
        <f t="shared" si="215"/>
        <v>1.1754836605989014E-2</v>
      </c>
      <c r="V411" s="38">
        <f t="shared" si="216"/>
        <v>3.4812906070471136E-4</v>
      </c>
      <c r="W411" s="9">
        <f t="shared" si="222"/>
        <v>127667840</v>
      </c>
      <c r="X411" s="12">
        <f t="shared" si="222"/>
        <v>206.47998039999999</v>
      </c>
      <c r="Y411" s="11">
        <f t="shared" si="222"/>
        <v>0.51000022900000008</v>
      </c>
      <c r="Z411" s="7">
        <f t="shared" si="219"/>
        <v>211727104</v>
      </c>
      <c r="AA411" s="7">
        <f t="shared" si="219"/>
        <v>58.649963300000024</v>
      </c>
      <c r="AB411" s="7">
        <f t="shared" si="219"/>
        <v>1.9999980999999778E-2</v>
      </c>
    </row>
    <row r="412" spans="1:28" x14ac:dyDescent="0.25">
      <c r="A412" s="2">
        <v>408</v>
      </c>
      <c r="B412">
        <v>4</v>
      </c>
      <c r="C412">
        <v>4</v>
      </c>
      <c r="D412">
        <v>1</v>
      </c>
      <c r="E412">
        <v>1</v>
      </c>
      <c r="G412">
        <v>1027760768</v>
      </c>
      <c r="H412">
        <v>565.03002930000002</v>
      </c>
      <c r="I412">
        <v>4.1100001339999999</v>
      </c>
      <c r="J412" s="9">
        <f t="shared" ref="J412" si="223">ABS(G412-G411)</f>
        <v>6135616</v>
      </c>
      <c r="L412" s="9">
        <f t="shared" ref="L412:M417" si="224">ABS(H412-H411)</f>
        <v>2.1200562000000218</v>
      </c>
      <c r="M412" s="9">
        <f t="shared" si="224"/>
        <v>0</v>
      </c>
      <c r="N412" s="29">
        <f t="shared" si="208"/>
        <v>800860208</v>
      </c>
      <c r="O412" s="30">
        <f t="shared" si="209"/>
        <v>1.1765215681559653</v>
      </c>
      <c r="P412" s="30">
        <f t="shared" si="210"/>
        <v>1.1765215681559653</v>
      </c>
      <c r="Q412" s="29">
        <f t="shared" si="211"/>
        <v>430.29002380000003</v>
      </c>
      <c r="R412" s="30">
        <f t="shared" si="212"/>
        <v>1.0644945975850755</v>
      </c>
      <c r="S412" s="30">
        <f t="shared" si="213"/>
        <v>1.0644945975850755</v>
      </c>
      <c r="T412" s="37">
        <f t="shared" si="214"/>
        <v>0.14000010499999993</v>
      </c>
      <c r="U412" s="30">
        <f t="shared" si="215"/>
        <v>1.1754836605989014E-2</v>
      </c>
      <c r="V412" s="38">
        <f t="shared" si="216"/>
        <v>3.4634629480304307E-4</v>
      </c>
      <c r="W412" s="9">
        <f t="shared" si="222"/>
        <v>124285184</v>
      </c>
      <c r="X412" s="12">
        <f t="shared" si="222"/>
        <v>201.80001830000003</v>
      </c>
      <c r="Y412" s="11">
        <f t="shared" si="222"/>
        <v>0.51000022900000008</v>
      </c>
      <c r="Z412" s="7">
        <f t="shared" si="219"/>
        <v>210121600</v>
      </c>
      <c r="AA412" s="7">
        <f t="shared" si="219"/>
        <v>58.730041500000027</v>
      </c>
      <c r="AB412" s="7">
        <f t="shared" si="219"/>
        <v>1.9999980999999778E-2</v>
      </c>
    </row>
    <row r="413" spans="1:28" x14ac:dyDescent="0.25">
      <c r="A413" s="2">
        <v>409</v>
      </c>
      <c r="B413">
        <v>4</v>
      </c>
      <c r="C413">
        <v>4</v>
      </c>
      <c r="D413">
        <v>1</v>
      </c>
      <c r="E413">
        <v>2</v>
      </c>
      <c r="G413">
        <v>1031538880</v>
      </c>
      <c r="H413">
        <v>562.45001219999995</v>
      </c>
      <c r="I413">
        <v>4.1100001339999999</v>
      </c>
      <c r="J413" s="9">
        <f t="shared" si="197"/>
        <v>3778112</v>
      </c>
      <c r="L413" s="9">
        <f t="shared" si="224"/>
        <v>2.5800171000000773</v>
      </c>
      <c r="M413" s="9">
        <f t="shared" si="224"/>
        <v>0</v>
      </c>
      <c r="N413" s="29">
        <f t="shared" si="208"/>
        <v>804079040</v>
      </c>
      <c r="O413" s="30">
        <f t="shared" si="209"/>
        <v>1.1783457979512633</v>
      </c>
      <c r="P413" s="30">
        <f t="shared" si="210"/>
        <v>1.1783457979512633</v>
      </c>
      <c r="Q413" s="29">
        <f t="shared" si="211"/>
        <v>428.45001219999995</v>
      </c>
      <c r="R413" s="30">
        <f t="shared" si="212"/>
        <v>1.0657960502487562</v>
      </c>
      <c r="S413" s="30">
        <f t="shared" si="213"/>
        <v>1.0657960502487562</v>
      </c>
      <c r="T413" s="37">
        <f t="shared" si="214"/>
        <v>0.14000010499999993</v>
      </c>
      <c r="U413" s="30">
        <f t="shared" si="215"/>
        <v>1.1754836605989014E-2</v>
      </c>
      <c r="V413" s="38">
        <f t="shared" si="216"/>
        <v>3.4825896766169139E-4</v>
      </c>
      <c r="W413" s="9">
        <f t="shared" si="222"/>
        <v>126880576</v>
      </c>
      <c r="X413" s="12">
        <f t="shared" si="222"/>
        <v>204.88000489999996</v>
      </c>
      <c r="Y413" s="11">
        <f t="shared" si="222"/>
        <v>0.51000022900000008</v>
      </c>
      <c r="Z413" s="7">
        <f t="shared" si="219"/>
        <v>211213248</v>
      </c>
      <c r="AA413" s="7">
        <f t="shared" si="219"/>
        <v>58.580017099999964</v>
      </c>
      <c r="AB413" s="7">
        <f t="shared" si="219"/>
        <v>1.9999980999999778E-2</v>
      </c>
    </row>
    <row r="414" spans="1:28" x14ac:dyDescent="0.25">
      <c r="A414" s="2">
        <v>410</v>
      </c>
      <c r="B414">
        <v>4</v>
      </c>
      <c r="C414">
        <v>4</v>
      </c>
      <c r="D414">
        <v>1</v>
      </c>
      <c r="E414">
        <v>3</v>
      </c>
      <c r="G414">
        <v>999897856</v>
      </c>
      <c r="H414">
        <v>556.28997800000002</v>
      </c>
      <c r="I414">
        <v>4.1100001339999999</v>
      </c>
      <c r="J414" s="9">
        <f t="shared" si="197"/>
        <v>31641024</v>
      </c>
      <c r="L414" s="9">
        <f t="shared" si="224"/>
        <v>6.1600341999999273</v>
      </c>
      <c r="M414" s="9">
        <f t="shared" si="224"/>
        <v>0</v>
      </c>
      <c r="N414" s="29">
        <f t="shared" si="208"/>
        <v>779112256</v>
      </c>
      <c r="O414" s="30">
        <f t="shared" si="209"/>
        <v>1.1762727520876965</v>
      </c>
      <c r="P414" s="30">
        <f t="shared" si="210"/>
        <v>1.1762727520876965</v>
      </c>
      <c r="Q414" s="29">
        <f t="shared" si="211"/>
        <v>423.27998350000001</v>
      </c>
      <c r="R414" s="30">
        <f t="shared" si="212"/>
        <v>1.0607723755174903</v>
      </c>
      <c r="S414" s="30">
        <f t="shared" si="213"/>
        <v>1.0607723755174903</v>
      </c>
      <c r="T414" s="37">
        <f t="shared" si="214"/>
        <v>0.14000010499999993</v>
      </c>
      <c r="U414" s="30">
        <f t="shared" si="215"/>
        <v>1.1754836605989014E-2</v>
      </c>
      <c r="V414" s="38">
        <f t="shared" si="216"/>
        <v>3.5085109086796214E-4</v>
      </c>
      <c r="W414" s="9">
        <f t="shared" si="222"/>
        <v>118607552</v>
      </c>
      <c r="X414" s="12">
        <f t="shared" si="222"/>
        <v>193.51998900000001</v>
      </c>
      <c r="Y414" s="11">
        <f t="shared" si="222"/>
        <v>0.51000022900000008</v>
      </c>
      <c r="Z414" s="7">
        <f t="shared" ref="Z414:AB424" si="225">ABS(G414-G309)</f>
        <v>204289408</v>
      </c>
      <c r="AA414" s="7">
        <f t="shared" si="225"/>
        <v>57.739990200000022</v>
      </c>
      <c r="AB414" s="7">
        <f t="shared" si="225"/>
        <v>1.9999980999999778E-2</v>
      </c>
    </row>
    <row r="415" spans="1:28" x14ac:dyDescent="0.25">
      <c r="A415" s="2">
        <v>411</v>
      </c>
      <c r="B415">
        <v>4</v>
      </c>
      <c r="C415">
        <v>4</v>
      </c>
      <c r="D415">
        <v>1</v>
      </c>
      <c r="E415">
        <v>4</v>
      </c>
      <c r="G415">
        <v>913276416</v>
      </c>
      <c r="H415">
        <v>521.86999509999998</v>
      </c>
      <c r="I415">
        <v>4.1100001339999999</v>
      </c>
      <c r="J415" s="9">
        <f t="shared" si="197"/>
        <v>86621440</v>
      </c>
      <c r="L415" s="9">
        <f t="shared" si="224"/>
        <v>34.419982900000036</v>
      </c>
      <c r="M415" s="9">
        <f t="shared" si="224"/>
        <v>0</v>
      </c>
      <c r="N415" s="29">
        <f t="shared" si="208"/>
        <v>712131344</v>
      </c>
      <c r="O415" s="30">
        <f t="shared" si="209"/>
        <v>1.1801289104744592</v>
      </c>
      <c r="P415" s="30">
        <f t="shared" si="210"/>
        <v>1.1801289104744592</v>
      </c>
      <c r="Q415" s="29">
        <f t="shared" si="211"/>
        <v>395.70999139999998</v>
      </c>
      <c r="R415" s="30">
        <f t="shared" si="212"/>
        <v>1.0455241486860123</v>
      </c>
      <c r="S415" s="30">
        <f t="shared" si="213"/>
        <v>1.0455241486860123</v>
      </c>
      <c r="T415" s="37">
        <f t="shared" si="214"/>
        <v>0.14000010499999993</v>
      </c>
      <c r="U415" s="30">
        <f t="shared" si="215"/>
        <v>1.1754836605989014E-2</v>
      </c>
      <c r="V415" s="38">
        <f t="shared" si="216"/>
        <v>3.6990092182968636E-4</v>
      </c>
      <c r="W415" s="9">
        <f t="shared" si="222"/>
        <v>103184320</v>
      </c>
      <c r="X415" s="12">
        <f t="shared" si="222"/>
        <v>171.88000489999996</v>
      </c>
      <c r="Y415" s="11">
        <f t="shared" si="222"/>
        <v>0.51000022900000008</v>
      </c>
      <c r="Z415" s="7">
        <f t="shared" si="225"/>
        <v>186409152</v>
      </c>
      <c r="AA415" s="7">
        <f t="shared" si="225"/>
        <v>53.790008499999999</v>
      </c>
      <c r="AB415" s="7">
        <f t="shared" si="225"/>
        <v>1.9999980999999778E-2</v>
      </c>
    </row>
    <row r="416" spans="1:28" x14ac:dyDescent="0.25">
      <c r="A416" s="2">
        <v>412</v>
      </c>
      <c r="B416">
        <v>4</v>
      </c>
      <c r="C416">
        <v>4</v>
      </c>
      <c r="D416">
        <v>1</v>
      </c>
      <c r="E416">
        <v>5</v>
      </c>
      <c r="G416">
        <v>852794048</v>
      </c>
      <c r="H416">
        <v>481.17001340000002</v>
      </c>
      <c r="I416">
        <v>4.1100001339999999</v>
      </c>
      <c r="J416" s="9">
        <f t="shared" si="197"/>
        <v>60482368</v>
      </c>
      <c r="L416" s="9">
        <f t="shared" si="224"/>
        <v>40.699981699999967</v>
      </c>
      <c r="M416" s="9">
        <f t="shared" si="224"/>
        <v>0</v>
      </c>
      <c r="N416" s="29">
        <f t="shared" si="208"/>
        <v>666523952</v>
      </c>
      <c r="O416" s="30">
        <f t="shared" si="209"/>
        <v>1.1927553345259814</v>
      </c>
      <c r="P416" s="30">
        <f t="shared" si="210"/>
        <v>1.1927553345259814</v>
      </c>
      <c r="Q416" s="29">
        <f t="shared" si="211"/>
        <v>364.63001250000002</v>
      </c>
      <c r="R416" s="30">
        <f t="shared" si="212"/>
        <v>1.0429323542248232</v>
      </c>
      <c r="S416" s="30">
        <f t="shared" si="213"/>
        <v>1.0429323542248232</v>
      </c>
      <c r="T416" s="37">
        <f t="shared" si="214"/>
        <v>0.14000010499999993</v>
      </c>
      <c r="U416" s="30">
        <f t="shared" si="215"/>
        <v>1.1754836605989014E-2</v>
      </c>
      <c r="V416" s="38">
        <f t="shared" si="216"/>
        <v>4.0043505497061176E-4</v>
      </c>
      <c r="W416" s="9">
        <f t="shared" si="222"/>
        <v>100624704</v>
      </c>
      <c r="X416" s="12">
        <f t="shared" si="222"/>
        <v>163.90002440000001</v>
      </c>
      <c r="Y416" s="11">
        <f t="shared" si="222"/>
        <v>0.51000022900000008</v>
      </c>
      <c r="Z416" s="7">
        <f t="shared" si="225"/>
        <v>174566976</v>
      </c>
      <c r="AA416" s="7">
        <f t="shared" si="225"/>
        <v>50.110015800000042</v>
      </c>
      <c r="AB416" s="7">
        <f t="shared" si="225"/>
        <v>1.9999980999999778E-2</v>
      </c>
    </row>
    <row r="417" spans="1:28" x14ac:dyDescent="0.25">
      <c r="A417" s="2">
        <v>413</v>
      </c>
      <c r="B417">
        <v>4</v>
      </c>
      <c r="C417">
        <v>4</v>
      </c>
      <c r="D417">
        <v>1</v>
      </c>
      <c r="E417">
        <v>6</v>
      </c>
      <c r="G417">
        <v>695791680</v>
      </c>
      <c r="H417">
        <v>400.17999270000001</v>
      </c>
      <c r="I417">
        <v>4.1100001339999999</v>
      </c>
      <c r="J417" s="9">
        <f t="shared" si="197"/>
        <v>157002368</v>
      </c>
      <c r="L417" s="9">
        <f t="shared" si="224"/>
        <v>80.990020700000002</v>
      </c>
      <c r="M417" s="9">
        <f t="shared" si="224"/>
        <v>0</v>
      </c>
      <c r="N417" s="29">
        <f t="shared" si="208"/>
        <v>546114992</v>
      </c>
      <c r="O417" s="30">
        <f t="shared" si="209"/>
        <v>1.2162103070230059</v>
      </c>
      <c r="P417" s="30">
        <f t="shared" si="210"/>
        <v>1.2162103070230059</v>
      </c>
      <c r="Q417" s="29">
        <f t="shared" si="211"/>
        <v>300.94998934</v>
      </c>
      <c r="R417" s="30">
        <f t="shared" si="212"/>
        <v>1.0109509192435577</v>
      </c>
      <c r="S417" s="30">
        <f t="shared" si="213"/>
        <v>1.0109509192435577</v>
      </c>
      <c r="T417" s="37">
        <f t="shared" si="214"/>
        <v>0.14000010499999993</v>
      </c>
      <c r="U417" s="30">
        <f t="shared" si="215"/>
        <v>1.1754836605989014E-2</v>
      </c>
      <c r="V417" s="38">
        <f t="shared" si="216"/>
        <v>4.7028822016021593E-4</v>
      </c>
      <c r="W417" s="9">
        <f t="shared" si="222"/>
        <v>79510784</v>
      </c>
      <c r="X417" s="12">
        <f t="shared" si="222"/>
        <v>125.9100037</v>
      </c>
      <c r="Y417" s="11">
        <f t="shared" si="222"/>
        <v>0.51000022900000008</v>
      </c>
      <c r="Z417" s="7">
        <f t="shared" si="225"/>
        <v>143068928</v>
      </c>
      <c r="AA417" s="7">
        <f t="shared" si="225"/>
        <v>41.549987799999997</v>
      </c>
      <c r="AB417" s="7">
        <f t="shared" si="225"/>
        <v>1.9999980999999778E-2</v>
      </c>
    </row>
    <row r="418" spans="1:28" x14ac:dyDescent="0.25">
      <c r="A418" s="2">
        <v>414</v>
      </c>
      <c r="B418">
        <v>4</v>
      </c>
      <c r="C418">
        <v>4</v>
      </c>
      <c r="D418">
        <v>2</v>
      </c>
      <c r="E418">
        <v>0</v>
      </c>
      <c r="G418">
        <v>2775362048</v>
      </c>
      <c r="H418">
        <v>-9999.9902340000008</v>
      </c>
      <c r="I418">
        <v>4.4499998090000004</v>
      </c>
      <c r="N418" s="29">
        <f t="shared" si="208"/>
        <v>1741465664</v>
      </c>
      <c r="O418" s="30">
        <f t="shared" si="209"/>
        <v>0.56145718628092878</v>
      </c>
      <c r="P418" s="30">
        <f t="shared" si="210"/>
        <v>1.1229143725618576</v>
      </c>
      <c r="Q418" s="29">
        <f t="shared" si="211"/>
        <v>10562.900207100001</v>
      </c>
      <c r="R418" s="30">
        <f t="shared" si="212"/>
        <v>6.2549375636563944</v>
      </c>
      <c r="S418" s="30">
        <f t="shared" si="213"/>
        <v>12.509875127312789</v>
      </c>
      <c r="T418" s="37">
        <f t="shared" si="214"/>
        <v>0.3399996750000005</v>
      </c>
      <c r="U418" s="30">
        <f t="shared" si="215"/>
        <v>2.757499301823628E-2</v>
      </c>
      <c r="V418" s="38">
        <f t="shared" si="216"/>
        <v>4.0266909600433282E-4</v>
      </c>
      <c r="W418" s="9">
        <f t="shared" si="222"/>
        <v>169097984</v>
      </c>
      <c r="X418" s="12">
        <f t="shared" si="222"/>
        <v>0</v>
      </c>
      <c r="Y418" s="11">
        <f t="shared" si="222"/>
        <v>0.52999973300000036</v>
      </c>
      <c r="Z418" s="7">
        <f t="shared" si="225"/>
        <v>542103296</v>
      </c>
      <c r="AA418" s="7">
        <f t="shared" si="225"/>
        <v>0</v>
      </c>
      <c r="AB418" s="7">
        <f t="shared" si="225"/>
        <v>3.9999962000000444E-2</v>
      </c>
    </row>
    <row r="419" spans="1:28" x14ac:dyDescent="0.25">
      <c r="A419" s="2">
        <v>415</v>
      </c>
      <c r="B419">
        <v>4</v>
      </c>
      <c r="C419">
        <v>4</v>
      </c>
      <c r="D419">
        <v>2</v>
      </c>
      <c r="E419">
        <v>1</v>
      </c>
      <c r="G419">
        <v>2754782720</v>
      </c>
      <c r="H419">
        <v>-9999.9902340000008</v>
      </c>
      <c r="I419">
        <v>4.4499998090000004</v>
      </c>
      <c r="J419" s="9">
        <f t="shared" ref="J419" si="226">ABS(G419-G418)</f>
        <v>20579328</v>
      </c>
      <c r="L419" s="9">
        <f t="shared" ref="L419:M424" si="227">ABS(H419-H418)</f>
        <v>0</v>
      </c>
      <c r="M419" s="9">
        <f t="shared" si="227"/>
        <v>0</v>
      </c>
      <c r="N419" s="29">
        <f t="shared" si="208"/>
        <v>1727021952</v>
      </c>
      <c r="O419" s="30">
        <f t="shared" si="209"/>
        <v>0.56012449776639073</v>
      </c>
      <c r="P419" s="30">
        <f t="shared" si="210"/>
        <v>1.1202489955327815</v>
      </c>
      <c r="Q419" s="29">
        <f t="shared" si="211"/>
        <v>10565.020263300001</v>
      </c>
      <c r="R419" s="30">
        <f t="shared" si="212"/>
        <v>6.2327190387790603</v>
      </c>
      <c r="S419" s="30">
        <f t="shared" si="213"/>
        <v>12.465438077558121</v>
      </c>
      <c r="T419" s="37">
        <f t="shared" si="214"/>
        <v>0.3399996750000005</v>
      </c>
      <c r="U419" s="30">
        <f t="shared" si="215"/>
        <v>2.757499301823628E-2</v>
      </c>
      <c r="V419" s="38">
        <f t="shared" si="216"/>
        <v>4.0115823628137271E-4</v>
      </c>
      <c r="W419" s="9">
        <f t="shared" si="222"/>
        <v>164079616</v>
      </c>
      <c r="X419" s="12">
        <f t="shared" si="222"/>
        <v>0</v>
      </c>
      <c r="Y419" s="11">
        <f t="shared" si="222"/>
        <v>0.52999973300000036</v>
      </c>
      <c r="Z419" s="7">
        <f t="shared" si="225"/>
        <v>537349120</v>
      </c>
      <c r="AA419" s="7">
        <f t="shared" si="225"/>
        <v>0</v>
      </c>
      <c r="AB419" s="7">
        <f t="shared" si="225"/>
        <v>3.9999962000000444E-2</v>
      </c>
    </row>
    <row r="420" spans="1:28" x14ac:dyDescent="0.25">
      <c r="A420" s="2">
        <v>416</v>
      </c>
      <c r="B420">
        <v>4</v>
      </c>
      <c r="C420">
        <v>4</v>
      </c>
      <c r="D420">
        <v>2</v>
      </c>
      <c r="E420">
        <v>2</v>
      </c>
      <c r="G420">
        <v>2768443136</v>
      </c>
      <c r="H420">
        <v>-9999.9902340000008</v>
      </c>
      <c r="I420">
        <v>4.4499998090000004</v>
      </c>
      <c r="J420" s="9">
        <f t="shared" si="199"/>
        <v>13660416</v>
      </c>
      <c r="L420" s="9">
        <f t="shared" si="227"/>
        <v>0</v>
      </c>
      <c r="M420" s="9">
        <f t="shared" si="227"/>
        <v>0</v>
      </c>
      <c r="N420" s="29">
        <f t="shared" si="208"/>
        <v>1736904256</v>
      </c>
      <c r="O420" s="30">
        <f t="shared" si="209"/>
        <v>0.56126637256109368</v>
      </c>
      <c r="P420" s="30">
        <f t="shared" si="210"/>
        <v>1.1225327451221874</v>
      </c>
      <c r="Q420" s="29">
        <f t="shared" si="211"/>
        <v>10562.4402462</v>
      </c>
      <c r="R420" s="30">
        <f t="shared" si="212"/>
        <v>6.2597801387335457</v>
      </c>
      <c r="S420" s="30">
        <f t="shared" si="213"/>
        <v>12.519560277467091</v>
      </c>
      <c r="T420" s="37">
        <f t="shared" si="214"/>
        <v>0.3399996750000005</v>
      </c>
      <c r="U420" s="30">
        <f t="shared" si="215"/>
        <v>2.757499301823628E-2</v>
      </c>
      <c r="V420" s="38">
        <f t="shared" si="216"/>
        <v>4.0299839111640148E-4</v>
      </c>
      <c r="W420" s="9">
        <f t="shared" si="222"/>
        <v>168265472</v>
      </c>
      <c r="X420" s="12">
        <f t="shared" si="222"/>
        <v>0</v>
      </c>
      <c r="Y420" s="11">
        <f t="shared" si="222"/>
        <v>0.52999973300000036</v>
      </c>
      <c r="Z420" s="7">
        <f t="shared" si="225"/>
        <v>540683008</v>
      </c>
      <c r="AA420" s="7">
        <f t="shared" si="225"/>
        <v>0</v>
      </c>
      <c r="AB420" s="7">
        <f t="shared" si="225"/>
        <v>3.9999962000000444E-2</v>
      </c>
    </row>
    <row r="421" spans="1:28" x14ac:dyDescent="0.25">
      <c r="A421" s="2">
        <v>417</v>
      </c>
      <c r="B421">
        <v>4</v>
      </c>
      <c r="C421">
        <v>4</v>
      </c>
      <c r="D421">
        <v>2</v>
      </c>
      <c r="E421">
        <v>3</v>
      </c>
      <c r="G421">
        <v>2676181248</v>
      </c>
      <c r="H421">
        <v>-9999.9902340000008</v>
      </c>
      <c r="I421">
        <v>4.4499998090000004</v>
      </c>
      <c r="J421" s="9">
        <f t="shared" si="199"/>
        <v>92261888</v>
      </c>
      <c r="L421" s="9">
        <f t="shared" si="227"/>
        <v>0</v>
      </c>
      <c r="M421" s="9">
        <f t="shared" si="227"/>
        <v>0</v>
      </c>
      <c r="N421" s="29">
        <f t="shared" si="208"/>
        <v>1676283392</v>
      </c>
      <c r="O421" s="30">
        <f t="shared" si="209"/>
        <v>0.55881821059396952</v>
      </c>
      <c r="P421" s="30">
        <f t="shared" si="210"/>
        <v>1.117636421187939</v>
      </c>
      <c r="Q421" s="29">
        <f t="shared" si="211"/>
        <v>10556.280212000001</v>
      </c>
      <c r="R421" s="30">
        <f t="shared" si="212"/>
        <v>6.325406190701977</v>
      </c>
      <c r="S421" s="30">
        <f t="shared" si="213"/>
        <v>12.650812381403954</v>
      </c>
      <c r="T421" s="37">
        <f t="shared" si="214"/>
        <v>0.3399996750000005</v>
      </c>
      <c r="U421" s="30">
        <f t="shared" si="215"/>
        <v>2.757499301823628E-2</v>
      </c>
      <c r="V421" s="38">
        <f t="shared" si="216"/>
        <v>4.0746096274270886E-4</v>
      </c>
      <c r="W421" s="9">
        <f t="shared" si="222"/>
        <v>155554560</v>
      </c>
      <c r="X421" s="12">
        <f t="shared" si="222"/>
        <v>0</v>
      </c>
      <c r="Y421" s="11">
        <f t="shared" si="222"/>
        <v>0.52999973300000036</v>
      </c>
      <c r="Z421" s="7">
        <f t="shared" si="225"/>
        <v>521831936</v>
      </c>
      <c r="AA421" s="7">
        <f t="shared" si="225"/>
        <v>0</v>
      </c>
      <c r="AB421" s="7">
        <f t="shared" si="225"/>
        <v>3.9999962000000444E-2</v>
      </c>
    </row>
    <row r="422" spans="1:28" x14ac:dyDescent="0.25">
      <c r="A422" s="2">
        <v>418</v>
      </c>
      <c r="B422">
        <v>4</v>
      </c>
      <c r="C422">
        <v>4</v>
      </c>
      <c r="D422">
        <v>2</v>
      </c>
      <c r="E422">
        <v>4</v>
      </c>
      <c r="G422">
        <v>2440260864</v>
      </c>
      <c r="H422">
        <v>-9999.9902340000008</v>
      </c>
      <c r="I422">
        <v>4.4499998090000004</v>
      </c>
      <c r="J422" s="9">
        <f t="shared" si="199"/>
        <v>235920384</v>
      </c>
      <c r="L422" s="9">
        <f t="shared" si="227"/>
        <v>0</v>
      </c>
      <c r="M422" s="9">
        <f t="shared" si="227"/>
        <v>0</v>
      </c>
      <c r="N422" s="29">
        <f t="shared" si="208"/>
        <v>1526984448</v>
      </c>
      <c r="O422" s="30">
        <f t="shared" si="209"/>
        <v>0.55732832588551151</v>
      </c>
      <c r="P422" s="30">
        <f t="shared" si="210"/>
        <v>1.114656651771023</v>
      </c>
      <c r="Q422" s="29">
        <f t="shared" si="211"/>
        <v>10521.860229100001</v>
      </c>
      <c r="R422" s="30">
        <f t="shared" si="212"/>
        <v>6.7206138999450857</v>
      </c>
      <c r="S422" s="30">
        <f t="shared" si="213"/>
        <v>13.441227799890171</v>
      </c>
      <c r="T422" s="37">
        <f t="shared" si="214"/>
        <v>0.3399996750000005</v>
      </c>
      <c r="U422" s="30">
        <f t="shared" si="215"/>
        <v>2.757499301823628E-2</v>
      </c>
      <c r="V422" s="38">
        <f t="shared" si="216"/>
        <v>4.3433508752800941E-4</v>
      </c>
      <c r="W422" s="9">
        <f t="shared" si="222"/>
        <v>134704128</v>
      </c>
      <c r="X422" s="12">
        <f t="shared" si="222"/>
        <v>0</v>
      </c>
      <c r="Y422" s="11">
        <f t="shared" si="222"/>
        <v>0.52999973300000036</v>
      </c>
      <c r="Z422" s="7">
        <f t="shared" si="225"/>
        <v>475821824</v>
      </c>
      <c r="AA422" s="7">
        <f t="shared" si="225"/>
        <v>0</v>
      </c>
      <c r="AB422" s="7">
        <f t="shared" si="225"/>
        <v>3.9999962000000444E-2</v>
      </c>
    </row>
    <row r="423" spans="1:28" x14ac:dyDescent="0.25">
      <c r="A423" s="2">
        <v>419</v>
      </c>
      <c r="B423">
        <v>4</v>
      </c>
      <c r="C423">
        <v>4</v>
      </c>
      <c r="D423">
        <v>2</v>
      </c>
      <c r="E423">
        <v>5</v>
      </c>
      <c r="G423">
        <v>2284357888</v>
      </c>
      <c r="H423">
        <v>-9999.9902340000008</v>
      </c>
      <c r="I423">
        <v>4.4499998090000004</v>
      </c>
      <c r="J423" s="9">
        <f t="shared" si="199"/>
        <v>155902976</v>
      </c>
      <c r="L423" s="9">
        <f t="shared" si="227"/>
        <v>0</v>
      </c>
      <c r="M423" s="9">
        <f t="shared" si="227"/>
        <v>0</v>
      </c>
      <c r="N423" s="29">
        <f t="shared" si="208"/>
        <v>1431563840</v>
      </c>
      <c r="O423" s="30">
        <f t="shared" si="209"/>
        <v>0.55955825182619789</v>
      </c>
      <c r="P423" s="30">
        <f t="shared" si="210"/>
        <v>1.1191165036523958</v>
      </c>
      <c r="Q423" s="29">
        <f t="shared" si="211"/>
        <v>10481.160247400001</v>
      </c>
      <c r="R423" s="30">
        <f t="shared" si="212"/>
        <v>7.2608848955063889</v>
      </c>
      <c r="S423" s="30">
        <f t="shared" si="213"/>
        <v>14.521769791012778</v>
      </c>
      <c r="T423" s="37">
        <f t="shared" si="214"/>
        <v>0.3399996750000005</v>
      </c>
      <c r="U423" s="30">
        <f t="shared" si="215"/>
        <v>2.757499301823628E-2</v>
      </c>
      <c r="V423" s="38">
        <f t="shared" si="216"/>
        <v>4.7107351598731263E-4</v>
      </c>
      <c r="W423" s="9">
        <f t="shared" si="222"/>
        <v>131460864</v>
      </c>
      <c r="X423" s="12">
        <f t="shared" si="222"/>
        <v>0</v>
      </c>
      <c r="Y423" s="11">
        <f t="shared" si="222"/>
        <v>0.52999973300000036</v>
      </c>
      <c r="Z423" s="7">
        <f t="shared" si="225"/>
        <v>445250432</v>
      </c>
      <c r="AA423" s="7">
        <f t="shared" si="225"/>
        <v>0</v>
      </c>
      <c r="AB423" s="7">
        <f t="shared" si="225"/>
        <v>3.9999962000000444E-2</v>
      </c>
    </row>
    <row r="424" spans="1:28" x14ac:dyDescent="0.25">
      <c r="A424" s="2">
        <v>420</v>
      </c>
      <c r="B424">
        <v>4</v>
      </c>
      <c r="C424">
        <v>4</v>
      </c>
      <c r="D424">
        <v>2</v>
      </c>
      <c r="E424">
        <v>6</v>
      </c>
      <c r="G424">
        <v>1868889728</v>
      </c>
      <c r="H424">
        <v>-9999.9902340000008</v>
      </c>
      <c r="I424">
        <v>4.4499998090000004</v>
      </c>
      <c r="J424" s="9">
        <f t="shared" si="199"/>
        <v>415468160</v>
      </c>
      <c r="L424" s="9">
        <f t="shared" si="227"/>
        <v>0</v>
      </c>
      <c r="M424" s="9">
        <f t="shared" si="227"/>
        <v>0</v>
      </c>
      <c r="N424" s="29">
        <f t="shared" si="208"/>
        <v>1173098048</v>
      </c>
      <c r="O424" s="30">
        <f t="shared" si="209"/>
        <v>0.56199677849937302</v>
      </c>
      <c r="P424" s="30">
        <f t="shared" si="210"/>
        <v>1.123993556998746</v>
      </c>
      <c r="Q424" s="29">
        <f t="shared" si="211"/>
        <v>10400.1702267</v>
      </c>
      <c r="R424" s="30">
        <f t="shared" si="212"/>
        <v>8.662910370681308</v>
      </c>
      <c r="S424" s="30">
        <f t="shared" si="213"/>
        <v>17.325820741362616</v>
      </c>
      <c r="T424" s="37">
        <f t="shared" si="214"/>
        <v>0.3399996750000005</v>
      </c>
      <c r="U424" s="30">
        <f t="shared" si="215"/>
        <v>2.757499301823628E-2</v>
      </c>
      <c r="V424" s="38">
        <f t="shared" si="216"/>
        <v>5.6641125027438266E-4</v>
      </c>
      <c r="W424" s="9">
        <f t="shared" si="222"/>
        <v>105795584</v>
      </c>
      <c r="X424" s="12">
        <f t="shared" si="222"/>
        <v>10898.400207100001</v>
      </c>
      <c r="Y424" s="11">
        <f t="shared" si="222"/>
        <v>0.52999973300000036</v>
      </c>
      <c r="Z424" s="7">
        <f t="shared" si="225"/>
        <v>365162880</v>
      </c>
      <c r="AA424" s="7">
        <f t="shared" si="225"/>
        <v>0</v>
      </c>
      <c r="AB424" s="7">
        <f t="shared" si="225"/>
        <v>3.9999962000000444E-2</v>
      </c>
    </row>
    <row r="425" spans="1:28" x14ac:dyDescent="0.25">
      <c r="A425" s="2"/>
      <c r="N425" s="29"/>
      <c r="O425" s="31"/>
      <c r="P425" s="31"/>
      <c r="Q425" s="29"/>
      <c r="R425" s="31"/>
      <c r="S425" s="31"/>
      <c r="T425" s="37"/>
      <c r="U425" s="31"/>
      <c r="V425" s="32"/>
      <c r="X425" s="12"/>
      <c r="Y425" s="11"/>
      <c r="Z425" s="7"/>
      <c r="AA425" s="7"/>
      <c r="AB425" s="7"/>
    </row>
    <row r="426" spans="1:28" x14ac:dyDescent="0.25">
      <c r="A426" s="2"/>
      <c r="N426" s="29"/>
      <c r="O426" s="31"/>
      <c r="P426" s="31"/>
      <c r="Q426" s="29"/>
      <c r="R426" s="31"/>
      <c r="S426" s="31"/>
      <c r="T426" s="37"/>
      <c r="U426" s="31"/>
      <c r="V426" s="32"/>
      <c r="X426" s="12"/>
      <c r="Y426" s="11"/>
      <c r="Z426" s="7"/>
      <c r="AA426" s="7"/>
      <c r="AB426" s="7"/>
    </row>
    <row r="427" spans="1:28" ht="15.75" thickBot="1" x14ac:dyDescent="0.3">
      <c r="D427" s="48" t="s">
        <v>17</v>
      </c>
      <c r="E427" s="48"/>
      <c r="F427" s="48"/>
      <c r="G427" s="48"/>
      <c r="H427" s="48"/>
      <c r="I427" s="48"/>
      <c r="J427" s="14">
        <f>AVERAGE(J6:J424)</f>
        <v>32105979.965944443</v>
      </c>
      <c r="K427" s="14"/>
      <c r="L427" s="15">
        <f>ROUND(AVERAGE(L6:L424),0)</f>
        <v>128</v>
      </c>
      <c r="M427" s="15">
        <f>ROUND(AVERAGE(M6:M424),0)</f>
        <v>0</v>
      </c>
      <c r="N427" s="33">
        <f>AVERAGE(N5:N424)</f>
        <v>719368085.33900714</v>
      </c>
      <c r="O427" s="17">
        <f>AVERAGE(O5:O424)</f>
        <v>2.0863445154493516</v>
      </c>
      <c r="P427" s="17">
        <f t="shared" ref="N427:V427" si="228">AVERAGE(P5:P424)</f>
        <v>2.6021247436644264</v>
      </c>
      <c r="Q427" s="33">
        <f t="shared" si="228"/>
        <v>2372.6356199716902</v>
      </c>
      <c r="R427" s="17">
        <f t="shared" si="228"/>
        <v>1.5835864638239574</v>
      </c>
      <c r="S427" s="17">
        <f t="shared" si="228"/>
        <v>2.9918071563963133</v>
      </c>
      <c r="T427" s="39">
        <f t="shared" si="228"/>
        <v>0.26721550016707019</v>
      </c>
      <c r="U427" s="17">
        <f t="shared" si="228"/>
        <v>2.6111408950938785E-2</v>
      </c>
      <c r="V427" s="34">
        <f t="shared" si="228"/>
        <v>1.3542841869362472E-3</v>
      </c>
      <c r="W427" s="14">
        <f>AVERAGE(W6:W424)</f>
        <v>243667125.52037594</v>
      </c>
      <c r="X427" s="14">
        <f t="shared" ref="X427:Y427" si="229">AVERAGE(X6:X424)</f>
        <v>1354.3258929998597</v>
      </c>
      <c r="Y427" s="18">
        <f t="shared" si="229"/>
        <v>0.63609023561654254</v>
      </c>
      <c r="Z427" s="16">
        <f>AVERAGE(Z5:Z424)</f>
        <v>129419978.29444444</v>
      </c>
      <c r="AA427" s="16">
        <f>AVERAGE(AA5:AA424)</f>
        <v>81.931588692012738</v>
      </c>
      <c r="AB427" s="17">
        <f>AVERAGE(AB5:AB424)</f>
        <v>1.6857152463492019E-2</v>
      </c>
    </row>
    <row r="428" spans="1:28" ht="15.75" thickTop="1" x14ac:dyDescent="0.25">
      <c r="J428" s="13"/>
      <c r="K428" s="13"/>
      <c r="L428" s="13"/>
      <c r="M428" s="13"/>
      <c r="N428" s="35"/>
      <c r="O428" s="13"/>
      <c r="P428" s="13"/>
      <c r="Q428" s="35"/>
      <c r="R428" s="13"/>
      <c r="S428" s="13"/>
      <c r="T428" s="35"/>
      <c r="U428" s="13"/>
      <c r="V428" s="36"/>
      <c r="W428" s="13"/>
      <c r="X428" s="13"/>
      <c r="Y428" s="13"/>
      <c r="Z428" s="13"/>
      <c r="AA428" s="13"/>
      <c r="AB428" s="13"/>
    </row>
    <row r="429" spans="1:28" x14ac:dyDescent="0.25">
      <c r="J429" s="13"/>
      <c r="K429" s="13"/>
      <c r="L429" s="13"/>
      <c r="M429" s="13"/>
      <c r="N429" s="35"/>
      <c r="O429" s="13"/>
      <c r="P429" s="13"/>
      <c r="Q429" s="35"/>
      <c r="R429" s="13"/>
      <c r="S429" s="13"/>
      <c r="T429" s="35"/>
      <c r="U429" s="13"/>
      <c r="V429" s="36"/>
      <c r="W429" s="13"/>
      <c r="X429" s="13"/>
      <c r="Y429" s="13"/>
      <c r="Z429" s="13"/>
      <c r="AA429" s="13"/>
      <c r="AB429" s="13"/>
    </row>
    <row r="430" spans="1:28" x14ac:dyDescent="0.25">
      <c r="J430" s="13"/>
      <c r="K430" s="13"/>
      <c r="L430" s="13"/>
      <c r="M430" s="13"/>
      <c r="N430" s="35"/>
      <c r="O430" s="13"/>
      <c r="P430" s="13"/>
      <c r="Q430" s="35"/>
      <c r="R430" s="13"/>
      <c r="S430" s="13"/>
      <c r="T430" s="35"/>
      <c r="U430" s="13"/>
      <c r="V430" s="36"/>
      <c r="W430" s="13"/>
      <c r="X430" s="13"/>
      <c r="Y430" s="13"/>
      <c r="Z430" s="13"/>
      <c r="AA430" s="13"/>
      <c r="AB430" s="13"/>
    </row>
    <row r="431" spans="1:28" x14ac:dyDescent="0.25">
      <c r="J431" s="13"/>
      <c r="K431" s="13"/>
      <c r="L431" s="13"/>
      <c r="M431" s="13"/>
      <c r="N431" s="35"/>
      <c r="O431" s="13"/>
      <c r="P431" s="13"/>
      <c r="Q431" s="35"/>
      <c r="R431" s="13"/>
      <c r="S431" s="13"/>
      <c r="T431" s="35"/>
      <c r="U431" s="13"/>
      <c r="V431" s="36"/>
      <c r="W431" s="13"/>
      <c r="X431" s="13"/>
      <c r="Y431" s="13"/>
      <c r="Z431" s="13"/>
      <c r="AA431" s="13"/>
      <c r="AB431" s="13"/>
    </row>
    <row r="432" spans="1:28" x14ac:dyDescent="0.25">
      <c r="J432" s="13"/>
      <c r="K432" s="13"/>
      <c r="L432" s="13"/>
      <c r="M432" s="13"/>
      <c r="N432" s="35"/>
      <c r="O432" s="13"/>
      <c r="P432" s="13"/>
      <c r="Q432" s="35"/>
      <c r="R432" s="13"/>
      <c r="S432" s="13"/>
      <c r="T432" s="35"/>
      <c r="U432" s="13"/>
      <c r="V432" s="36"/>
      <c r="W432" s="13"/>
      <c r="X432" s="13"/>
      <c r="Y432" s="13"/>
      <c r="Z432" s="13"/>
      <c r="AA432" s="13"/>
      <c r="AB432" s="13"/>
    </row>
    <row r="433" spans="10:28" x14ac:dyDescent="0.25">
      <c r="J433" s="13"/>
      <c r="K433" s="13"/>
      <c r="L433" s="13"/>
      <c r="M433" s="13"/>
      <c r="N433" s="35"/>
      <c r="O433" s="13"/>
      <c r="P433" s="13"/>
      <c r="Q433" s="35"/>
      <c r="R433" s="13"/>
      <c r="S433" s="13"/>
      <c r="T433" s="35"/>
      <c r="U433" s="13"/>
      <c r="V433" s="36"/>
      <c r="W433" s="13"/>
      <c r="X433" s="13"/>
      <c r="Y433" s="13"/>
      <c r="Z433" s="13"/>
      <c r="AA433" s="13"/>
      <c r="AB433" s="13"/>
    </row>
    <row r="434" spans="10:28" x14ac:dyDescent="0.25">
      <c r="J434" s="13"/>
      <c r="K434" s="13"/>
      <c r="L434" s="13"/>
      <c r="M434" s="13"/>
      <c r="N434" s="35"/>
      <c r="O434" s="13"/>
      <c r="P434" s="13"/>
      <c r="Q434" s="35"/>
      <c r="R434" s="13"/>
      <c r="S434" s="13"/>
      <c r="T434" s="35"/>
      <c r="U434" s="13"/>
      <c r="V434" s="36"/>
      <c r="W434" s="13"/>
      <c r="X434" s="13"/>
      <c r="Y434" s="13"/>
      <c r="Z434" s="13"/>
      <c r="AA434" s="13"/>
      <c r="AB434" s="13"/>
    </row>
    <row r="435" spans="10:28" x14ac:dyDescent="0.25">
      <c r="J435" s="13"/>
      <c r="K435" s="13"/>
      <c r="L435" s="13"/>
      <c r="M435" s="13"/>
      <c r="N435" s="35"/>
      <c r="O435" s="13"/>
      <c r="P435" s="13"/>
      <c r="Q435" s="35"/>
      <c r="R435" s="13"/>
      <c r="S435" s="13"/>
      <c r="T435" s="35"/>
      <c r="U435" s="13"/>
      <c r="V435" s="36"/>
      <c r="W435" s="13"/>
      <c r="X435" s="13"/>
      <c r="Y435" s="13"/>
      <c r="Z435" s="13"/>
      <c r="AA435" s="13"/>
      <c r="AB435" s="13"/>
    </row>
    <row r="436" spans="10:28" x14ac:dyDescent="0.25">
      <c r="J436" s="13"/>
      <c r="K436" s="13"/>
      <c r="L436" s="13"/>
      <c r="M436" s="13"/>
      <c r="N436" s="35"/>
      <c r="O436" s="13"/>
      <c r="P436" s="13"/>
      <c r="Q436" s="35"/>
      <c r="R436" s="13"/>
      <c r="S436" s="13"/>
      <c r="T436" s="35"/>
      <c r="U436" s="13"/>
      <c r="V436" s="36"/>
      <c r="W436" s="13"/>
      <c r="X436" s="13"/>
      <c r="Y436" s="13"/>
      <c r="Z436" s="13"/>
      <c r="AA436" s="13"/>
      <c r="AB436" s="13"/>
    </row>
    <row r="437" spans="10:28" x14ac:dyDescent="0.25">
      <c r="J437" s="13"/>
      <c r="K437" s="13"/>
      <c r="L437" s="13"/>
      <c r="M437" s="13"/>
      <c r="N437" s="35"/>
      <c r="O437" s="13"/>
      <c r="P437" s="13"/>
      <c r="Q437" s="35"/>
      <c r="R437" s="13"/>
      <c r="S437" s="13"/>
      <c r="T437" s="35"/>
      <c r="U437" s="13"/>
      <c r="V437" s="36"/>
      <c r="W437" s="13"/>
      <c r="X437" s="13"/>
      <c r="Y437" s="13"/>
      <c r="Z437" s="13"/>
      <c r="AA437" s="13"/>
      <c r="AB437" s="13"/>
    </row>
    <row r="438" spans="10:28" x14ac:dyDescent="0.25">
      <c r="J438" s="13"/>
      <c r="K438" s="13"/>
      <c r="L438" s="13"/>
      <c r="M438" s="13"/>
      <c r="N438" s="35"/>
      <c r="O438" s="13"/>
      <c r="P438" s="13"/>
      <c r="Q438" s="35"/>
      <c r="R438" s="13"/>
      <c r="S438" s="13"/>
      <c r="T438" s="35"/>
      <c r="U438" s="13"/>
      <c r="V438" s="36"/>
      <c r="W438" s="13"/>
      <c r="X438" s="13"/>
      <c r="Y438" s="13"/>
      <c r="Z438" s="13"/>
      <c r="AA438" s="13"/>
      <c r="AB438" s="13"/>
    </row>
    <row r="439" spans="10:28" x14ac:dyDescent="0.25">
      <c r="J439" s="13"/>
      <c r="K439" s="13"/>
      <c r="L439" s="13"/>
      <c r="M439" s="13"/>
      <c r="N439" s="35"/>
      <c r="O439" s="13"/>
      <c r="P439" s="13"/>
      <c r="Q439" s="35"/>
      <c r="R439" s="13"/>
      <c r="S439" s="13"/>
      <c r="T439" s="35"/>
      <c r="U439" s="13"/>
      <c r="V439" s="36"/>
      <c r="W439" s="13"/>
      <c r="X439" s="13"/>
      <c r="Y439" s="13"/>
      <c r="Z439" s="13"/>
      <c r="AA439" s="13"/>
      <c r="AB439" s="13"/>
    </row>
    <row r="440" spans="10:28" x14ac:dyDescent="0.25">
      <c r="J440" s="13"/>
      <c r="K440" s="13"/>
      <c r="L440" s="13"/>
      <c r="M440" s="13"/>
      <c r="N440" s="35"/>
      <c r="O440" s="13"/>
      <c r="P440" s="13"/>
      <c r="Q440" s="35"/>
      <c r="R440" s="13"/>
      <c r="S440" s="13"/>
      <c r="T440" s="35"/>
      <c r="U440" s="13"/>
      <c r="V440" s="36"/>
      <c r="W440" s="13"/>
      <c r="X440" s="13"/>
      <c r="Y440" s="13"/>
      <c r="Z440" s="13"/>
      <c r="AA440" s="13"/>
      <c r="AB440" s="13"/>
    </row>
    <row r="441" spans="10:28" x14ac:dyDescent="0.25">
      <c r="J441" s="13"/>
      <c r="K441" s="13"/>
      <c r="L441" s="13"/>
      <c r="M441" s="13"/>
      <c r="N441" s="35"/>
      <c r="O441" s="13"/>
      <c r="P441" s="13"/>
      <c r="Q441" s="35"/>
      <c r="R441" s="13"/>
      <c r="S441" s="13"/>
      <c r="T441" s="35"/>
      <c r="U441" s="13"/>
      <c r="V441" s="36"/>
      <c r="W441" s="13"/>
      <c r="X441" s="13"/>
      <c r="Y441" s="13"/>
      <c r="Z441" s="13"/>
      <c r="AA441" s="13"/>
      <c r="AB441" s="13"/>
    </row>
    <row r="442" spans="10:28" x14ac:dyDescent="0.25">
      <c r="J442" s="13"/>
      <c r="K442" s="13"/>
      <c r="L442" s="13"/>
      <c r="M442" s="13"/>
      <c r="N442" s="35"/>
      <c r="O442" s="13"/>
      <c r="P442" s="13"/>
      <c r="Q442" s="35"/>
      <c r="R442" s="13"/>
      <c r="S442" s="13"/>
      <c r="T442" s="35"/>
      <c r="U442" s="13"/>
      <c r="V442" s="36"/>
      <c r="W442" s="13"/>
      <c r="X442" s="13"/>
      <c r="Y442" s="13"/>
      <c r="Z442" s="13"/>
      <c r="AA442" s="13"/>
      <c r="AB442" s="13"/>
    </row>
    <row r="443" spans="10:28" x14ac:dyDescent="0.25">
      <c r="J443" s="13"/>
      <c r="K443" s="13"/>
      <c r="L443" s="13"/>
      <c r="M443" s="13"/>
      <c r="N443" s="35"/>
      <c r="O443" s="13"/>
      <c r="P443" s="13"/>
      <c r="Q443" s="35"/>
      <c r="R443" s="13"/>
      <c r="S443" s="13"/>
      <c r="T443" s="35"/>
      <c r="U443" s="13"/>
      <c r="V443" s="36"/>
      <c r="W443" s="13"/>
      <c r="X443" s="13"/>
      <c r="Y443" s="13"/>
      <c r="Z443" s="13"/>
      <c r="AA443" s="13"/>
      <c r="AB443" s="13"/>
    </row>
    <row r="444" spans="10:28" x14ac:dyDescent="0.25">
      <c r="J444" s="13"/>
      <c r="K444" s="13"/>
      <c r="L444" s="13"/>
      <c r="M444" s="13"/>
      <c r="N444" s="35"/>
      <c r="O444" s="13"/>
      <c r="P444" s="13"/>
      <c r="Q444" s="35"/>
      <c r="R444" s="13"/>
      <c r="S444" s="13"/>
      <c r="T444" s="35"/>
      <c r="U444" s="13"/>
      <c r="V444" s="36"/>
      <c r="W444" s="13"/>
      <c r="X444" s="13"/>
      <c r="Y444" s="13"/>
      <c r="Z444" s="13"/>
      <c r="AA444" s="13"/>
      <c r="AB444" s="13"/>
    </row>
    <row r="445" spans="10:28" x14ac:dyDescent="0.25">
      <c r="J445" s="13"/>
      <c r="K445" s="13"/>
      <c r="L445" s="13"/>
      <c r="M445" s="13"/>
      <c r="N445" s="35"/>
      <c r="O445" s="13"/>
      <c r="P445" s="13"/>
      <c r="Q445" s="35"/>
      <c r="R445" s="13"/>
      <c r="S445" s="13"/>
      <c r="T445" s="35"/>
      <c r="U445" s="13"/>
      <c r="V445" s="36"/>
      <c r="W445" s="13"/>
      <c r="X445" s="13"/>
      <c r="Y445" s="13"/>
      <c r="Z445" s="13"/>
      <c r="AA445" s="13"/>
      <c r="AB445" s="13"/>
    </row>
    <row r="446" spans="10:28" x14ac:dyDescent="0.25">
      <c r="J446" s="13"/>
      <c r="K446" s="13"/>
      <c r="L446" s="13"/>
      <c r="M446" s="13"/>
      <c r="N446" s="35"/>
      <c r="O446" s="13"/>
      <c r="P446" s="13"/>
      <c r="Q446" s="35"/>
      <c r="R446" s="13"/>
      <c r="S446" s="13"/>
      <c r="T446" s="35"/>
      <c r="U446" s="13"/>
      <c r="V446" s="36"/>
      <c r="W446" s="13"/>
      <c r="X446" s="13"/>
      <c r="Y446" s="13"/>
      <c r="Z446" s="13"/>
      <c r="AA446" s="13"/>
      <c r="AB446" s="13"/>
    </row>
    <row r="447" spans="10:28" x14ac:dyDescent="0.25">
      <c r="J447" s="13"/>
      <c r="K447" s="13"/>
      <c r="L447" s="13"/>
      <c r="M447" s="13"/>
      <c r="N447" s="35"/>
      <c r="O447" s="13"/>
      <c r="P447" s="13"/>
      <c r="Q447" s="35"/>
      <c r="R447" s="13"/>
      <c r="S447" s="13"/>
      <c r="T447" s="35"/>
      <c r="U447" s="13"/>
      <c r="V447" s="36"/>
      <c r="W447" s="13"/>
      <c r="X447" s="13"/>
      <c r="Y447" s="13"/>
      <c r="Z447" s="13"/>
      <c r="AA447" s="13"/>
      <c r="AB447" s="13"/>
    </row>
    <row r="448" spans="10:28" x14ac:dyDescent="0.25">
      <c r="J448" s="13"/>
      <c r="K448" s="13"/>
      <c r="L448" s="13"/>
      <c r="M448" s="13"/>
      <c r="N448" s="35"/>
      <c r="O448" s="13"/>
      <c r="P448" s="13"/>
      <c r="Q448" s="35"/>
      <c r="R448" s="13"/>
      <c r="S448" s="13"/>
      <c r="T448" s="35"/>
      <c r="U448" s="13"/>
      <c r="V448" s="36"/>
      <c r="W448" s="13"/>
      <c r="X448" s="13"/>
      <c r="Y448" s="13"/>
      <c r="Z448" s="13"/>
      <c r="AA448" s="13"/>
      <c r="AB448" s="13"/>
    </row>
    <row r="449" spans="10:28" x14ac:dyDescent="0.25">
      <c r="J449" s="13"/>
      <c r="K449" s="13"/>
      <c r="L449" s="13"/>
      <c r="M449" s="13"/>
      <c r="N449" s="35"/>
      <c r="O449" s="13"/>
      <c r="P449" s="13"/>
      <c r="Q449" s="35"/>
      <c r="R449" s="13"/>
      <c r="S449" s="13"/>
      <c r="T449" s="35"/>
      <c r="U449" s="13"/>
      <c r="V449" s="36"/>
      <c r="W449" s="13"/>
      <c r="X449" s="13"/>
      <c r="Y449" s="13"/>
      <c r="Z449" s="13"/>
      <c r="AA449" s="13"/>
      <c r="AB449" s="13"/>
    </row>
    <row r="450" spans="10:28" x14ac:dyDescent="0.25">
      <c r="J450" s="13"/>
      <c r="K450" s="13"/>
      <c r="L450" s="13"/>
      <c r="M450" s="13"/>
      <c r="N450" s="35"/>
      <c r="O450" s="13"/>
      <c r="P450" s="13"/>
      <c r="Q450" s="35"/>
      <c r="R450" s="13"/>
      <c r="S450" s="13"/>
      <c r="T450" s="35"/>
      <c r="U450" s="13"/>
      <c r="V450" s="36"/>
      <c r="W450" s="13"/>
      <c r="X450" s="13"/>
      <c r="Y450" s="13"/>
      <c r="Z450" s="13"/>
      <c r="AA450" s="13"/>
      <c r="AB450" s="13"/>
    </row>
    <row r="451" spans="10:28" x14ac:dyDescent="0.25">
      <c r="J451" s="13"/>
      <c r="K451" s="13"/>
      <c r="L451" s="13"/>
      <c r="M451" s="13"/>
      <c r="N451" s="35"/>
      <c r="O451" s="13"/>
      <c r="P451" s="13"/>
      <c r="Q451" s="35"/>
      <c r="R451" s="13"/>
      <c r="S451" s="13"/>
      <c r="T451" s="35"/>
      <c r="U451" s="13"/>
      <c r="V451" s="36"/>
      <c r="W451" s="13"/>
      <c r="X451" s="13"/>
      <c r="Y451" s="13"/>
      <c r="Z451" s="13"/>
      <c r="AA451" s="13"/>
      <c r="AB451" s="13"/>
    </row>
    <row r="452" spans="10:28" x14ac:dyDescent="0.25">
      <c r="J452" s="13"/>
      <c r="K452" s="13"/>
      <c r="L452" s="13"/>
      <c r="M452" s="13"/>
      <c r="N452" s="35"/>
      <c r="O452" s="13"/>
      <c r="P452" s="13"/>
      <c r="Q452" s="35"/>
      <c r="R452" s="13"/>
      <c r="S452" s="13"/>
      <c r="T452" s="35"/>
      <c r="U452" s="13"/>
      <c r="V452" s="36"/>
      <c r="W452" s="13"/>
      <c r="X452" s="13"/>
      <c r="Y452" s="13"/>
      <c r="Z452" s="13"/>
      <c r="AA452" s="13"/>
      <c r="AB452" s="13"/>
    </row>
    <row r="453" spans="10:28" x14ac:dyDescent="0.25">
      <c r="J453" s="13"/>
      <c r="K453" s="13"/>
      <c r="L453" s="13"/>
      <c r="M453" s="13"/>
      <c r="N453" s="35"/>
      <c r="O453" s="13"/>
      <c r="P453" s="13"/>
      <c r="Q453" s="35"/>
      <c r="R453" s="13"/>
      <c r="S453" s="13"/>
      <c r="T453" s="35"/>
      <c r="U453" s="13"/>
      <c r="V453" s="36"/>
      <c r="W453" s="13"/>
      <c r="X453" s="13"/>
      <c r="Y453" s="13"/>
      <c r="Z453" s="13"/>
      <c r="AA453" s="13"/>
      <c r="AB453" s="13"/>
    </row>
    <row r="454" spans="10:28" x14ac:dyDescent="0.25">
      <c r="J454" s="13"/>
      <c r="K454" s="13"/>
      <c r="L454" s="13"/>
      <c r="M454" s="13"/>
      <c r="N454" s="35"/>
      <c r="O454" s="13"/>
      <c r="P454" s="13"/>
      <c r="Q454" s="35"/>
      <c r="R454" s="13"/>
      <c r="S454" s="13"/>
      <c r="T454" s="35"/>
      <c r="U454" s="13"/>
      <c r="V454" s="36"/>
      <c r="W454" s="13"/>
      <c r="X454" s="13"/>
      <c r="Y454" s="13"/>
      <c r="Z454" s="13"/>
      <c r="AA454" s="13"/>
      <c r="AB454" s="13"/>
    </row>
    <row r="455" spans="10:28" x14ac:dyDescent="0.25">
      <c r="J455" s="13"/>
      <c r="K455" s="13"/>
      <c r="L455" s="13"/>
      <c r="M455" s="13"/>
      <c r="N455" s="35"/>
      <c r="O455" s="13"/>
      <c r="P455" s="13"/>
      <c r="Q455" s="35"/>
      <c r="R455" s="13"/>
      <c r="S455" s="13"/>
      <c r="T455" s="35"/>
      <c r="U455" s="13"/>
      <c r="V455" s="36"/>
      <c r="W455" s="13"/>
      <c r="X455" s="13"/>
      <c r="Y455" s="13"/>
      <c r="Z455" s="13"/>
      <c r="AA455" s="13"/>
      <c r="AB455" s="13"/>
    </row>
    <row r="456" spans="10:28" x14ac:dyDescent="0.25">
      <c r="J456" s="13"/>
      <c r="K456" s="13"/>
      <c r="L456" s="13"/>
      <c r="M456" s="13"/>
      <c r="N456" s="35"/>
      <c r="O456" s="13"/>
      <c r="P456" s="13"/>
      <c r="Q456" s="35"/>
      <c r="R456" s="13"/>
      <c r="S456" s="13"/>
      <c r="T456" s="35"/>
      <c r="U456" s="13"/>
      <c r="V456" s="36"/>
      <c r="W456" s="13"/>
      <c r="X456" s="13"/>
      <c r="Y456" s="13"/>
      <c r="Z456" s="13"/>
      <c r="AA456" s="13"/>
      <c r="AB456" s="13"/>
    </row>
    <row r="457" spans="10:28" x14ac:dyDescent="0.25">
      <c r="J457" s="13"/>
      <c r="K457" s="13"/>
      <c r="L457" s="13"/>
      <c r="M457" s="13"/>
      <c r="N457" s="35"/>
      <c r="O457" s="13"/>
      <c r="P457" s="13"/>
      <c r="Q457" s="35"/>
      <c r="R457" s="13"/>
      <c r="S457" s="13"/>
      <c r="T457" s="35"/>
      <c r="U457" s="13"/>
      <c r="V457" s="36"/>
      <c r="W457" s="13"/>
      <c r="X457" s="13"/>
      <c r="Y457" s="13"/>
      <c r="Z457" s="13"/>
      <c r="AA457" s="13"/>
      <c r="AB457" s="13"/>
    </row>
    <row r="458" spans="10:28" x14ac:dyDescent="0.25">
      <c r="J458" s="13"/>
      <c r="K458" s="13"/>
      <c r="L458" s="13"/>
      <c r="M458" s="13"/>
      <c r="N458" s="35"/>
      <c r="O458" s="13"/>
      <c r="P458" s="13"/>
      <c r="Q458" s="35"/>
      <c r="R458" s="13"/>
      <c r="S458" s="13"/>
      <c r="T458" s="35"/>
      <c r="U458" s="13"/>
      <c r="V458" s="36"/>
      <c r="W458" s="13"/>
      <c r="X458" s="13"/>
      <c r="Y458" s="13"/>
      <c r="Z458" s="13"/>
      <c r="AA458" s="13"/>
      <c r="AB458" s="13"/>
    </row>
    <row r="459" spans="10:28" x14ac:dyDescent="0.25">
      <c r="J459" s="13"/>
      <c r="K459" s="13"/>
      <c r="L459" s="13"/>
      <c r="M459" s="13"/>
      <c r="N459" s="35"/>
      <c r="O459" s="13"/>
      <c r="P459" s="13"/>
      <c r="Q459" s="35"/>
      <c r="R459" s="13"/>
      <c r="S459" s="13"/>
      <c r="T459" s="35"/>
      <c r="U459" s="13"/>
      <c r="V459" s="36"/>
      <c r="W459" s="13"/>
      <c r="X459" s="13"/>
      <c r="Y459" s="13"/>
      <c r="Z459" s="13"/>
      <c r="AA459" s="13"/>
      <c r="AB459" s="13"/>
    </row>
    <row r="460" spans="10:28" x14ac:dyDescent="0.25">
      <c r="J460" s="13"/>
      <c r="K460" s="13"/>
      <c r="L460" s="13"/>
      <c r="M460" s="13"/>
      <c r="N460" s="35"/>
      <c r="O460" s="13"/>
      <c r="P460" s="13"/>
      <c r="Q460" s="35"/>
      <c r="R460" s="13"/>
      <c r="S460" s="13"/>
      <c r="T460" s="35"/>
      <c r="U460" s="13"/>
      <c r="V460" s="36"/>
      <c r="W460" s="13"/>
      <c r="X460" s="13"/>
      <c r="Y460" s="13"/>
      <c r="Z460" s="13"/>
      <c r="AA460" s="13"/>
      <c r="AB460" s="13"/>
    </row>
    <row r="461" spans="10:28" x14ac:dyDescent="0.25">
      <c r="J461" s="13"/>
      <c r="K461" s="13"/>
      <c r="L461" s="13"/>
      <c r="M461" s="13"/>
      <c r="N461" s="35"/>
      <c r="O461" s="13"/>
      <c r="P461" s="13"/>
      <c r="Q461" s="35"/>
      <c r="R461" s="13"/>
      <c r="S461" s="13"/>
      <c r="T461" s="35"/>
      <c r="U461" s="13"/>
      <c r="V461" s="36"/>
      <c r="W461" s="13"/>
      <c r="X461" s="13"/>
      <c r="Y461" s="13"/>
      <c r="Z461" s="13"/>
      <c r="AA461" s="13"/>
      <c r="AB461" s="13"/>
    </row>
    <row r="462" spans="10:28" x14ac:dyDescent="0.25">
      <c r="J462" s="13"/>
      <c r="K462" s="13"/>
      <c r="L462" s="13"/>
      <c r="M462" s="13"/>
      <c r="N462" s="35"/>
      <c r="O462" s="13"/>
      <c r="P462" s="13"/>
      <c r="Q462" s="35"/>
      <c r="R462" s="13"/>
      <c r="S462" s="13"/>
      <c r="T462" s="35"/>
      <c r="U462" s="13"/>
      <c r="V462" s="36"/>
      <c r="W462" s="13"/>
      <c r="X462" s="13"/>
      <c r="Y462" s="13"/>
      <c r="Z462" s="13"/>
      <c r="AA462" s="13"/>
      <c r="AB462" s="13"/>
    </row>
    <row r="463" spans="10:28" x14ac:dyDescent="0.25">
      <c r="J463" s="13"/>
      <c r="K463" s="13"/>
      <c r="L463" s="13"/>
      <c r="M463" s="13"/>
      <c r="N463" s="35"/>
      <c r="O463" s="13"/>
      <c r="P463" s="13"/>
      <c r="Q463" s="35"/>
      <c r="R463" s="13"/>
      <c r="S463" s="13"/>
      <c r="T463" s="35"/>
      <c r="U463" s="13"/>
      <c r="V463" s="36"/>
      <c r="W463" s="13"/>
      <c r="X463" s="13"/>
      <c r="Y463" s="13"/>
      <c r="Z463" s="13"/>
      <c r="AA463" s="13"/>
      <c r="AB463" s="13"/>
    </row>
    <row r="464" spans="10:28" x14ac:dyDescent="0.25">
      <c r="J464" s="13"/>
      <c r="K464" s="13"/>
      <c r="L464" s="13"/>
      <c r="M464" s="13"/>
      <c r="N464" s="35"/>
      <c r="O464" s="13"/>
      <c r="P464" s="13"/>
      <c r="Q464" s="35"/>
      <c r="R464" s="13"/>
      <c r="S464" s="13"/>
      <c r="T464" s="35"/>
      <c r="U464" s="13"/>
      <c r="V464" s="36"/>
      <c r="W464" s="13"/>
      <c r="X464" s="13"/>
      <c r="Y464" s="13"/>
      <c r="Z464" s="13"/>
      <c r="AA464" s="13"/>
      <c r="AB464" s="13"/>
    </row>
    <row r="465" spans="10:28" x14ac:dyDescent="0.25">
      <c r="J465" s="13"/>
      <c r="K465" s="13"/>
      <c r="L465" s="13"/>
      <c r="M465" s="13"/>
      <c r="N465" s="35"/>
      <c r="O465" s="13"/>
      <c r="P465" s="13"/>
      <c r="Q465" s="35"/>
      <c r="R465" s="13"/>
      <c r="S465" s="13"/>
      <c r="T465" s="35"/>
      <c r="U465" s="13"/>
      <c r="V465" s="36"/>
      <c r="W465" s="13"/>
      <c r="X465" s="13"/>
      <c r="Y465" s="13"/>
      <c r="Z465" s="13"/>
      <c r="AA465" s="13"/>
      <c r="AB465" s="13"/>
    </row>
    <row r="466" spans="10:28" x14ac:dyDescent="0.25">
      <c r="J466" s="13"/>
      <c r="K466" s="13"/>
      <c r="L466" s="13"/>
      <c r="M466" s="13"/>
      <c r="N466" s="35"/>
      <c r="O466" s="13"/>
      <c r="P466" s="13"/>
      <c r="Q466" s="35"/>
      <c r="R466" s="13"/>
      <c r="S466" s="13"/>
      <c r="T466" s="35"/>
      <c r="U466" s="13"/>
      <c r="V466" s="36"/>
      <c r="W466" s="13"/>
      <c r="X466" s="13"/>
      <c r="Y466" s="13"/>
      <c r="Z466" s="13"/>
      <c r="AA466" s="13"/>
      <c r="AB466" s="13"/>
    </row>
    <row r="467" spans="10:28" x14ac:dyDescent="0.25">
      <c r="J467" s="13"/>
      <c r="K467" s="13"/>
      <c r="L467" s="13"/>
      <c r="M467" s="13"/>
      <c r="N467" s="35"/>
      <c r="O467" s="13"/>
      <c r="P467" s="13"/>
      <c r="Q467" s="35"/>
      <c r="R467" s="13"/>
      <c r="S467" s="13"/>
      <c r="T467" s="35"/>
      <c r="U467" s="13"/>
      <c r="V467" s="36"/>
      <c r="W467" s="13"/>
      <c r="X467" s="13"/>
      <c r="Y467" s="13"/>
      <c r="Z467" s="13"/>
      <c r="AA467" s="13"/>
      <c r="AB467" s="13"/>
    </row>
    <row r="468" spans="10:28" x14ac:dyDescent="0.25">
      <c r="J468" s="13"/>
      <c r="K468" s="13"/>
      <c r="L468" s="13"/>
      <c r="M468" s="13"/>
      <c r="N468" s="35"/>
      <c r="O468" s="13"/>
      <c r="P468" s="13"/>
      <c r="Q468" s="35"/>
      <c r="R468" s="13"/>
      <c r="S468" s="13"/>
      <c r="T468" s="35"/>
      <c r="U468" s="13"/>
      <c r="V468" s="36"/>
      <c r="W468" s="13"/>
      <c r="X468" s="13"/>
      <c r="Y468" s="13"/>
      <c r="Z468" s="13"/>
      <c r="AA468" s="13"/>
      <c r="AB468" s="13"/>
    </row>
    <row r="469" spans="10:28" x14ac:dyDescent="0.25">
      <c r="J469" s="13"/>
      <c r="K469" s="13"/>
      <c r="L469" s="13"/>
      <c r="M469" s="13"/>
      <c r="N469" s="35"/>
      <c r="O469" s="13"/>
      <c r="P469" s="13"/>
      <c r="Q469" s="35"/>
      <c r="R469" s="13"/>
      <c r="S469" s="13"/>
      <c r="T469" s="35"/>
      <c r="U469" s="13"/>
      <c r="V469" s="36"/>
      <c r="W469" s="13"/>
      <c r="X469" s="13"/>
      <c r="Y469" s="13"/>
      <c r="Z469" s="13"/>
      <c r="AA469" s="13"/>
      <c r="AB469" s="13"/>
    </row>
    <row r="470" spans="10:28" x14ac:dyDescent="0.25">
      <c r="J470" s="13"/>
      <c r="K470" s="13"/>
      <c r="L470" s="13"/>
      <c r="M470" s="13"/>
      <c r="N470" s="35"/>
      <c r="O470" s="13"/>
      <c r="P470" s="13"/>
      <c r="Q470" s="35"/>
      <c r="R470" s="13"/>
      <c r="S470" s="13"/>
      <c r="T470" s="35"/>
      <c r="U470" s="13"/>
      <c r="V470" s="36"/>
      <c r="W470" s="13"/>
      <c r="X470" s="13"/>
      <c r="Y470" s="13"/>
      <c r="Z470" s="13"/>
      <c r="AA470" s="13"/>
      <c r="AB470" s="13"/>
    </row>
    <row r="471" spans="10:28" x14ac:dyDescent="0.25">
      <c r="J471" s="13"/>
      <c r="K471" s="13"/>
      <c r="L471" s="13"/>
      <c r="M471" s="13"/>
      <c r="N471" s="35"/>
      <c r="O471" s="13"/>
      <c r="P471" s="13"/>
      <c r="Q471" s="35"/>
      <c r="R471" s="13"/>
      <c r="S471" s="13"/>
      <c r="T471" s="35"/>
      <c r="U471" s="13"/>
      <c r="V471" s="36"/>
      <c r="W471" s="13"/>
      <c r="X471" s="13"/>
      <c r="Y471" s="13"/>
      <c r="Z471" s="13"/>
      <c r="AA471" s="13"/>
      <c r="AB471" s="13"/>
    </row>
    <row r="472" spans="10:28" x14ac:dyDescent="0.25">
      <c r="J472" s="13"/>
      <c r="K472" s="13"/>
      <c r="L472" s="13"/>
      <c r="M472" s="13"/>
      <c r="N472" s="35"/>
      <c r="O472" s="13"/>
      <c r="P472" s="13"/>
      <c r="Q472" s="35"/>
      <c r="R472" s="13"/>
      <c r="S472" s="13"/>
      <c r="T472" s="35"/>
      <c r="U472" s="13"/>
      <c r="V472" s="36"/>
      <c r="W472" s="13"/>
      <c r="X472" s="13"/>
      <c r="Y472" s="13"/>
      <c r="Z472" s="13"/>
      <c r="AA472" s="13"/>
      <c r="AB472" s="13"/>
    </row>
    <row r="473" spans="10:28" x14ac:dyDescent="0.25">
      <c r="J473" s="13"/>
      <c r="K473" s="13"/>
      <c r="L473" s="13"/>
      <c r="M473" s="13"/>
      <c r="N473" s="35"/>
      <c r="O473" s="13"/>
      <c r="P473" s="13"/>
      <c r="Q473" s="35"/>
      <c r="R473" s="13"/>
      <c r="S473" s="13"/>
      <c r="T473" s="35"/>
      <c r="U473" s="13"/>
      <c r="V473" s="36"/>
      <c r="W473" s="13"/>
      <c r="X473" s="13"/>
      <c r="Y473" s="13"/>
      <c r="Z473" s="13"/>
      <c r="AA473" s="13"/>
      <c r="AB473" s="13"/>
    </row>
    <row r="474" spans="10:28" x14ac:dyDescent="0.25">
      <c r="J474" s="13"/>
      <c r="K474" s="13"/>
      <c r="L474" s="13"/>
      <c r="M474" s="13"/>
      <c r="N474" s="35"/>
      <c r="O474" s="13"/>
      <c r="P474" s="13"/>
      <c r="Q474" s="35"/>
      <c r="R474" s="13"/>
      <c r="S474" s="13"/>
      <c r="T474" s="35"/>
      <c r="U474" s="13"/>
      <c r="V474" s="36"/>
      <c r="W474" s="13"/>
      <c r="X474" s="13"/>
      <c r="Y474" s="13"/>
      <c r="Z474" s="13"/>
      <c r="AA474" s="13"/>
      <c r="AB474" s="13"/>
    </row>
    <row r="475" spans="10:28" x14ac:dyDescent="0.25">
      <c r="J475" s="13"/>
      <c r="K475" s="13"/>
      <c r="L475" s="13"/>
      <c r="M475" s="13"/>
      <c r="N475" s="35"/>
      <c r="O475" s="13"/>
      <c r="P475" s="13"/>
      <c r="Q475" s="35"/>
      <c r="R475" s="13"/>
      <c r="S475" s="13"/>
      <c r="T475" s="35"/>
      <c r="U475" s="13"/>
      <c r="V475" s="36"/>
      <c r="W475" s="13"/>
      <c r="X475" s="13"/>
      <c r="Y475" s="13"/>
      <c r="Z475" s="13"/>
      <c r="AA475" s="13"/>
      <c r="AB475" s="13"/>
    </row>
    <row r="476" spans="10:28" x14ac:dyDescent="0.25">
      <c r="J476" s="13"/>
      <c r="K476" s="13"/>
      <c r="L476" s="13"/>
      <c r="M476" s="13"/>
      <c r="N476" s="35"/>
      <c r="O476" s="13"/>
      <c r="P476" s="13"/>
      <c r="Q476" s="35"/>
      <c r="R476" s="13"/>
      <c r="S476" s="13"/>
      <c r="T476" s="35"/>
      <c r="U476" s="13"/>
      <c r="V476" s="36"/>
      <c r="W476" s="13"/>
      <c r="X476" s="13"/>
      <c r="Y476" s="13"/>
      <c r="Z476" s="13"/>
      <c r="AA476" s="13"/>
      <c r="AB476" s="13"/>
    </row>
    <row r="477" spans="10:28" x14ac:dyDescent="0.25">
      <c r="J477" s="13"/>
      <c r="K477" s="13"/>
      <c r="L477" s="13"/>
      <c r="M477" s="13"/>
      <c r="N477" s="35"/>
      <c r="O477" s="13"/>
      <c r="P477" s="13"/>
      <c r="Q477" s="35"/>
      <c r="R477" s="13"/>
      <c r="S477" s="13"/>
      <c r="T477" s="35"/>
      <c r="U477" s="13"/>
      <c r="V477" s="36"/>
      <c r="W477" s="13"/>
      <c r="X477" s="13"/>
      <c r="Y477" s="13"/>
      <c r="Z477" s="13"/>
      <c r="AA477" s="13"/>
      <c r="AB477" s="13"/>
    </row>
    <row r="478" spans="10:28" x14ac:dyDescent="0.25">
      <c r="J478" s="13"/>
      <c r="K478" s="13"/>
      <c r="L478" s="13"/>
      <c r="M478" s="13"/>
      <c r="N478" s="35"/>
      <c r="O478" s="13"/>
      <c r="P478" s="13"/>
      <c r="Q478" s="35"/>
      <c r="R478" s="13"/>
      <c r="S478" s="13"/>
      <c r="T478" s="35"/>
      <c r="U478" s="13"/>
      <c r="V478" s="36"/>
      <c r="W478" s="13"/>
      <c r="X478" s="13"/>
      <c r="Y478" s="13"/>
      <c r="Z478" s="13"/>
      <c r="AA478" s="13"/>
      <c r="AB478" s="13"/>
    </row>
    <row r="479" spans="10:28" x14ac:dyDescent="0.25">
      <c r="J479" s="13"/>
      <c r="K479" s="13"/>
      <c r="L479" s="13"/>
      <c r="M479" s="13"/>
      <c r="N479" s="35"/>
      <c r="O479" s="13"/>
      <c r="P479" s="13"/>
      <c r="Q479" s="35"/>
      <c r="R479" s="13"/>
      <c r="S479" s="13"/>
      <c r="T479" s="35"/>
      <c r="U479" s="13"/>
      <c r="V479" s="36"/>
      <c r="W479" s="13"/>
      <c r="X479" s="13"/>
      <c r="Y479" s="13"/>
      <c r="Z479" s="13"/>
      <c r="AA479" s="13"/>
      <c r="AB479" s="13"/>
    </row>
    <row r="480" spans="10:28" x14ac:dyDescent="0.25">
      <c r="J480" s="13"/>
      <c r="K480" s="13"/>
      <c r="L480" s="13"/>
      <c r="M480" s="13"/>
      <c r="N480" s="35"/>
      <c r="O480" s="13"/>
      <c r="P480" s="13"/>
      <c r="Q480" s="35"/>
      <c r="R480" s="13"/>
      <c r="S480" s="13"/>
      <c r="T480" s="35"/>
      <c r="U480" s="13"/>
      <c r="V480" s="36"/>
      <c r="W480" s="13"/>
      <c r="X480" s="13"/>
      <c r="Y480" s="13"/>
      <c r="Z480" s="13"/>
      <c r="AA480" s="13"/>
      <c r="AB480" s="13"/>
    </row>
    <row r="481" spans="10:28" x14ac:dyDescent="0.25">
      <c r="J481" s="13"/>
      <c r="K481" s="13"/>
      <c r="L481" s="13"/>
      <c r="M481" s="13"/>
      <c r="N481" s="35"/>
      <c r="O481" s="13"/>
      <c r="P481" s="13"/>
      <c r="Q481" s="35"/>
      <c r="R481" s="13"/>
      <c r="S481" s="13"/>
      <c r="T481" s="35"/>
      <c r="U481" s="13"/>
      <c r="V481" s="36"/>
      <c r="W481" s="13"/>
      <c r="X481" s="13"/>
      <c r="Y481" s="13"/>
      <c r="Z481" s="13"/>
      <c r="AA481" s="13"/>
      <c r="AB481" s="13"/>
    </row>
    <row r="482" spans="10:28" x14ac:dyDescent="0.25">
      <c r="J482" s="13"/>
      <c r="K482" s="13"/>
      <c r="L482" s="13"/>
      <c r="M482" s="13"/>
      <c r="N482" s="35"/>
      <c r="O482" s="13"/>
      <c r="P482" s="13"/>
      <c r="Q482" s="35"/>
      <c r="R482" s="13"/>
      <c r="S482" s="13"/>
      <c r="T482" s="35"/>
      <c r="U482" s="13"/>
      <c r="V482" s="36"/>
      <c r="W482" s="13"/>
      <c r="X482" s="13"/>
      <c r="Y482" s="13"/>
      <c r="Z482" s="13"/>
      <c r="AA482" s="13"/>
      <c r="AB482" s="13"/>
    </row>
    <row r="483" spans="10:28" x14ac:dyDescent="0.25">
      <c r="J483" s="13"/>
      <c r="K483" s="13"/>
      <c r="L483" s="13"/>
      <c r="M483" s="13"/>
      <c r="N483" s="35"/>
      <c r="O483" s="13"/>
      <c r="P483" s="13"/>
      <c r="Q483" s="35"/>
      <c r="R483" s="13"/>
      <c r="S483" s="13"/>
      <c r="T483" s="35"/>
      <c r="U483" s="13"/>
      <c r="V483" s="36"/>
      <c r="W483" s="13"/>
      <c r="X483" s="13"/>
      <c r="Y483" s="13"/>
      <c r="Z483" s="13"/>
      <c r="AA483" s="13"/>
      <c r="AB483" s="13"/>
    </row>
    <row r="484" spans="10:28" x14ac:dyDescent="0.25">
      <c r="J484" s="13"/>
      <c r="K484" s="13"/>
      <c r="L484" s="13"/>
      <c r="M484" s="13"/>
      <c r="N484" s="35"/>
      <c r="O484" s="13"/>
      <c r="P484" s="13"/>
      <c r="Q484" s="35"/>
      <c r="R484" s="13"/>
      <c r="S484" s="13"/>
      <c r="T484" s="35"/>
      <c r="U484" s="13"/>
      <c r="V484" s="36"/>
      <c r="W484" s="13"/>
      <c r="X484" s="13"/>
      <c r="Y484" s="13"/>
      <c r="Z484" s="13"/>
      <c r="AA484" s="13"/>
      <c r="AB484" s="13"/>
    </row>
    <row r="485" spans="10:28" x14ac:dyDescent="0.25">
      <c r="J485" s="13"/>
      <c r="K485" s="13"/>
      <c r="L485" s="13"/>
      <c r="M485" s="13"/>
      <c r="N485" s="35"/>
      <c r="O485" s="13"/>
      <c r="P485" s="13"/>
      <c r="Q485" s="35"/>
      <c r="R485" s="13"/>
      <c r="S485" s="13"/>
      <c r="T485" s="35"/>
      <c r="U485" s="13"/>
      <c r="V485" s="36"/>
      <c r="W485" s="13"/>
      <c r="X485" s="13"/>
      <c r="Y485" s="13"/>
      <c r="Z485" s="13"/>
      <c r="AA485" s="13"/>
      <c r="AB485" s="13"/>
    </row>
    <row r="486" spans="10:28" x14ac:dyDescent="0.25">
      <c r="J486" s="13"/>
      <c r="K486" s="13"/>
      <c r="L486" s="13"/>
      <c r="M486" s="13"/>
      <c r="N486" s="35"/>
      <c r="O486" s="13"/>
      <c r="P486" s="13"/>
      <c r="Q486" s="35"/>
      <c r="R486" s="13"/>
      <c r="S486" s="13"/>
      <c r="T486" s="35"/>
      <c r="U486" s="13"/>
      <c r="V486" s="36"/>
      <c r="W486" s="13"/>
      <c r="X486" s="13"/>
      <c r="Y486" s="13"/>
      <c r="Z486" s="13"/>
      <c r="AA486" s="13"/>
      <c r="AB486" s="13"/>
    </row>
    <row r="487" spans="10:28" x14ac:dyDescent="0.25">
      <c r="J487" s="13"/>
      <c r="K487" s="13"/>
      <c r="L487" s="13"/>
      <c r="M487" s="13"/>
      <c r="N487" s="35"/>
      <c r="O487" s="13"/>
      <c r="P487" s="13"/>
      <c r="Q487" s="35"/>
      <c r="R487" s="13"/>
      <c r="S487" s="13"/>
      <c r="T487" s="35"/>
      <c r="U487" s="13"/>
      <c r="V487" s="36"/>
      <c r="W487" s="13"/>
      <c r="X487" s="13"/>
      <c r="Y487" s="13"/>
      <c r="Z487" s="13"/>
      <c r="AA487" s="13"/>
      <c r="AB487" s="13"/>
    </row>
    <row r="488" spans="10:28" x14ac:dyDescent="0.25">
      <c r="J488" s="13"/>
      <c r="K488" s="13"/>
      <c r="L488" s="13"/>
      <c r="M488" s="13"/>
      <c r="N488" s="35"/>
      <c r="O488" s="13"/>
      <c r="P488" s="13"/>
      <c r="Q488" s="35"/>
      <c r="R488" s="13"/>
      <c r="S488" s="13"/>
      <c r="T488" s="35"/>
      <c r="U488" s="13"/>
      <c r="V488" s="36"/>
      <c r="W488" s="13"/>
      <c r="X488" s="13"/>
      <c r="Y488" s="13"/>
      <c r="Z488" s="13"/>
      <c r="AA488" s="13"/>
      <c r="AB488" s="13"/>
    </row>
    <row r="489" spans="10:28" x14ac:dyDescent="0.25">
      <c r="J489" s="13"/>
      <c r="K489" s="13"/>
      <c r="L489" s="13"/>
      <c r="M489" s="13"/>
      <c r="N489" s="35"/>
      <c r="O489" s="13"/>
      <c r="P489" s="13"/>
      <c r="Q489" s="35"/>
      <c r="R489" s="13"/>
      <c r="S489" s="13"/>
      <c r="T489" s="35"/>
      <c r="U489" s="13"/>
      <c r="V489" s="36"/>
      <c r="W489" s="13"/>
      <c r="X489" s="13"/>
      <c r="Y489" s="13"/>
      <c r="Z489" s="13"/>
      <c r="AA489" s="13"/>
      <c r="AB489" s="13"/>
    </row>
    <row r="490" spans="10:28" x14ac:dyDescent="0.25">
      <c r="J490" s="13"/>
      <c r="K490" s="13"/>
      <c r="L490" s="13"/>
      <c r="M490" s="13"/>
      <c r="N490" s="35"/>
      <c r="O490" s="13"/>
      <c r="P490" s="13"/>
      <c r="Q490" s="35"/>
      <c r="R490" s="13"/>
      <c r="S490" s="13"/>
      <c r="T490" s="35"/>
      <c r="U490" s="13"/>
      <c r="V490" s="36"/>
      <c r="W490" s="13"/>
      <c r="X490" s="13"/>
      <c r="Y490" s="13"/>
      <c r="Z490" s="13"/>
      <c r="AA490" s="13"/>
      <c r="AB490" s="13"/>
    </row>
    <row r="491" spans="10:28" x14ac:dyDescent="0.25">
      <c r="J491" s="13"/>
      <c r="K491" s="13"/>
      <c r="L491" s="13"/>
      <c r="M491" s="13"/>
      <c r="N491" s="35"/>
      <c r="O491" s="13"/>
      <c r="P491" s="13"/>
      <c r="Q491" s="35"/>
      <c r="R491" s="13"/>
      <c r="S491" s="13"/>
      <c r="T491" s="35"/>
      <c r="U491" s="13"/>
      <c r="V491" s="36"/>
      <c r="W491" s="13"/>
      <c r="X491" s="13"/>
      <c r="Y491" s="13"/>
      <c r="Z491" s="13"/>
      <c r="AA491" s="13"/>
      <c r="AB491" s="13"/>
    </row>
    <row r="492" spans="10:28" x14ac:dyDescent="0.25">
      <c r="J492" s="13"/>
      <c r="K492" s="13"/>
      <c r="L492" s="13"/>
      <c r="M492" s="13"/>
      <c r="N492" s="35"/>
      <c r="O492" s="13"/>
      <c r="P492" s="13"/>
      <c r="Q492" s="35"/>
      <c r="R492" s="13"/>
      <c r="S492" s="13"/>
      <c r="T492" s="35"/>
      <c r="U492" s="13"/>
      <c r="V492" s="36"/>
      <c r="W492" s="13"/>
      <c r="X492" s="13"/>
      <c r="Y492" s="13"/>
      <c r="Z492" s="13"/>
      <c r="AA492" s="13"/>
      <c r="AB492" s="13"/>
    </row>
    <row r="493" spans="10:28" x14ac:dyDescent="0.25">
      <c r="J493" s="13"/>
      <c r="K493" s="13"/>
      <c r="L493" s="13"/>
      <c r="M493" s="13"/>
      <c r="N493" s="35"/>
      <c r="O493" s="13"/>
      <c r="P493" s="13"/>
      <c r="Q493" s="35"/>
      <c r="R493" s="13"/>
      <c r="S493" s="13"/>
      <c r="T493" s="35"/>
      <c r="U493" s="13"/>
      <c r="V493" s="36"/>
      <c r="W493" s="13"/>
      <c r="X493" s="13"/>
      <c r="Y493" s="13"/>
      <c r="Z493" s="13"/>
      <c r="AA493" s="13"/>
      <c r="AB493" s="13"/>
    </row>
    <row r="494" spans="10:28" x14ac:dyDescent="0.25">
      <c r="J494" s="13"/>
      <c r="K494" s="13"/>
      <c r="L494" s="13"/>
      <c r="M494" s="13"/>
      <c r="N494" s="35"/>
      <c r="O494" s="13"/>
      <c r="P494" s="13"/>
      <c r="Q494" s="35"/>
      <c r="R494" s="13"/>
      <c r="S494" s="13"/>
      <c r="T494" s="35"/>
      <c r="U494" s="13"/>
      <c r="V494" s="36"/>
      <c r="W494" s="13"/>
      <c r="X494" s="13"/>
      <c r="Y494" s="13"/>
      <c r="Z494" s="13"/>
      <c r="AA494" s="13"/>
      <c r="AB494" s="13"/>
    </row>
    <row r="495" spans="10:28" x14ac:dyDescent="0.25">
      <c r="J495" s="13"/>
      <c r="K495" s="13"/>
      <c r="L495" s="13"/>
      <c r="M495" s="13"/>
      <c r="N495" s="35"/>
      <c r="O495" s="13"/>
      <c r="P495" s="13"/>
      <c r="Q495" s="35"/>
      <c r="R495" s="13"/>
      <c r="S495" s="13"/>
      <c r="T495" s="35"/>
      <c r="U495" s="13"/>
      <c r="V495" s="36"/>
      <c r="W495" s="13"/>
      <c r="X495" s="13"/>
      <c r="Y495" s="13"/>
      <c r="Z495" s="13"/>
      <c r="AA495" s="13"/>
      <c r="AB495" s="13"/>
    </row>
    <row r="496" spans="10:28" x14ac:dyDescent="0.25">
      <c r="J496" s="13"/>
      <c r="K496" s="13"/>
      <c r="L496" s="13"/>
      <c r="M496" s="13"/>
      <c r="N496" s="35"/>
      <c r="O496" s="13"/>
      <c r="P496" s="13"/>
      <c r="Q496" s="35"/>
      <c r="R496" s="13"/>
      <c r="S496" s="13"/>
      <c r="T496" s="35"/>
      <c r="U496" s="13"/>
      <c r="V496" s="36"/>
      <c r="W496" s="13"/>
      <c r="X496" s="13"/>
      <c r="Y496" s="13"/>
      <c r="Z496" s="13"/>
      <c r="AA496" s="13"/>
      <c r="AB496" s="13"/>
    </row>
    <row r="497" spans="10:28" x14ac:dyDescent="0.25">
      <c r="J497" s="13"/>
      <c r="K497" s="13"/>
      <c r="L497" s="13"/>
      <c r="M497" s="13"/>
      <c r="N497" s="35"/>
      <c r="O497" s="13"/>
      <c r="P497" s="13"/>
      <c r="Q497" s="35"/>
      <c r="R497" s="13"/>
      <c r="S497" s="13"/>
      <c r="T497" s="35"/>
      <c r="U497" s="13"/>
      <c r="V497" s="36"/>
      <c r="W497" s="13"/>
      <c r="X497" s="13"/>
      <c r="Y497" s="13"/>
      <c r="Z497" s="13"/>
      <c r="AA497" s="13"/>
      <c r="AB497" s="13"/>
    </row>
    <row r="498" spans="10:28" x14ac:dyDescent="0.25">
      <c r="J498" s="13"/>
      <c r="K498" s="13"/>
      <c r="L498" s="13"/>
      <c r="M498" s="13"/>
      <c r="N498" s="35"/>
      <c r="O498" s="13"/>
      <c r="P498" s="13"/>
      <c r="Q498" s="35"/>
      <c r="R498" s="13"/>
      <c r="S498" s="13"/>
      <c r="T498" s="35"/>
      <c r="U498" s="13"/>
      <c r="V498" s="36"/>
      <c r="W498" s="13"/>
      <c r="X498" s="13"/>
      <c r="Y498" s="13"/>
      <c r="Z498" s="13"/>
      <c r="AA498" s="13"/>
      <c r="AB498" s="13"/>
    </row>
    <row r="499" spans="10:28" x14ac:dyDescent="0.25">
      <c r="J499" s="13"/>
      <c r="K499" s="13"/>
      <c r="L499" s="13"/>
      <c r="M499" s="13"/>
      <c r="N499" s="35"/>
      <c r="O499" s="13"/>
      <c r="P499" s="13"/>
      <c r="Q499" s="35"/>
      <c r="R499" s="13"/>
      <c r="S499" s="13"/>
      <c r="T499" s="35"/>
      <c r="U499" s="13"/>
      <c r="V499" s="36"/>
      <c r="W499" s="13"/>
      <c r="X499" s="13"/>
      <c r="Y499" s="13"/>
      <c r="Z499" s="13"/>
      <c r="AA499" s="13"/>
      <c r="AB499" s="13"/>
    </row>
    <row r="500" spans="10:28" x14ac:dyDescent="0.25">
      <c r="J500" s="13"/>
      <c r="K500" s="13"/>
      <c r="L500" s="13"/>
      <c r="M500" s="13"/>
      <c r="N500" s="35"/>
      <c r="O500" s="13"/>
      <c r="P500" s="13"/>
      <c r="Q500" s="35"/>
      <c r="R500" s="13"/>
      <c r="S500" s="13"/>
      <c r="T500" s="35"/>
      <c r="U500" s="13"/>
      <c r="V500" s="36"/>
      <c r="W500" s="13"/>
      <c r="X500" s="13"/>
      <c r="Y500" s="13"/>
      <c r="Z500" s="13"/>
      <c r="AA500" s="13"/>
      <c r="AB500" s="13"/>
    </row>
    <row r="501" spans="10:28" x14ac:dyDescent="0.25">
      <c r="J501" s="13"/>
      <c r="K501" s="13"/>
      <c r="L501" s="13"/>
      <c r="M501" s="13"/>
      <c r="N501" s="35"/>
      <c r="O501" s="13"/>
      <c r="P501" s="13"/>
      <c r="Q501" s="35"/>
      <c r="R501" s="13"/>
      <c r="S501" s="13"/>
      <c r="T501" s="35"/>
      <c r="U501" s="13"/>
      <c r="V501" s="36"/>
      <c r="W501" s="13"/>
      <c r="X501" s="13"/>
      <c r="Y501" s="13"/>
      <c r="Z501" s="13"/>
      <c r="AA501" s="13"/>
      <c r="AB501" s="13"/>
    </row>
    <row r="502" spans="10:28" x14ac:dyDescent="0.25">
      <c r="J502" s="13"/>
      <c r="K502" s="13"/>
      <c r="L502" s="13"/>
      <c r="M502" s="13"/>
      <c r="N502" s="35"/>
      <c r="O502" s="13"/>
      <c r="P502" s="13"/>
      <c r="Q502" s="35"/>
      <c r="R502" s="13"/>
      <c r="S502" s="13"/>
      <c r="T502" s="35"/>
      <c r="U502" s="13"/>
      <c r="V502" s="36"/>
      <c r="W502" s="13"/>
      <c r="X502" s="13"/>
      <c r="Y502" s="13"/>
      <c r="Z502" s="13"/>
      <c r="AA502" s="13"/>
      <c r="AB502" s="13"/>
    </row>
    <row r="503" spans="10:28" x14ac:dyDescent="0.25">
      <c r="J503" s="13"/>
      <c r="K503" s="13"/>
      <c r="L503" s="13"/>
      <c r="M503" s="13"/>
      <c r="N503" s="35"/>
      <c r="O503" s="13"/>
      <c r="P503" s="13"/>
      <c r="Q503" s="35"/>
      <c r="R503" s="13"/>
      <c r="S503" s="13"/>
      <c r="T503" s="35"/>
      <c r="U503" s="13"/>
      <c r="V503" s="36"/>
      <c r="W503" s="13"/>
      <c r="X503" s="13"/>
      <c r="Y503" s="13"/>
      <c r="Z503" s="13"/>
      <c r="AA503" s="13"/>
      <c r="AB503" s="13"/>
    </row>
    <row r="504" spans="10:28" x14ac:dyDescent="0.25">
      <c r="J504" s="13"/>
      <c r="K504" s="13"/>
      <c r="L504" s="13"/>
      <c r="M504" s="13"/>
      <c r="N504" s="35"/>
      <c r="O504" s="13"/>
      <c r="P504" s="13"/>
      <c r="Q504" s="35"/>
      <c r="R504" s="13"/>
      <c r="S504" s="13"/>
      <c r="T504" s="35"/>
      <c r="U504" s="13"/>
      <c r="V504" s="36"/>
      <c r="W504" s="13"/>
      <c r="X504" s="13"/>
      <c r="Y504" s="13"/>
      <c r="Z504" s="13"/>
      <c r="AA504" s="13"/>
      <c r="AB504" s="13"/>
    </row>
    <row r="505" spans="10:28" x14ac:dyDescent="0.25">
      <c r="J505" s="13"/>
      <c r="K505" s="13"/>
      <c r="L505" s="13"/>
      <c r="M505" s="13"/>
      <c r="N505" s="35"/>
      <c r="O505" s="13"/>
      <c r="P505" s="13"/>
      <c r="Q505" s="35"/>
      <c r="R505" s="13"/>
      <c r="S505" s="13"/>
      <c r="T505" s="35"/>
      <c r="U505" s="13"/>
      <c r="V505" s="36"/>
      <c r="W505" s="13"/>
      <c r="X505" s="13"/>
      <c r="Y505" s="13"/>
      <c r="Z505" s="13"/>
      <c r="AA505" s="13"/>
      <c r="AB505" s="13"/>
    </row>
    <row r="506" spans="10:28" x14ac:dyDescent="0.25">
      <c r="J506" s="13"/>
      <c r="K506" s="13"/>
      <c r="L506" s="13"/>
      <c r="M506" s="13"/>
      <c r="N506" s="35"/>
      <c r="O506" s="13"/>
      <c r="P506" s="13"/>
      <c r="Q506" s="35"/>
      <c r="R506" s="13"/>
      <c r="S506" s="13"/>
      <c r="T506" s="35"/>
      <c r="U506" s="13"/>
      <c r="V506" s="36"/>
      <c r="W506" s="13"/>
      <c r="X506" s="13"/>
      <c r="Y506" s="13"/>
      <c r="Z506" s="13"/>
      <c r="AA506" s="13"/>
      <c r="AB506" s="13"/>
    </row>
    <row r="507" spans="10:28" x14ac:dyDescent="0.25">
      <c r="J507" s="13"/>
      <c r="K507" s="13"/>
      <c r="L507" s="13"/>
      <c r="M507" s="13"/>
      <c r="N507" s="35"/>
      <c r="O507" s="13"/>
      <c r="P507" s="13"/>
      <c r="Q507" s="35"/>
      <c r="R507" s="13"/>
      <c r="S507" s="13"/>
      <c r="T507" s="35"/>
      <c r="U507" s="13"/>
      <c r="V507" s="36"/>
      <c r="W507" s="13"/>
      <c r="X507" s="13"/>
      <c r="Y507" s="13"/>
      <c r="Z507" s="13"/>
      <c r="AA507" s="13"/>
      <c r="AB507" s="13"/>
    </row>
    <row r="508" spans="10:28" x14ac:dyDescent="0.25">
      <c r="J508" s="13"/>
      <c r="K508" s="13"/>
      <c r="L508" s="13"/>
      <c r="M508" s="13"/>
      <c r="N508" s="35"/>
      <c r="O508" s="13"/>
      <c r="P508" s="13"/>
      <c r="Q508" s="35"/>
      <c r="R508" s="13"/>
      <c r="S508" s="13"/>
      <c r="T508" s="35"/>
      <c r="U508" s="13"/>
      <c r="V508" s="36"/>
      <c r="W508" s="13"/>
      <c r="X508" s="13"/>
      <c r="Y508" s="13"/>
      <c r="Z508" s="13"/>
      <c r="AA508" s="13"/>
      <c r="AB508" s="13"/>
    </row>
    <row r="509" spans="10:28" x14ac:dyDescent="0.25">
      <c r="J509" s="13"/>
      <c r="K509" s="13"/>
      <c r="L509" s="13"/>
      <c r="M509" s="13"/>
      <c r="N509" s="35"/>
      <c r="O509" s="13"/>
      <c r="P509" s="13"/>
      <c r="Q509" s="35"/>
      <c r="R509" s="13"/>
      <c r="S509" s="13"/>
      <c r="T509" s="35"/>
      <c r="U509" s="13"/>
      <c r="V509" s="36"/>
      <c r="W509" s="13"/>
      <c r="X509" s="13"/>
      <c r="Y509" s="13"/>
      <c r="Z509" s="13"/>
      <c r="AA509" s="13"/>
      <c r="AB509" s="13"/>
    </row>
    <row r="510" spans="10:28" x14ac:dyDescent="0.25">
      <c r="J510" s="13"/>
      <c r="K510" s="13"/>
      <c r="L510" s="13"/>
      <c r="M510" s="13"/>
      <c r="N510" s="35"/>
      <c r="O510" s="13"/>
      <c r="P510" s="13"/>
      <c r="Q510" s="35"/>
      <c r="R510" s="13"/>
      <c r="S510" s="13"/>
      <c r="T510" s="35"/>
      <c r="U510" s="13"/>
      <c r="V510" s="36"/>
      <c r="W510" s="13"/>
      <c r="X510" s="13"/>
      <c r="Y510" s="13"/>
      <c r="Z510" s="13"/>
      <c r="AA510" s="13"/>
      <c r="AB510" s="13"/>
    </row>
    <row r="511" spans="10:28" x14ac:dyDescent="0.25">
      <c r="J511" s="13"/>
      <c r="K511" s="13"/>
      <c r="L511" s="13"/>
      <c r="M511" s="13"/>
      <c r="N511" s="35"/>
      <c r="O511" s="13"/>
      <c r="P511" s="13"/>
      <c r="Q511" s="35"/>
      <c r="R511" s="13"/>
      <c r="S511" s="13"/>
      <c r="T511" s="35"/>
      <c r="U511" s="13"/>
      <c r="V511" s="36"/>
      <c r="W511" s="13"/>
      <c r="X511" s="13"/>
      <c r="Y511" s="13"/>
      <c r="Z511" s="13"/>
      <c r="AA511" s="13"/>
      <c r="AB511" s="13"/>
    </row>
    <row r="512" spans="10:28" x14ac:dyDescent="0.25">
      <c r="J512" s="13"/>
      <c r="K512" s="13"/>
      <c r="L512" s="13"/>
      <c r="M512" s="13"/>
      <c r="N512" s="35"/>
      <c r="O512" s="13"/>
      <c r="P512" s="13"/>
      <c r="Q512" s="35"/>
      <c r="R512" s="13"/>
      <c r="S512" s="13"/>
      <c r="T512" s="35"/>
      <c r="U512" s="13"/>
      <c r="V512" s="36"/>
      <c r="W512" s="13"/>
      <c r="X512" s="13"/>
      <c r="Y512" s="13"/>
      <c r="Z512" s="13"/>
      <c r="AA512" s="13"/>
      <c r="AB512" s="13"/>
    </row>
    <row r="513" spans="10:28" x14ac:dyDescent="0.25">
      <c r="J513" s="13"/>
      <c r="K513" s="13"/>
      <c r="L513" s="13"/>
      <c r="M513" s="13"/>
      <c r="N513" s="35"/>
      <c r="O513" s="13"/>
      <c r="P513" s="13"/>
      <c r="Q513" s="35"/>
      <c r="R513" s="13"/>
      <c r="S513" s="13"/>
      <c r="T513" s="35"/>
      <c r="U513" s="13"/>
      <c r="V513" s="36"/>
      <c r="W513" s="13"/>
      <c r="X513" s="13"/>
      <c r="Y513" s="13"/>
      <c r="Z513" s="13"/>
      <c r="AA513" s="13"/>
      <c r="AB513" s="13"/>
    </row>
    <row r="514" spans="10:28" x14ac:dyDescent="0.25">
      <c r="J514" s="13"/>
      <c r="K514" s="13"/>
      <c r="L514" s="13"/>
      <c r="M514" s="13"/>
      <c r="N514" s="35"/>
      <c r="O514" s="13"/>
      <c r="P514" s="13"/>
      <c r="Q514" s="35"/>
      <c r="R514" s="13"/>
      <c r="S514" s="13"/>
      <c r="T514" s="35"/>
      <c r="U514" s="13"/>
      <c r="V514" s="36"/>
      <c r="W514" s="13"/>
      <c r="X514" s="13"/>
      <c r="Y514" s="13"/>
      <c r="Z514" s="13"/>
      <c r="AA514" s="13"/>
      <c r="AB514" s="13"/>
    </row>
    <row r="515" spans="10:28" x14ac:dyDescent="0.25">
      <c r="J515" s="13"/>
      <c r="K515" s="13"/>
      <c r="L515" s="13"/>
      <c r="M515" s="13"/>
      <c r="N515" s="35"/>
      <c r="O515" s="13"/>
      <c r="P515" s="13"/>
      <c r="Q515" s="35"/>
      <c r="R515" s="13"/>
      <c r="S515" s="13"/>
      <c r="T515" s="35"/>
      <c r="U515" s="13"/>
      <c r="V515" s="36"/>
      <c r="W515" s="13"/>
      <c r="X515" s="13"/>
      <c r="Y515" s="13"/>
      <c r="Z515" s="13"/>
      <c r="AA515" s="13"/>
      <c r="AB515" s="13"/>
    </row>
    <row r="516" spans="10:28" x14ac:dyDescent="0.25">
      <c r="J516" s="13"/>
      <c r="K516" s="13"/>
      <c r="L516" s="13"/>
      <c r="M516" s="13"/>
      <c r="N516" s="35"/>
      <c r="O516" s="13"/>
      <c r="P516" s="13"/>
      <c r="Q516" s="35"/>
      <c r="R516" s="13"/>
      <c r="S516" s="13"/>
      <c r="T516" s="35"/>
      <c r="U516" s="13"/>
      <c r="V516" s="36"/>
      <c r="W516" s="13"/>
      <c r="X516" s="13"/>
      <c r="Y516" s="13"/>
      <c r="Z516" s="13"/>
      <c r="AA516" s="13"/>
      <c r="AB516" s="13"/>
    </row>
    <row r="517" spans="10:28" x14ac:dyDescent="0.25">
      <c r="J517" s="13"/>
      <c r="K517" s="13"/>
      <c r="L517" s="13"/>
      <c r="M517" s="13"/>
      <c r="N517" s="35"/>
      <c r="O517" s="13"/>
      <c r="P517" s="13"/>
      <c r="Q517" s="35"/>
      <c r="R517" s="13"/>
      <c r="S517" s="13"/>
      <c r="T517" s="35"/>
      <c r="U517" s="13"/>
      <c r="V517" s="36"/>
      <c r="W517" s="13"/>
      <c r="X517" s="13"/>
      <c r="Y517" s="13"/>
      <c r="Z517" s="13"/>
      <c r="AA517" s="13"/>
      <c r="AB517" s="13"/>
    </row>
    <row r="518" spans="10:28" x14ac:dyDescent="0.25">
      <c r="J518" s="13"/>
      <c r="K518" s="13"/>
      <c r="L518" s="13"/>
      <c r="M518" s="13"/>
      <c r="N518" s="35"/>
      <c r="O518" s="13"/>
      <c r="P518" s="13"/>
      <c r="Q518" s="35"/>
      <c r="R518" s="13"/>
      <c r="S518" s="13"/>
      <c r="T518" s="35"/>
      <c r="U518" s="13"/>
      <c r="V518" s="36"/>
      <c r="W518" s="13"/>
      <c r="X518" s="13"/>
      <c r="Y518" s="13"/>
      <c r="Z518" s="13"/>
      <c r="AA518" s="13"/>
      <c r="AB518" s="13"/>
    </row>
    <row r="519" spans="10:28" x14ac:dyDescent="0.25">
      <c r="J519" s="13"/>
      <c r="K519" s="13"/>
      <c r="L519" s="13"/>
      <c r="M519" s="13"/>
      <c r="N519" s="35"/>
      <c r="O519" s="13"/>
      <c r="P519" s="13"/>
      <c r="Q519" s="35"/>
      <c r="R519" s="13"/>
      <c r="S519" s="13"/>
      <c r="T519" s="35"/>
      <c r="U519" s="13"/>
      <c r="V519" s="36"/>
      <c r="W519" s="13"/>
      <c r="X519" s="13"/>
      <c r="Y519" s="13"/>
      <c r="Z519" s="13"/>
      <c r="AA519" s="13"/>
      <c r="AB519" s="13"/>
    </row>
    <row r="520" spans="10:28" x14ac:dyDescent="0.25">
      <c r="J520" s="13"/>
      <c r="K520" s="13"/>
      <c r="L520" s="13"/>
      <c r="M520" s="13"/>
      <c r="N520" s="35"/>
      <c r="O520" s="13"/>
      <c r="P520" s="13"/>
      <c r="Q520" s="35"/>
      <c r="R520" s="13"/>
      <c r="S520" s="13"/>
      <c r="T520" s="35"/>
      <c r="U520" s="13"/>
      <c r="V520" s="36"/>
      <c r="W520" s="13"/>
      <c r="X520" s="13"/>
      <c r="Y520" s="13"/>
      <c r="Z520" s="13"/>
      <c r="AA520" s="13"/>
      <c r="AB520" s="13"/>
    </row>
    <row r="521" spans="10:28" x14ac:dyDescent="0.25">
      <c r="J521" s="13"/>
      <c r="K521" s="13"/>
      <c r="L521" s="13"/>
      <c r="M521" s="13"/>
      <c r="N521" s="35"/>
      <c r="O521" s="13"/>
      <c r="P521" s="13"/>
      <c r="Q521" s="35"/>
      <c r="R521" s="13"/>
      <c r="S521" s="13"/>
      <c r="T521" s="35"/>
      <c r="U521" s="13"/>
      <c r="V521" s="36"/>
      <c r="W521" s="13"/>
      <c r="X521" s="13"/>
      <c r="Y521" s="13"/>
      <c r="Z521" s="13"/>
      <c r="AA521" s="13"/>
      <c r="AB521" s="13"/>
    </row>
    <row r="522" spans="10:28" x14ac:dyDescent="0.25">
      <c r="J522" s="13"/>
      <c r="K522" s="13"/>
      <c r="L522" s="13"/>
      <c r="M522" s="13"/>
      <c r="N522" s="35"/>
      <c r="O522" s="13"/>
      <c r="P522" s="13"/>
      <c r="Q522" s="35"/>
      <c r="R522" s="13"/>
      <c r="S522" s="13"/>
      <c r="T522" s="35"/>
      <c r="U522" s="13"/>
      <c r="V522" s="36"/>
      <c r="W522" s="13"/>
      <c r="X522" s="13"/>
      <c r="Y522" s="13"/>
      <c r="Z522" s="13"/>
      <c r="AA522" s="13"/>
      <c r="AB522" s="13"/>
    </row>
    <row r="523" spans="10:28" x14ac:dyDescent="0.25">
      <c r="J523" s="13"/>
      <c r="K523" s="13"/>
      <c r="L523" s="13"/>
      <c r="M523" s="13"/>
      <c r="N523" s="35"/>
      <c r="O523" s="13"/>
      <c r="P523" s="13"/>
      <c r="Q523" s="35"/>
      <c r="R523" s="13"/>
      <c r="S523" s="13"/>
      <c r="T523" s="35"/>
      <c r="U523" s="13"/>
      <c r="V523" s="36"/>
      <c r="W523" s="13"/>
      <c r="X523" s="13"/>
      <c r="Y523" s="13"/>
      <c r="Z523" s="13"/>
      <c r="AA523" s="13"/>
      <c r="AB523" s="13"/>
    </row>
    <row r="524" spans="10:28" x14ac:dyDescent="0.25">
      <c r="J524" s="13"/>
      <c r="K524" s="13"/>
      <c r="L524" s="13"/>
      <c r="M524" s="13"/>
      <c r="N524" s="35"/>
      <c r="O524" s="13"/>
      <c r="P524" s="13"/>
      <c r="Q524" s="35"/>
      <c r="R524" s="13"/>
      <c r="S524" s="13"/>
      <c r="T524" s="35"/>
      <c r="U524" s="13"/>
      <c r="V524" s="36"/>
      <c r="W524" s="13"/>
      <c r="X524" s="13"/>
      <c r="Y524" s="13"/>
      <c r="Z524" s="13"/>
      <c r="AA524" s="13"/>
      <c r="AB524" s="13"/>
    </row>
    <row r="525" spans="10:28" x14ac:dyDescent="0.25">
      <c r="J525" s="13"/>
      <c r="K525" s="13"/>
      <c r="L525" s="13"/>
      <c r="M525" s="13"/>
      <c r="N525" s="35"/>
      <c r="O525" s="13"/>
      <c r="P525" s="13"/>
      <c r="Q525" s="35"/>
      <c r="R525" s="13"/>
      <c r="S525" s="13"/>
      <c r="T525" s="35"/>
      <c r="U525" s="13"/>
      <c r="V525" s="36"/>
      <c r="W525" s="13"/>
      <c r="X525" s="13"/>
      <c r="Y525" s="13"/>
      <c r="Z525" s="13"/>
      <c r="AA525" s="13"/>
      <c r="AB525" s="13"/>
    </row>
    <row r="526" spans="10:28" x14ac:dyDescent="0.25">
      <c r="J526" s="13"/>
      <c r="K526" s="13"/>
      <c r="L526" s="13"/>
      <c r="M526" s="13"/>
      <c r="N526" s="35"/>
      <c r="O526" s="13"/>
      <c r="P526" s="13"/>
      <c r="Q526" s="35"/>
      <c r="R526" s="13"/>
      <c r="S526" s="13"/>
      <c r="T526" s="35"/>
      <c r="U526" s="13"/>
      <c r="V526" s="36"/>
      <c r="W526" s="13"/>
      <c r="X526" s="13"/>
      <c r="Y526" s="13"/>
      <c r="Z526" s="13"/>
      <c r="AA526" s="13"/>
      <c r="AB526" s="13"/>
    </row>
    <row r="527" spans="10:28" x14ac:dyDescent="0.25">
      <c r="J527" s="13"/>
      <c r="K527" s="13"/>
      <c r="L527" s="13"/>
      <c r="M527" s="13"/>
      <c r="N527" s="35"/>
      <c r="O527" s="13"/>
      <c r="P527" s="13"/>
      <c r="Q527" s="35"/>
      <c r="R527" s="13"/>
      <c r="S527" s="13"/>
      <c r="T527" s="35"/>
      <c r="U527" s="13"/>
      <c r="V527" s="36"/>
      <c r="W527" s="13"/>
      <c r="X527" s="13"/>
      <c r="Y527" s="13"/>
      <c r="Z527" s="13"/>
      <c r="AA527" s="13"/>
      <c r="AB527" s="13"/>
    </row>
    <row r="528" spans="10:28" x14ac:dyDescent="0.25">
      <c r="J528" s="13"/>
      <c r="K528" s="13"/>
      <c r="L528" s="13"/>
      <c r="M528" s="13"/>
      <c r="N528" s="35"/>
      <c r="O528" s="13"/>
      <c r="P528" s="13"/>
      <c r="Q528" s="35"/>
      <c r="R528" s="13"/>
      <c r="S528" s="13"/>
      <c r="T528" s="35"/>
      <c r="U528" s="13"/>
      <c r="V528" s="36"/>
      <c r="W528" s="13"/>
      <c r="X528" s="13"/>
      <c r="Y528" s="13"/>
      <c r="Z528" s="13"/>
      <c r="AA528" s="13"/>
      <c r="AB528" s="13"/>
    </row>
    <row r="529" spans="10:28" x14ac:dyDescent="0.25">
      <c r="J529" s="13"/>
      <c r="K529" s="13"/>
      <c r="L529" s="13"/>
      <c r="M529" s="13"/>
      <c r="N529" s="35"/>
      <c r="O529" s="13"/>
      <c r="P529" s="13"/>
      <c r="Q529" s="35"/>
      <c r="R529" s="13"/>
      <c r="S529" s="13"/>
      <c r="T529" s="35"/>
      <c r="U529" s="13"/>
      <c r="V529" s="36"/>
      <c r="W529" s="13"/>
      <c r="X529" s="13"/>
      <c r="Y529" s="13"/>
      <c r="Z529" s="13"/>
      <c r="AA529" s="13"/>
      <c r="AB529" s="13"/>
    </row>
    <row r="530" spans="10:28" x14ac:dyDescent="0.25">
      <c r="J530" s="13"/>
      <c r="K530" s="13"/>
      <c r="L530" s="13"/>
      <c r="M530" s="13"/>
      <c r="N530" s="35"/>
      <c r="O530" s="13"/>
      <c r="P530" s="13"/>
      <c r="Q530" s="35"/>
      <c r="R530" s="13"/>
      <c r="S530" s="13"/>
      <c r="T530" s="35"/>
      <c r="U530" s="13"/>
      <c r="V530" s="36"/>
      <c r="W530" s="13"/>
      <c r="X530" s="13"/>
      <c r="Y530" s="13"/>
      <c r="Z530" s="13"/>
      <c r="AA530" s="13"/>
      <c r="AB530" s="13"/>
    </row>
    <row r="531" spans="10:28" x14ac:dyDescent="0.25">
      <c r="J531" s="13"/>
      <c r="K531" s="13"/>
      <c r="L531" s="13"/>
      <c r="M531" s="13"/>
      <c r="N531" s="35"/>
      <c r="O531" s="13"/>
      <c r="P531" s="13"/>
      <c r="Q531" s="35"/>
      <c r="R531" s="13"/>
      <c r="S531" s="13"/>
      <c r="T531" s="35"/>
      <c r="U531" s="13"/>
      <c r="V531" s="36"/>
      <c r="W531" s="13"/>
      <c r="X531" s="13"/>
      <c r="Y531" s="13"/>
      <c r="Z531" s="13"/>
      <c r="AA531" s="13"/>
      <c r="AB531" s="13"/>
    </row>
    <row r="532" spans="10:28" x14ac:dyDescent="0.25">
      <c r="J532" s="13"/>
      <c r="K532" s="13"/>
      <c r="L532" s="13"/>
      <c r="M532" s="13"/>
      <c r="N532" s="35"/>
      <c r="O532" s="13"/>
      <c r="P532" s="13"/>
      <c r="Q532" s="35"/>
      <c r="R532" s="13"/>
      <c r="S532" s="13"/>
      <c r="T532" s="35"/>
      <c r="U532" s="13"/>
      <c r="V532" s="36"/>
      <c r="W532" s="13"/>
      <c r="X532" s="13"/>
      <c r="Y532" s="13"/>
      <c r="Z532" s="13"/>
      <c r="AA532" s="13"/>
      <c r="AB532" s="13"/>
    </row>
    <row r="533" spans="10:28" x14ac:dyDescent="0.25">
      <c r="J533" s="13"/>
      <c r="K533" s="13"/>
      <c r="L533" s="13"/>
      <c r="M533" s="13"/>
      <c r="N533" s="35"/>
      <c r="O533" s="13"/>
      <c r="P533" s="13"/>
      <c r="Q533" s="35"/>
      <c r="R533" s="13"/>
      <c r="S533" s="13"/>
      <c r="T533" s="35"/>
      <c r="U533" s="13"/>
      <c r="V533" s="36"/>
      <c r="W533" s="13"/>
      <c r="X533" s="13"/>
      <c r="Y533" s="13"/>
      <c r="Z533" s="13"/>
      <c r="AA533" s="13"/>
      <c r="AB533" s="13"/>
    </row>
    <row r="534" spans="10:28" x14ac:dyDescent="0.25">
      <c r="J534" s="13"/>
      <c r="K534" s="13"/>
      <c r="L534" s="13"/>
      <c r="M534" s="13"/>
      <c r="N534" s="35"/>
      <c r="O534" s="13"/>
      <c r="P534" s="13"/>
      <c r="Q534" s="35"/>
      <c r="R534" s="13"/>
      <c r="S534" s="13"/>
      <c r="T534" s="35"/>
      <c r="U534" s="13"/>
      <c r="V534" s="36"/>
      <c r="W534" s="13"/>
      <c r="X534" s="13"/>
      <c r="Y534" s="13"/>
      <c r="Z534" s="13"/>
      <c r="AA534" s="13"/>
      <c r="AB534" s="13"/>
    </row>
    <row r="535" spans="10:28" x14ac:dyDescent="0.25">
      <c r="J535" s="13"/>
      <c r="K535" s="13"/>
      <c r="L535" s="13"/>
      <c r="M535" s="13"/>
      <c r="N535" s="35"/>
      <c r="O535" s="13"/>
      <c r="P535" s="13"/>
      <c r="Q535" s="35"/>
      <c r="R535" s="13"/>
      <c r="S535" s="13"/>
      <c r="T535" s="35"/>
      <c r="U535" s="13"/>
      <c r="V535" s="36"/>
      <c r="W535" s="13"/>
      <c r="X535" s="13"/>
      <c r="Y535" s="13"/>
      <c r="Z535" s="13"/>
      <c r="AA535" s="13"/>
      <c r="AB535" s="13"/>
    </row>
    <row r="536" spans="10:28" x14ac:dyDescent="0.25">
      <c r="J536" s="13"/>
      <c r="K536" s="13"/>
      <c r="L536" s="13"/>
      <c r="M536" s="13"/>
      <c r="N536" s="35"/>
      <c r="O536" s="13"/>
      <c r="P536" s="13"/>
      <c r="Q536" s="35"/>
      <c r="R536" s="13"/>
      <c r="S536" s="13"/>
      <c r="T536" s="35"/>
      <c r="U536" s="13"/>
      <c r="V536" s="36"/>
      <c r="W536" s="13"/>
      <c r="X536" s="13"/>
      <c r="Y536" s="13"/>
      <c r="Z536" s="13"/>
      <c r="AA536" s="13"/>
      <c r="AB536" s="13"/>
    </row>
    <row r="537" spans="10:28" x14ac:dyDescent="0.25">
      <c r="J537" s="13"/>
      <c r="K537" s="13"/>
      <c r="L537" s="13"/>
      <c r="M537" s="13"/>
      <c r="N537" s="35"/>
      <c r="O537" s="13"/>
      <c r="P537" s="13"/>
      <c r="Q537" s="35"/>
      <c r="R537" s="13"/>
      <c r="S537" s="13"/>
      <c r="T537" s="35"/>
      <c r="U537" s="13"/>
      <c r="V537" s="36"/>
      <c r="W537" s="13"/>
      <c r="X537" s="13"/>
      <c r="Y537" s="13"/>
      <c r="Z537" s="13"/>
      <c r="AA537" s="13"/>
      <c r="AB537" s="13"/>
    </row>
    <row r="538" spans="10:28" x14ac:dyDescent="0.25">
      <c r="J538" s="13"/>
      <c r="K538" s="13"/>
      <c r="L538" s="13"/>
      <c r="M538" s="13"/>
      <c r="N538" s="35"/>
      <c r="O538" s="13"/>
      <c r="P538" s="13"/>
      <c r="Q538" s="35"/>
      <c r="R538" s="13"/>
      <c r="S538" s="13"/>
      <c r="T538" s="35"/>
      <c r="U538" s="13"/>
      <c r="V538" s="36"/>
      <c r="W538" s="13"/>
      <c r="X538" s="13"/>
      <c r="Y538" s="13"/>
      <c r="Z538" s="13"/>
      <c r="AA538" s="13"/>
      <c r="AB538" s="13"/>
    </row>
    <row r="539" spans="10:28" x14ac:dyDescent="0.25">
      <c r="J539" s="13"/>
      <c r="K539" s="13"/>
      <c r="L539" s="13"/>
      <c r="M539" s="13"/>
      <c r="N539" s="35"/>
      <c r="O539" s="13"/>
      <c r="P539" s="13"/>
      <c r="Q539" s="35"/>
      <c r="R539" s="13"/>
      <c r="S539" s="13"/>
      <c r="T539" s="35"/>
      <c r="U539" s="13"/>
      <c r="V539" s="36"/>
      <c r="W539" s="13"/>
      <c r="X539" s="13"/>
      <c r="Y539" s="13"/>
      <c r="Z539" s="13"/>
      <c r="AA539" s="13"/>
      <c r="AB539" s="13"/>
    </row>
    <row r="540" spans="10:28" x14ac:dyDescent="0.25">
      <c r="J540" s="13"/>
      <c r="K540" s="13"/>
      <c r="L540" s="13"/>
      <c r="M540" s="13"/>
      <c r="N540" s="35"/>
      <c r="O540" s="13"/>
      <c r="P540" s="13"/>
      <c r="Q540" s="35"/>
      <c r="R540" s="13"/>
      <c r="S540" s="13"/>
      <c r="T540" s="35"/>
      <c r="U540" s="13"/>
      <c r="V540" s="36"/>
      <c r="W540" s="13"/>
      <c r="X540" s="13"/>
      <c r="Y540" s="13"/>
      <c r="Z540" s="13"/>
      <c r="AA540" s="13"/>
      <c r="AB540" s="13"/>
    </row>
    <row r="541" spans="10:28" x14ac:dyDescent="0.25">
      <c r="J541" s="13"/>
      <c r="K541" s="13"/>
      <c r="L541" s="13"/>
      <c r="M541" s="13"/>
      <c r="N541" s="35"/>
      <c r="O541" s="13"/>
      <c r="P541" s="13"/>
      <c r="Q541" s="35"/>
      <c r="R541" s="13"/>
      <c r="S541" s="13"/>
      <c r="T541" s="35"/>
      <c r="U541" s="13"/>
      <c r="V541" s="36"/>
      <c r="W541" s="13"/>
      <c r="X541" s="13"/>
      <c r="Y541" s="13"/>
      <c r="Z541" s="13"/>
      <c r="AA541" s="13"/>
      <c r="AB541" s="13"/>
    </row>
    <row r="542" spans="10:28" x14ac:dyDescent="0.25">
      <c r="J542" s="13"/>
      <c r="K542" s="13"/>
      <c r="L542" s="13"/>
      <c r="M542" s="13"/>
      <c r="N542" s="35"/>
      <c r="O542" s="13"/>
      <c r="P542" s="13"/>
      <c r="Q542" s="35"/>
      <c r="R542" s="13"/>
      <c r="S542" s="13"/>
      <c r="T542" s="35"/>
      <c r="U542" s="13"/>
      <c r="V542" s="36"/>
      <c r="W542" s="13"/>
      <c r="X542" s="13"/>
      <c r="Y542" s="13"/>
      <c r="Z542" s="13"/>
      <c r="AA542" s="13"/>
      <c r="AB542" s="13"/>
    </row>
    <row r="543" spans="10:28" x14ac:dyDescent="0.25">
      <c r="J543" s="13"/>
      <c r="K543" s="13"/>
      <c r="L543" s="13"/>
      <c r="M543" s="13"/>
      <c r="N543" s="35"/>
      <c r="O543" s="13"/>
      <c r="P543" s="13"/>
      <c r="Q543" s="35"/>
      <c r="R543" s="13"/>
      <c r="S543" s="13"/>
      <c r="T543" s="35"/>
      <c r="U543" s="13"/>
      <c r="V543" s="36"/>
      <c r="W543" s="13"/>
      <c r="X543" s="13"/>
      <c r="Y543" s="13"/>
      <c r="Z543" s="13"/>
      <c r="AA543" s="13"/>
      <c r="AB543" s="13"/>
    </row>
    <row r="544" spans="10:28" x14ac:dyDescent="0.25">
      <c r="J544" s="13"/>
      <c r="K544" s="13"/>
      <c r="L544" s="13"/>
      <c r="M544" s="13"/>
      <c r="N544" s="35"/>
      <c r="O544" s="13"/>
      <c r="P544" s="13"/>
      <c r="Q544" s="35"/>
      <c r="R544" s="13"/>
      <c r="S544" s="13"/>
      <c r="T544" s="35"/>
      <c r="U544" s="13"/>
      <c r="V544" s="36"/>
      <c r="W544" s="13"/>
      <c r="X544" s="13"/>
      <c r="Y544" s="13"/>
      <c r="Z544" s="13"/>
      <c r="AA544" s="13"/>
      <c r="AB544" s="13"/>
    </row>
    <row r="545" spans="10:28" x14ac:dyDescent="0.25">
      <c r="J545" s="13"/>
      <c r="K545" s="13"/>
      <c r="L545" s="13"/>
      <c r="M545" s="13"/>
      <c r="N545" s="35"/>
      <c r="O545" s="13"/>
      <c r="P545" s="13"/>
      <c r="Q545" s="35"/>
      <c r="R545" s="13"/>
      <c r="S545" s="13"/>
      <c r="T545" s="35"/>
      <c r="U545" s="13"/>
      <c r="V545" s="36"/>
      <c r="W545" s="13"/>
      <c r="X545" s="13"/>
      <c r="Y545" s="13"/>
      <c r="Z545" s="13"/>
      <c r="AA545" s="13"/>
      <c r="AB545" s="13"/>
    </row>
    <row r="546" spans="10:28" x14ac:dyDescent="0.25">
      <c r="J546" s="13"/>
      <c r="K546" s="13"/>
      <c r="L546" s="13"/>
      <c r="M546" s="13"/>
      <c r="N546" s="35"/>
      <c r="O546" s="13"/>
      <c r="P546" s="13"/>
      <c r="Q546" s="35"/>
      <c r="R546" s="13"/>
      <c r="S546" s="13"/>
      <c r="T546" s="35"/>
      <c r="U546" s="13"/>
      <c r="V546" s="36"/>
      <c r="W546" s="13"/>
      <c r="X546" s="13"/>
      <c r="Y546" s="13"/>
      <c r="Z546" s="13"/>
      <c r="AA546" s="13"/>
      <c r="AB546" s="13"/>
    </row>
    <row r="547" spans="10:28" x14ac:dyDescent="0.25">
      <c r="J547" s="13"/>
      <c r="K547" s="13"/>
      <c r="L547" s="13"/>
      <c r="M547" s="13"/>
      <c r="N547" s="35"/>
      <c r="O547" s="13"/>
      <c r="P547" s="13"/>
      <c r="Q547" s="35"/>
      <c r="R547" s="13"/>
      <c r="S547" s="13"/>
      <c r="T547" s="35"/>
      <c r="U547" s="13"/>
      <c r="V547" s="36"/>
      <c r="W547" s="13"/>
      <c r="X547" s="13"/>
      <c r="Y547" s="13"/>
      <c r="Z547" s="13"/>
      <c r="AA547" s="13"/>
      <c r="AB547" s="13"/>
    </row>
    <row r="548" spans="10:28" x14ac:dyDescent="0.25">
      <c r="J548" s="13"/>
      <c r="K548" s="13"/>
      <c r="L548" s="13"/>
      <c r="M548" s="13"/>
      <c r="N548" s="35"/>
      <c r="O548" s="13"/>
      <c r="P548" s="13"/>
      <c r="Q548" s="35"/>
      <c r="R548" s="13"/>
      <c r="S548" s="13"/>
      <c r="T548" s="35"/>
      <c r="U548" s="13"/>
      <c r="V548" s="36"/>
      <c r="W548" s="13"/>
      <c r="X548" s="13"/>
      <c r="Y548" s="13"/>
      <c r="Z548" s="13"/>
      <c r="AA548" s="13"/>
      <c r="AB548" s="13"/>
    </row>
    <row r="549" spans="10:28" x14ac:dyDescent="0.25">
      <c r="J549" s="13"/>
      <c r="K549" s="13"/>
      <c r="L549" s="13"/>
      <c r="M549" s="13"/>
      <c r="N549" s="35"/>
      <c r="O549" s="13"/>
      <c r="P549" s="13"/>
      <c r="Q549" s="35"/>
      <c r="R549" s="13"/>
      <c r="S549" s="13"/>
      <c r="T549" s="35"/>
      <c r="U549" s="13"/>
      <c r="V549" s="36"/>
      <c r="W549" s="13"/>
      <c r="X549" s="13"/>
      <c r="Y549" s="13"/>
      <c r="Z549" s="13"/>
      <c r="AA549" s="13"/>
      <c r="AB549" s="13"/>
    </row>
    <row r="550" spans="10:28" x14ac:dyDescent="0.25">
      <c r="J550" s="13"/>
      <c r="K550" s="13"/>
      <c r="L550" s="13"/>
      <c r="M550" s="13"/>
      <c r="N550" s="35"/>
      <c r="O550" s="13"/>
      <c r="P550" s="13"/>
      <c r="Q550" s="35"/>
      <c r="R550" s="13"/>
      <c r="S550" s="13"/>
      <c r="T550" s="35"/>
      <c r="U550" s="13"/>
      <c r="V550" s="36"/>
      <c r="W550" s="13"/>
      <c r="X550" s="13"/>
      <c r="Y550" s="13"/>
      <c r="Z550" s="13"/>
      <c r="AA550" s="13"/>
      <c r="AB550" s="13"/>
    </row>
    <row r="551" spans="10:28" x14ac:dyDescent="0.25">
      <c r="J551" s="13"/>
      <c r="K551" s="13"/>
      <c r="L551" s="13"/>
      <c r="M551" s="13"/>
      <c r="N551" s="35"/>
      <c r="O551" s="13"/>
      <c r="P551" s="13"/>
      <c r="Q551" s="35"/>
      <c r="R551" s="13"/>
      <c r="S551" s="13"/>
      <c r="T551" s="35"/>
      <c r="U551" s="13"/>
      <c r="V551" s="36"/>
      <c r="W551" s="13"/>
      <c r="X551" s="13"/>
      <c r="Y551" s="13"/>
      <c r="Z551" s="13"/>
      <c r="AA551" s="13"/>
      <c r="AB551" s="13"/>
    </row>
    <row r="552" spans="10:28" x14ac:dyDescent="0.25">
      <c r="J552" s="13"/>
      <c r="K552" s="13"/>
      <c r="L552" s="13"/>
      <c r="M552" s="13"/>
      <c r="N552" s="35"/>
      <c r="O552" s="13"/>
      <c r="P552" s="13"/>
      <c r="Q552" s="35"/>
      <c r="R552" s="13"/>
      <c r="S552" s="13"/>
      <c r="T552" s="35"/>
      <c r="U552" s="13"/>
      <c r="V552" s="36"/>
      <c r="W552" s="13"/>
      <c r="X552" s="13"/>
      <c r="Y552" s="13"/>
      <c r="Z552" s="13"/>
      <c r="AA552" s="13"/>
      <c r="AB552" s="13"/>
    </row>
    <row r="553" spans="10:28" x14ac:dyDescent="0.25">
      <c r="J553" s="13"/>
      <c r="K553" s="13"/>
      <c r="L553" s="13"/>
      <c r="M553" s="13"/>
      <c r="N553" s="35"/>
      <c r="O553" s="13"/>
      <c r="P553" s="13"/>
      <c r="Q553" s="35"/>
      <c r="R553" s="13"/>
      <c r="S553" s="13"/>
      <c r="T553" s="35"/>
      <c r="U553" s="13"/>
      <c r="V553" s="36"/>
      <c r="W553" s="13"/>
      <c r="X553" s="13"/>
      <c r="Y553" s="13"/>
      <c r="Z553" s="13"/>
      <c r="AA553" s="13"/>
      <c r="AB553" s="13"/>
    </row>
    <row r="554" spans="10:28" x14ac:dyDescent="0.25">
      <c r="J554" s="13"/>
      <c r="K554" s="13"/>
      <c r="L554" s="13"/>
      <c r="M554" s="13"/>
      <c r="N554" s="35"/>
      <c r="O554" s="13"/>
      <c r="P554" s="13"/>
      <c r="Q554" s="35"/>
      <c r="R554" s="13"/>
      <c r="S554" s="13"/>
      <c r="T554" s="35"/>
      <c r="U554" s="13"/>
      <c r="V554" s="36"/>
      <c r="W554" s="13"/>
      <c r="X554" s="13"/>
      <c r="Y554" s="13"/>
      <c r="Z554" s="13"/>
      <c r="AA554" s="13"/>
      <c r="AB554" s="13"/>
    </row>
    <row r="555" spans="10:28" x14ac:dyDescent="0.25">
      <c r="J555" s="13"/>
      <c r="K555" s="13"/>
      <c r="L555" s="13"/>
      <c r="M555" s="13"/>
      <c r="N555" s="35"/>
      <c r="O555" s="13"/>
      <c r="P555" s="13"/>
      <c r="Q555" s="35"/>
      <c r="R555" s="13"/>
      <c r="S555" s="13"/>
      <c r="T555" s="35"/>
      <c r="U555" s="13"/>
      <c r="V555" s="36"/>
      <c r="W555" s="13"/>
      <c r="X555" s="13"/>
      <c r="Y555" s="13"/>
      <c r="Z555" s="13"/>
      <c r="AA555" s="13"/>
      <c r="AB555" s="13"/>
    </row>
    <row r="556" spans="10:28" x14ac:dyDescent="0.25">
      <c r="J556" s="13"/>
      <c r="K556" s="13"/>
      <c r="L556" s="13"/>
      <c r="M556" s="13"/>
      <c r="N556" s="35"/>
      <c r="O556" s="13"/>
      <c r="P556" s="13"/>
      <c r="Q556" s="35"/>
      <c r="R556" s="13"/>
      <c r="S556" s="13"/>
      <c r="T556" s="35"/>
      <c r="U556" s="13"/>
      <c r="V556" s="36"/>
      <c r="W556" s="13"/>
      <c r="X556" s="13"/>
      <c r="Y556" s="13"/>
      <c r="Z556" s="13"/>
      <c r="AA556" s="13"/>
      <c r="AB556" s="13"/>
    </row>
    <row r="557" spans="10:28" x14ac:dyDescent="0.25">
      <c r="J557" s="13"/>
      <c r="K557" s="13"/>
      <c r="L557" s="13"/>
      <c r="M557" s="13"/>
      <c r="N557" s="35"/>
      <c r="O557" s="13"/>
      <c r="P557" s="13"/>
      <c r="Q557" s="35"/>
      <c r="R557" s="13"/>
      <c r="S557" s="13"/>
      <c r="T557" s="35"/>
      <c r="U557" s="13"/>
      <c r="V557" s="36"/>
      <c r="W557" s="13"/>
      <c r="X557" s="13"/>
      <c r="Y557" s="13"/>
      <c r="Z557" s="13"/>
      <c r="AA557" s="13"/>
      <c r="AB557" s="13"/>
    </row>
    <row r="558" spans="10:28" x14ac:dyDescent="0.25">
      <c r="J558" s="13"/>
      <c r="K558" s="13"/>
      <c r="L558" s="13"/>
      <c r="M558" s="13"/>
      <c r="N558" s="35"/>
      <c r="O558" s="13"/>
      <c r="P558" s="13"/>
      <c r="Q558" s="35"/>
      <c r="R558" s="13"/>
      <c r="S558" s="13"/>
      <c r="T558" s="35"/>
      <c r="U558" s="13"/>
      <c r="V558" s="36"/>
      <c r="W558" s="13"/>
      <c r="X558" s="13"/>
      <c r="Y558" s="13"/>
      <c r="Z558" s="13"/>
      <c r="AA558" s="13"/>
      <c r="AB558" s="13"/>
    </row>
    <row r="559" spans="10:28" x14ac:dyDescent="0.25">
      <c r="J559" s="13"/>
      <c r="K559" s="13"/>
      <c r="L559" s="13"/>
      <c r="M559" s="13"/>
      <c r="N559" s="35"/>
      <c r="O559" s="13"/>
      <c r="P559" s="13"/>
      <c r="Q559" s="35"/>
      <c r="R559" s="13"/>
      <c r="S559" s="13"/>
      <c r="T559" s="35"/>
      <c r="U559" s="13"/>
      <c r="V559" s="36"/>
      <c r="W559" s="13"/>
      <c r="X559" s="13"/>
      <c r="Y559" s="13"/>
      <c r="Z559" s="13"/>
      <c r="AA559" s="13"/>
      <c r="AB559" s="13"/>
    </row>
    <row r="560" spans="10:28" x14ac:dyDescent="0.25">
      <c r="J560" s="13"/>
      <c r="K560" s="13"/>
      <c r="L560" s="13"/>
      <c r="M560" s="13"/>
      <c r="N560" s="35"/>
      <c r="O560" s="13"/>
      <c r="P560" s="13"/>
      <c r="Q560" s="35"/>
      <c r="R560" s="13"/>
      <c r="S560" s="13"/>
      <c r="T560" s="35"/>
      <c r="U560" s="13"/>
      <c r="V560" s="36"/>
      <c r="W560" s="13"/>
      <c r="X560" s="13"/>
      <c r="Y560" s="13"/>
      <c r="Z560" s="13"/>
      <c r="AA560" s="13"/>
      <c r="AB560" s="13"/>
    </row>
    <row r="561" spans="10:28" x14ac:dyDescent="0.25">
      <c r="J561" s="13"/>
      <c r="K561" s="13"/>
      <c r="L561" s="13"/>
      <c r="M561" s="13"/>
      <c r="N561" s="35"/>
      <c r="O561" s="13"/>
      <c r="P561" s="13"/>
      <c r="Q561" s="35"/>
      <c r="R561" s="13"/>
      <c r="S561" s="13"/>
      <c r="T561" s="35"/>
      <c r="U561" s="13"/>
      <c r="V561" s="36"/>
      <c r="W561" s="13"/>
      <c r="X561" s="13"/>
      <c r="Y561" s="13"/>
      <c r="Z561" s="13"/>
      <c r="AA561" s="13"/>
      <c r="AB561" s="13"/>
    </row>
    <row r="562" spans="10:28" x14ac:dyDescent="0.25">
      <c r="J562" s="13"/>
      <c r="K562" s="13"/>
      <c r="L562" s="13"/>
      <c r="M562" s="13"/>
      <c r="N562" s="35"/>
      <c r="O562" s="13"/>
      <c r="P562" s="13"/>
      <c r="Q562" s="35"/>
      <c r="R562" s="13"/>
      <c r="S562" s="13"/>
      <c r="T562" s="35"/>
      <c r="U562" s="13"/>
      <c r="V562" s="36"/>
      <c r="W562" s="13"/>
      <c r="X562" s="13"/>
      <c r="Y562" s="13"/>
      <c r="Z562" s="13"/>
      <c r="AA562" s="13"/>
      <c r="AB562" s="13"/>
    </row>
    <row r="563" spans="10:28" x14ac:dyDescent="0.25">
      <c r="J563" s="13"/>
      <c r="K563" s="13"/>
      <c r="L563" s="13"/>
      <c r="M563" s="13"/>
      <c r="N563" s="35"/>
      <c r="O563" s="13"/>
      <c r="P563" s="13"/>
      <c r="Q563" s="35"/>
      <c r="R563" s="13"/>
      <c r="S563" s="13"/>
      <c r="T563" s="35"/>
      <c r="U563" s="13"/>
      <c r="V563" s="36"/>
      <c r="W563" s="13"/>
      <c r="X563" s="13"/>
      <c r="Y563" s="13"/>
      <c r="Z563" s="13"/>
      <c r="AA563" s="13"/>
      <c r="AB563" s="13"/>
    </row>
    <row r="564" spans="10:28" x14ac:dyDescent="0.25">
      <c r="J564" s="13"/>
      <c r="K564" s="13"/>
      <c r="L564" s="13"/>
      <c r="M564" s="13"/>
      <c r="N564" s="35"/>
      <c r="O564" s="13"/>
      <c r="P564" s="13"/>
      <c r="Q564" s="35"/>
      <c r="R564" s="13"/>
      <c r="S564" s="13"/>
      <c r="T564" s="35"/>
      <c r="U564" s="13"/>
      <c r="V564" s="36"/>
      <c r="W564" s="13"/>
      <c r="X564" s="13"/>
      <c r="Y564" s="13"/>
      <c r="Z564" s="13"/>
      <c r="AA564" s="13"/>
      <c r="AB564" s="13"/>
    </row>
    <row r="565" spans="10:28" x14ac:dyDescent="0.25">
      <c r="J565" s="13"/>
      <c r="K565" s="13"/>
      <c r="L565" s="13"/>
      <c r="M565" s="13"/>
      <c r="N565" s="35"/>
      <c r="O565" s="13"/>
      <c r="P565" s="13"/>
      <c r="Q565" s="35"/>
      <c r="R565" s="13"/>
      <c r="S565" s="13"/>
      <c r="T565" s="35"/>
      <c r="U565" s="13"/>
      <c r="V565" s="36"/>
      <c r="W565" s="13"/>
      <c r="X565" s="13"/>
      <c r="Y565" s="13"/>
      <c r="Z565" s="13"/>
      <c r="AA565" s="13"/>
      <c r="AB565" s="13"/>
    </row>
    <row r="566" spans="10:28" x14ac:dyDescent="0.25">
      <c r="J566" s="13"/>
      <c r="K566" s="13"/>
      <c r="L566" s="13"/>
      <c r="M566" s="13"/>
      <c r="N566" s="35"/>
      <c r="O566" s="13"/>
      <c r="P566" s="13"/>
      <c r="Q566" s="35"/>
      <c r="R566" s="13"/>
      <c r="S566" s="13"/>
      <c r="T566" s="35"/>
      <c r="U566" s="13"/>
      <c r="V566" s="36"/>
      <c r="W566" s="13"/>
      <c r="X566" s="13"/>
      <c r="Y566" s="13"/>
      <c r="Z566" s="13"/>
      <c r="AA566" s="13"/>
      <c r="AB566" s="13"/>
    </row>
    <row r="567" spans="10:28" x14ac:dyDescent="0.25">
      <c r="J567" s="13"/>
      <c r="K567" s="13"/>
      <c r="L567" s="13"/>
      <c r="M567" s="13"/>
      <c r="N567" s="35"/>
      <c r="O567" s="13"/>
      <c r="P567" s="13"/>
      <c r="Q567" s="35"/>
      <c r="R567" s="13"/>
      <c r="S567" s="13"/>
      <c r="T567" s="35"/>
      <c r="U567" s="13"/>
      <c r="V567" s="36"/>
      <c r="W567" s="13"/>
      <c r="X567" s="13"/>
      <c r="Y567" s="13"/>
      <c r="Z567" s="13"/>
      <c r="AA567" s="13"/>
      <c r="AB567" s="13"/>
    </row>
    <row r="568" spans="10:28" x14ac:dyDescent="0.25">
      <c r="J568" s="13"/>
      <c r="K568" s="13"/>
      <c r="L568" s="13"/>
      <c r="M568" s="13"/>
      <c r="N568" s="35"/>
      <c r="O568" s="13"/>
      <c r="P568" s="13"/>
      <c r="Q568" s="35"/>
      <c r="R568" s="13"/>
      <c r="S568" s="13"/>
      <c r="T568" s="35"/>
      <c r="U568" s="13"/>
      <c r="V568" s="36"/>
      <c r="W568" s="13"/>
      <c r="X568" s="13"/>
      <c r="Y568" s="13"/>
      <c r="Z568" s="13"/>
      <c r="AA568" s="13"/>
      <c r="AB568" s="13"/>
    </row>
    <row r="569" spans="10:28" x14ac:dyDescent="0.25">
      <c r="J569" s="13"/>
      <c r="K569" s="13"/>
      <c r="L569" s="13"/>
      <c r="M569" s="13"/>
      <c r="N569" s="35"/>
      <c r="O569" s="13"/>
      <c r="P569" s="13"/>
      <c r="Q569" s="35"/>
      <c r="R569" s="13"/>
      <c r="S569" s="13"/>
      <c r="T569" s="35"/>
      <c r="U569" s="13"/>
      <c r="V569" s="36"/>
      <c r="W569" s="13"/>
      <c r="X569" s="13"/>
      <c r="Y569" s="13"/>
      <c r="Z569" s="13"/>
      <c r="AA569" s="13"/>
      <c r="AB569" s="13"/>
    </row>
    <row r="570" spans="10:28" x14ac:dyDescent="0.25">
      <c r="J570" s="13"/>
      <c r="K570" s="13"/>
      <c r="L570" s="13"/>
      <c r="M570" s="13"/>
      <c r="N570" s="35"/>
      <c r="O570" s="13"/>
      <c r="P570" s="13"/>
      <c r="Q570" s="35"/>
      <c r="R570" s="13"/>
      <c r="S570" s="13"/>
      <c r="T570" s="35"/>
      <c r="U570" s="13"/>
      <c r="V570" s="36"/>
      <c r="W570" s="13"/>
      <c r="X570" s="13"/>
      <c r="Y570" s="13"/>
      <c r="Z570" s="13"/>
      <c r="AA570" s="13"/>
      <c r="AB570" s="13"/>
    </row>
    <row r="571" spans="10:28" x14ac:dyDescent="0.25">
      <c r="J571" s="13"/>
      <c r="K571" s="13"/>
      <c r="L571" s="13"/>
      <c r="M571" s="13"/>
      <c r="N571" s="35"/>
      <c r="O571" s="13"/>
      <c r="P571" s="13"/>
      <c r="Q571" s="35"/>
      <c r="R571" s="13"/>
      <c r="S571" s="13"/>
      <c r="T571" s="35"/>
      <c r="U571" s="13"/>
      <c r="V571" s="36"/>
      <c r="W571" s="13"/>
      <c r="X571" s="13"/>
      <c r="Y571" s="13"/>
      <c r="Z571" s="13"/>
      <c r="AA571" s="13"/>
      <c r="AB571" s="13"/>
    </row>
    <row r="572" spans="10:28" x14ac:dyDescent="0.25">
      <c r="J572" s="13"/>
      <c r="K572" s="13"/>
      <c r="L572" s="13"/>
      <c r="M572" s="13"/>
      <c r="N572" s="35"/>
      <c r="O572" s="13"/>
      <c r="P572" s="13"/>
      <c r="Q572" s="35"/>
      <c r="R572" s="13"/>
      <c r="S572" s="13"/>
      <c r="T572" s="35"/>
      <c r="U572" s="13"/>
      <c r="V572" s="36"/>
      <c r="W572" s="13"/>
      <c r="X572" s="13"/>
      <c r="Y572" s="13"/>
      <c r="Z572" s="13"/>
      <c r="AA572" s="13"/>
      <c r="AB572" s="13"/>
    </row>
    <row r="573" spans="10:28" x14ac:dyDescent="0.25">
      <c r="J573" s="13"/>
      <c r="K573" s="13"/>
      <c r="L573" s="13"/>
      <c r="M573" s="13"/>
      <c r="N573" s="35"/>
      <c r="O573" s="13"/>
      <c r="P573" s="13"/>
      <c r="Q573" s="35"/>
      <c r="R573" s="13"/>
      <c r="S573" s="13"/>
      <c r="T573" s="35"/>
      <c r="U573" s="13"/>
      <c r="V573" s="36"/>
      <c r="W573" s="13"/>
      <c r="X573" s="13"/>
      <c r="Y573" s="13"/>
      <c r="Z573" s="13"/>
      <c r="AA573" s="13"/>
      <c r="AB573" s="13"/>
    </row>
    <row r="574" spans="10:28" x14ac:dyDescent="0.25">
      <c r="J574" s="13"/>
      <c r="K574" s="13"/>
      <c r="L574" s="13"/>
      <c r="M574" s="13"/>
      <c r="N574" s="35"/>
      <c r="O574" s="13"/>
      <c r="P574" s="13"/>
      <c r="Q574" s="35"/>
      <c r="R574" s="13"/>
      <c r="S574" s="13"/>
      <c r="T574" s="35"/>
      <c r="U574" s="13"/>
      <c r="V574" s="36"/>
      <c r="W574" s="13"/>
      <c r="X574" s="13"/>
      <c r="Y574" s="13"/>
      <c r="Z574" s="13"/>
      <c r="AA574" s="13"/>
      <c r="AB574" s="13"/>
    </row>
    <row r="575" spans="10:28" x14ac:dyDescent="0.25">
      <c r="J575" s="13"/>
      <c r="K575" s="13"/>
      <c r="L575" s="13"/>
      <c r="M575" s="13"/>
      <c r="N575" s="35"/>
      <c r="O575" s="13"/>
      <c r="P575" s="13"/>
      <c r="Q575" s="35"/>
      <c r="R575" s="13"/>
      <c r="S575" s="13"/>
      <c r="T575" s="35"/>
      <c r="U575" s="13"/>
      <c r="V575" s="36"/>
      <c r="W575" s="13"/>
      <c r="X575" s="13"/>
      <c r="Y575" s="13"/>
      <c r="Z575" s="13"/>
      <c r="AA575" s="13"/>
      <c r="AB575" s="13"/>
    </row>
    <row r="576" spans="10:28" x14ac:dyDescent="0.25">
      <c r="J576" s="13"/>
      <c r="K576" s="13"/>
      <c r="L576" s="13"/>
      <c r="M576" s="13"/>
      <c r="N576" s="35"/>
      <c r="O576" s="13"/>
      <c r="P576" s="13"/>
      <c r="Q576" s="35"/>
      <c r="R576" s="13"/>
      <c r="S576" s="13"/>
      <c r="T576" s="35"/>
      <c r="U576" s="13"/>
      <c r="V576" s="36"/>
      <c r="W576" s="13"/>
      <c r="X576" s="13"/>
      <c r="Y576" s="13"/>
      <c r="Z576" s="13"/>
      <c r="AA576" s="13"/>
      <c r="AB576" s="13"/>
    </row>
    <row r="577" spans="10:28" x14ac:dyDescent="0.25">
      <c r="J577" s="13"/>
      <c r="K577" s="13"/>
      <c r="L577" s="13"/>
      <c r="M577" s="13"/>
      <c r="N577" s="35"/>
      <c r="O577" s="13"/>
      <c r="P577" s="13"/>
      <c r="Q577" s="35"/>
      <c r="R577" s="13"/>
      <c r="S577" s="13"/>
      <c r="T577" s="35"/>
      <c r="U577" s="13"/>
      <c r="V577" s="36"/>
      <c r="W577" s="13"/>
      <c r="X577" s="13"/>
      <c r="Y577" s="13"/>
      <c r="Z577" s="13"/>
      <c r="AA577" s="13"/>
      <c r="AB577" s="13"/>
    </row>
    <row r="578" spans="10:28" x14ac:dyDescent="0.25">
      <c r="J578" s="13"/>
      <c r="K578" s="13"/>
      <c r="L578" s="13"/>
      <c r="M578" s="13"/>
      <c r="N578" s="35"/>
      <c r="O578" s="13"/>
      <c r="P578" s="13"/>
      <c r="Q578" s="35"/>
      <c r="R578" s="13"/>
      <c r="S578" s="13"/>
      <c r="T578" s="35"/>
      <c r="U578" s="13"/>
      <c r="V578" s="36"/>
      <c r="W578" s="13"/>
      <c r="X578" s="13"/>
      <c r="Y578" s="13"/>
      <c r="Z578" s="13"/>
      <c r="AA578" s="13"/>
      <c r="AB578" s="13"/>
    </row>
    <row r="579" spans="10:28" x14ac:dyDescent="0.25">
      <c r="J579" s="13"/>
      <c r="K579" s="13"/>
      <c r="L579" s="13"/>
      <c r="M579" s="13"/>
      <c r="N579" s="35"/>
      <c r="O579" s="13"/>
      <c r="P579" s="13"/>
      <c r="Q579" s="35"/>
      <c r="R579" s="13"/>
      <c r="S579" s="13"/>
      <c r="T579" s="35"/>
      <c r="U579" s="13"/>
      <c r="V579" s="36"/>
      <c r="W579" s="13"/>
      <c r="X579" s="13"/>
      <c r="Y579" s="13"/>
      <c r="Z579" s="13"/>
      <c r="AA579" s="13"/>
      <c r="AB579" s="13"/>
    </row>
    <row r="580" spans="10:28" x14ac:dyDescent="0.25">
      <c r="J580" s="13"/>
      <c r="K580" s="13"/>
      <c r="L580" s="13"/>
      <c r="M580" s="13"/>
      <c r="N580" s="35"/>
      <c r="O580" s="13"/>
      <c r="P580" s="13"/>
      <c r="Q580" s="35"/>
      <c r="R580" s="13"/>
      <c r="S580" s="13"/>
      <c r="T580" s="35"/>
      <c r="U580" s="13"/>
      <c r="V580" s="36"/>
      <c r="W580" s="13"/>
      <c r="X580" s="13"/>
      <c r="Y580" s="13"/>
      <c r="Z580" s="13"/>
      <c r="AA580" s="13"/>
      <c r="AB580" s="13"/>
    </row>
    <row r="581" spans="10:28" x14ac:dyDescent="0.25">
      <c r="J581" s="13"/>
      <c r="K581" s="13"/>
      <c r="L581" s="13"/>
      <c r="M581" s="13"/>
      <c r="N581" s="35"/>
      <c r="O581" s="13"/>
      <c r="P581" s="13"/>
      <c r="Q581" s="35"/>
      <c r="R581" s="13"/>
      <c r="S581" s="13"/>
      <c r="T581" s="35"/>
      <c r="U581" s="13"/>
      <c r="V581" s="36"/>
      <c r="W581" s="13"/>
      <c r="X581" s="13"/>
      <c r="Y581" s="13"/>
      <c r="Z581" s="13"/>
      <c r="AA581" s="13"/>
      <c r="AB581" s="13"/>
    </row>
    <row r="582" spans="10:28" x14ac:dyDescent="0.25">
      <c r="J582" s="13"/>
      <c r="K582" s="13"/>
      <c r="L582" s="13"/>
      <c r="M582" s="13"/>
      <c r="N582" s="35"/>
      <c r="O582" s="13"/>
      <c r="P582" s="13"/>
      <c r="Q582" s="35"/>
      <c r="R582" s="13"/>
      <c r="S582" s="13"/>
      <c r="T582" s="35"/>
      <c r="U582" s="13"/>
      <c r="V582" s="36"/>
      <c r="W582" s="13"/>
      <c r="X582" s="13"/>
      <c r="Y582" s="13"/>
      <c r="Z582" s="13"/>
      <c r="AA582" s="13"/>
      <c r="AB582" s="13"/>
    </row>
    <row r="583" spans="10:28" x14ac:dyDescent="0.25">
      <c r="J583" s="13"/>
      <c r="K583" s="13"/>
      <c r="L583" s="13"/>
      <c r="M583" s="13"/>
      <c r="N583" s="35"/>
      <c r="O583" s="13"/>
      <c r="P583" s="13"/>
      <c r="Q583" s="35"/>
      <c r="R583" s="13"/>
      <c r="S583" s="13"/>
      <c r="T583" s="35"/>
      <c r="U583" s="13"/>
      <c r="V583" s="36"/>
      <c r="W583" s="13"/>
      <c r="X583" s="13"/>
      <c r="Y583" s="13"/>
      <c r="Z583" s="13"/>
      <c r="AA583" s="13"/>
      <c r="AB583" s="13"/>
    </row>
  </sheetData>
  <mergeCells count="10">
    <mergeCell ref="D427:I427"/>
    <mergeCell ref="G1:M1"/>
    <mergeCell ref="G2:I2"/>
    <mergeCell ref="J2:M2"/>
    <mergeCell ref="N2:V2"/>
    <mergeCell ref="W2:Y2"/>
    <mergeCell ref="Z2:AB2"/>
    <mergeCell ref="N3:P3"/>
    <mergeCell ref="Q3:S3"/>
    <mergeCell ref="T3:V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RawInput</vt:lpstr>
      <vt:lpstr>Transposed</vt:lpstr>
      <vt:lpstr>FirstOrderRun7Reconstruction</vt:lpstr>
      <vt:lpstr>SecondOrderRun7Reconstructi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2016-08-08T10:23:43Z</dcterms:created>
  <dcterms:modified xsi:type="dcterms:W3CDTF">2016-08-09T19:54:08Z</dcterms:modified>
</cp:coreProperties>
</file>